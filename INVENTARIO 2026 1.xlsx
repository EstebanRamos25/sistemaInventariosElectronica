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tables/table14.xml" ContentType="application/vnd.openxmlformats-officedocument.spreadsheetml.table+xml"/>
  <Override PartName="/xl/tables/table10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tables/table15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11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G" sheetId="1" state="visible" r:id="rId3"/>
    <sheet name="SAMSUNG" sheetId="2" state="visible" r:id="rId4"/>
    <sheet name="HAIER" sheetId="3" state="visible" r:id="rId5"/>
    <sheet name="DAEWOO" sheetId="4" state="visible" r:id="rId6"/>
    <sheet name="SONY-PANASONIC" sheetId="5" state="visible" r:id="rId7"/>
    <sheet name="IRT-PHILIPS" sheetId="6" state="visible" r:id="rId8"/>
    <sheet name="TOSHIBA " sheetId="7" state="visible" r:id="rId9"/>
    <sheet name="HISENSE " sheetId="8" state="visible" r:id="rId10"/>
    <sheet name="SKYWORTH" sheetId="9" state="visible" r:id="rId11"/>
    <sheet name="PREMIER" sheetId="10" state="visible" r:id="rId12"/>
    <sheet name="MASTER G" sheetId="11" state="visible" r:id="rId13"/>
    <sheet name="CHINO" sheetId="12" state="visible" r:id="rId14"/>
    <sheet name="AOC-JVC" sheetId="13" state="visible" r:id="rId15"/>
    <sheet name="SALIDAS" sheetId="14" state="visible" r:id="rId16"/>
    <sheet name="ENTRADAS" sheetId="15" state="visible" r:id="rId17"/>
    <sheet name="PRECIOS" sheetId="16" state="visible" r:id="rId18"/>
    <sheet name="STOCK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<sst xmlns="http://schemas.openxmlformats.org/spreadsheetml/2006/main" count="3860" uniqueCount="832">
  <si>
    <t xml:space="preserve">LG</t>
  </si>
  <si>
    <t xml:space="preserve">CODIGO </t>
  </si>
  <si>
    <t xml:space="preserve">DESCRIPCION </t>
  </si>
  <si>
    <t xml:space="preserve">STOCK JUEGOS</t>
  </si>
  <si>
    <t xml:space="preserve">STOCK BARRAS</t>
  </si>
  <si>
    <t xml:space="preserve">"J" PRECIO VENTA </t>
  </si>
  <si>
    <t xml:space="preserve">"J"PRECIO COMPRA </t>
  </si>
  <si>
    <t xml:space="preserve">BARRAS</t>
  </si>
  <si>
    <t xml:space="preserve">"B"PRECIO VENTA </t>
  </si>
  <si>
    <t xml:space="preserve">"B"PRECIO COMPRA</t>
  </si>
  <si>
    <t xml:space="preserve">ENTRADAS JUEGOS </t>
  </si>
  <si>
    <t xml:space="preserve">ENTRADAS BARRAS</t>
  </si>
  <si>
    <t xml:space="preserve">SALIDAS JUEGOS</t>
  </si>
  <si>
    <t xml:space="preserve">SALIDA BARRAS</t>
  </si>
  <si>
    <t xml:space="preserve">CAPITAL JUEGOS </t>
  </si>
  <si>
    <t xml:space="preserve">CAPITAL/GANANCIA/JUEGOS </t>
  </si>
  <si>
    <t xml:space="preserve">CAPITAL BARRA</t>
  </si>
  <si>
    <t xml:space="preserve">CAP GAN BARRAS</t>
  </si>
  <si>
    <t xml:space="preserve">CANTIDAD INICIAL JUEGO </t>
  </si>
  <si>
    <t xml:space="preserve">CANTIDAD INICIAL BARRAS</t>
  </si>
  <si>
    <t xml:space="preserve">PRECIO EN $</t>
  </si>
  <si>
    <t xml:space="preserve">CODIGO 2</t>
  </si>
  <si>
    <t xml:space="preserve">CODIGO 3</t>
  </si>
  <si>
    <t xml:space="preserve">32 LA -3B/3V/7-7L</t>
  </si>
  <si>
    <t xml:space="preserve">XLM-0001</t>
  </si>
  <si>
    <t xml:space="preserve">32 LA -3B/3V/7-8-7L</t>
  </si>
  <si>
    <t xml:space="preserve">XY-0012-A2</t>
  </si>
  <si>
    <t xml:space="preserve">32 LA -3B/3V/8-8-8</t>
  </si>
  <si>
    <t xml:space="preserve">XLM-0026</t>
  </si>
  <si>
    <t xml:space="preserve">32LK540 6L/3V /2B</t>
  </si>
  <si>
    <t xml:space="preserve">XY-0229</t>
  </si>
  <si>
    <t xml:space="preserve">32LB620B-32LF620B -3B/6V/6L</t>
  </si>
  <si>
    <t xml:space="preserve">XLM-0269</t>
  </si>
  <si>
    <t xml:space="preserve">32LH500B-32LK500 3B/7L/3V</t>
  </si>
  <si>
    <t xml:space="preserve">XLM-0329</t>
  </si>
  <si>
    <t xml:space="preserve">32 LH 5100-2B/5L</t>
  </si>
  <si>
    <t xml:space="preserve">XLM-270</t>
  </si>
  <si>
    <t xml:space="preserve">32LS3450-4B/7L POLA</t>
  </si>
  <si>
    <t xml:space="preserve">32LN5100- 3B/6L-6-7-6 POLA</t>
  </si>
  <si>
    <t xml:space="preserve">XLM-0254/0255</t>
  </si>
  <si>
    <t xml:space="preserve">32LM3400-4B/3V/9L</t>
  </si>
  <si>
    <t xml:space="preserve">XLM-0103-0104</t>
  </si>
  <si>
    <t xml:space="preserve">29 LG/ 1B</t>
  </si>
  <si>
    <t xml:space="preserve">40 LB6450/8B/6V</t>
  </si>
  <si>
    <t xml:space="preserve">XLM-0277/0278</t>
  </si>
  <si>
    <t xml:space="preserve">42LB6200-42LF6200 8B/6V</t>
  </si>
  <si>
    <t xml:space="preserve">XLM-0250/0251</t>
  </si>
  <si>
    <t xml:space="preserve">42LA6130-42LN5400  10B/3V</t>
  </si>
  <si>
    <t xml:space="preserve">XLM-0244/0242/0245/0243</t>
  </si>
  <si>
    <t xml:space="preserve">42LN5200/10B/3V</t>
  </si>
  <si>
    <t xml:space="preserve">XY-014</t>
  </si>
  <si>
    <t xml:space="preserve">42LS3450/10B</t>
  </si>
  <si>
    <t xml:space="preserve">XLM-1232/1233</t>
  </si>
  <si>
    <t xml:space="preserve">42LM6200/1B</t>
  </si>
  <si>
    <t xml:space="preserve">XM2746.1</t>
  </si>
  <si>
    <t xml:space="preserve">43 LJ5000 /10L/3V/5B</t>
  </si>
  <si>
    <t xml:space="preserve">43LJ5500 3B/7L</t>
  </si>
  <si>
    <t xml:space="preserve">XLM-0354</t>
  </si>
  <si>
    <t xml:space="preserve">43UJ6560-LUPA GIGANTE/4B</t>
  </si>
  <si>
    <t xml:space="preserve">43LH-LF 5100/6B</t>
  </si>
  <si>
    <t xml:space="preserve">XLM-0545-0544</t>
  </si>
  <si>
    <t xml:space="preserve">43LH5000/5B</t>
  </si>
  <si>
    <t xml:space="preserve">XLM-0735</t>
  </si>
  <si>
    <t xml:space="preserve">43LK540 8B/3V</t>
  </si>
  <si>
    <t xml:space="preserve">XY-0730</t>
  </si>
  <si>
    <t xml:space="preserve">43UM7300</t>
  </si>
  <si>
    <t xml:space="preserve">XLM-1608</t>
  </si>
  <si>
    <t xml:space="preserve">47LA6130-12B/3V</t>
  </si>
  <si>
    <t xml:space="preserve">XLM-0271-0272-0273-0274</t>
  </si>
  <si>
    <t xml:space="preserve">47LA6600/2B</t>
  </si>
  <si>
    <t xml:space="preserve">XLM- 1296/1297</t>
  </si>
  <si>
    <t xml:space="preserve">47LB6500- 8B/6V</t>
  </si>
  <si>
    <t xml:space="preserve">XLM-0265/0266</t>
  </si>
  <si>
    <t xml:space="preserve">47LM6200/2B</t>
  </si>
  <si>
    <t xml:space="preserve">XLM-0462/0463</t>
  </si>
  <si>
    <t xml:space="preserve">47 LWU6500/2B</t>
  </si>
  <si>
    <t xml:space="preserve">49LJ5500-49UJ6300/8B</t>
  </si>
  <si>
    <t xml:space="preserve">XLM-0806/0807</t>
  </si>
  <si>
    <t xml:space="preserve">49 UJ6500 /8B</t>
  </si>
  <si>
    <t xml:space="preserve">49LB-LF/10B</t>
  </si>
  <si>
    <t xml:space="preserve">XLM-0279/0280</t>
  </si>
  <si>
    <t xml:space="preserve">49LF5400 2B EL JUEGO </t>
  </si>
  <si>
    <t xml:space="preserve">49LJ5100/8B</t>
  </si>
  <si>
    <t xml:space="preserve">49LK5400 /8B</t>
  </si>
  <si>
    <t xml:space="preserve">XLM-W0760</t>
  </si>
  <si>
    <t xml:space="preserve">49UB8300/ 2B</t>
  </si>
  <si>
    <t xml:space="preserve">XLM-1019/1020</t>
  </si>
  <si>
    <t xml:space="preserve">49 UH6100-LH5100 /8B</t>
  </si>
  <si>
    <t xml:space="preserve">XY-0032</t>
  </si>
  <si>
    <t xml:space="preserve">49LH6000 /8B</t>
  </si>
  <si>
    <t xml:space="preserve">49UJ6560-LUPA GIGANTE/4B</t>
  </si>
  <si>
    <t xml:space="preserve">XLM-0246/0247</t>
  </si>
  <si>
    <t xml:space="preserve">50LA6200/12B/3V</t>
  </si>
  <si>
    <t xml:space="preserve">XLM-0261/0262/0259/0260</t>
  </si>
  <si>
    <t xml:space="preserve">50LB6500/10B</t>
  </si>
  <si>
    <t xml:space="preserve">XY-0007-SE</t>
  </si>
  <si>
    <t xml:space="preserve">50 UK 6550 /3B</t>
  </si>
  <si>
    <t xml:space="preserve">XLM-0923</t>
  </si>
  <si>
    <t xml:space="preserve">55 UK 6300-UM7100 /3B</t>
  </si>
  <si>
    <t xml:space="preserve">XLM-1262</t>
  </si>
  <si>
    <t xml:space="preserve">55 SM8100 2B</t>
  </si>
  <si>
    <t xml:space="preserve">XLM-W0857</t>
  </si>
  <si>
    <t xml:space="preserve">55LA6600/2B</t>
  </si>
  <si>
    <t xml:space="preserve">XLM-0725/0726</t>
  </si>
  <si>
    <t xml:space="preserve">55LB6500/10B/6V </t>
  </si>
  <si>
    <t xml:space="preserve">XLM-0267/0268</t>
  </si>
  <si>
    <t xml:space="preserve">55LM6200/2B</t>
  </si>
  <si>
    <t xml:space="preserve">XLM-0170/0171</t>
  </si>
  <si>
    <t xml:space="preserve">55 LM8600</t>
  </si>
  <si>
    <t xml:space="preserve">55 UB8300/2B</t>
  </si>
  <si>
    <t xml:space="preserve">55UH6150/2B</t>
  </si>
  <si>
    <t xml:space="preserve">XLM-0174/0175</t>
  </si>
  <si>
    <t xml:space="preserve">55UH6500/2B</t>
  </si>
  <si>
    <t xml:space="preserve">XLM-1021/1022</t>
  </si>
  <si>
    <t xml:space="preserve">55UH8500/2B</t>
  </si>
  <si>
    <t xml:space="preserve">XLM-W1196</t>
  </si>
  <si>
    <t xml:space="preserve">55LA6200 POLA-14B/3V</t>
  </si>
  <si>
    <t xml:space="preserve">XLM-0281/0282</t>
  </si>
  <si>
    <t xml:space="preserve">55UJ6300-55LJ5500/10B</t>
  </si>
  <si>
    <t xml:space="preserve">XLM-0599/0598</t>
  </si>
  <si>
    <t xml:space="preserve">55 UM 8L 4B EL JUEGO</t>
  </si>
  <si>
    <t xml:space="preserve">XLM1204</t>
  </si>
  <si>
    <t xml:space="preserve">60LB6500/12B/6V</t>
  </si>
  <si>
    <t xml:space="preserve">XY-0009-SE</t>
  </si>
  <si>
    <t xml:space="preserve">60 UJ6300/ 10B</t>
  </si>
  <si>
    <t xml:space="preserve">XLM-0740/0741/0742/0743</t>
  </si>
  <si>
    <t xml:space="preserve">65UJ6300/12B</t>
  </si>
  <si>
    <t xml:space="preserve">XLM-0636/0637/0638/0639</t>
  </si>
  <si>
    <t xml:space="preserve">65 SM8100 2B/6V EGDE</t>
  </si>
  <si>
    <t xml:space="preserve">XLM-W1547</t>
  </si>
  <si>
    <t xml:space="preserve">65 SJ8000 2B</t>
  </si>
  <si>
    <t xml:space="preserve">65UK6300 /4B</t>
  </si>
  <si>
    <t xml:space="preserve">XLM-0987</t>
  </si>
  <si>
    <t xml:space="preserve">70LB7200 LG 6-4-6 L/6V 24 B</t>
  </si>
  <si>
    <t xml:space="preserve">86Q9050- 86UP8770</t>
  </si>
  <si>
    <t xml:space="preserve">XLM-W2622</t>
  </si>
  <si>
    <t xml:space="preserve">SAMSUNG</t>
  </si>
  <si>
    <t xml:space="preserve">CODIGO 4</t>
  </si>
  <si>
    <t xml:space="preserve">UN32FH4005G-UN32JH4005G CUERNITO 2B</t>
  </si>
  <si>
    <t xml:space="preserve">XLM-0289</t>
  </si>
  <si>
    <t xml:space="preserve">XY-0065</t>
  </si>
  <si>
    <t xml:space="preserve">UN32EH4000 4B/3V</t>
  </si>
  <si>
    <t xml:space="preserve">UN32F5000-SAMSUNG 5B</t>
  </si>
  <si>
    <t xml:space="preserve">poner nombre </t>
  </si>
  <si>
    <t xml:space="preserve">XLM-0319</t>
  </si>
  <si>
    <t xml:space="preserve">UN32J/ 2B </t>
  </si>
  <si>
    <t xml:space="preserve">XLM-1956</t>
  </si>
  <si>
    <t xml:space="preserve">UN40D5500/2B</t>
  </si>
  <si>
    <t xml:space="preserve">XLM-0178/0179</t>
  </si>
  <si>
    <t xml:space="preserve">UN 40 D6500/2B</t>
  </si>
  <si>
    <t xml:space="preserve">XLM - W0896</t>
  </si>
  <si>
    <t xml:space="preserve">UN40J5000 -40J5200-40M5000 8L/3B</t>
  </si>
  <si>
    <t xml:space="preserve">XLM-0306</t>
  </si>
  <si>
    <t xml:space="preserve">UN40J6400</t>
  </si>
  <si>
    <t xml:space="preserve">XLM-0395/0408</t>
  </si>
  <si>
    <t xml:space="preserve">UN40FH5005 3B/2C/1R/13-12-13</t>
  </si>
  <si>
    <t xml:space="preserve">XLM-0320/0232</t>
  </si>
  <si>
    <t xml:space="preserve">XY-068</t>
  </si>
  <si>
    <t xml:space="preserve">UN40FH6203 3B/2C/1R/13-13-13</t>
  </si>
  <si>
    <t xml:space="preserve">XLM-1802/1803</t>
  </si>
  <si>
    <t xml:space="preserve">XY-698</t>
  </si>
  <si>
    <t xml:space="preserve">UN40F5000-F6400/14 B</t>
  </si>
  <si>
    <t xml:space="preserve">XLM-0317/0318</t>
  </si>
  <si>
    <t xml:space="preserve">XY-0043</t>
  </si>
  <si>
    <t xml:space="preserve">UN43J5202/ 3 BARRAS/8L/3V</t>
  </si>
  <si>
    <t xml:space="preserve">XLM-0668</t>
  </si>
  <si>
    <t xml:space="preserve">XY-0318</t>
  </si>
  <si>
    <t xml:space="preserve">43AU7000</t>
  </si>
  <si>
    <t xml:space="preserve">XLM-0988/0989</t>
  </si>
  <si>
    <t xml:space="preserve">UN43J5290/8B</t>
  </si>
  <si>
    <t xml:space="preserve">XLM-0304/0305</t>
  </si>
  <si>
    <t xml:space="preserve">XLM-1576/1577</t>
  </si>
  <si>
    <t xml:space="preserve">UN43AU8000-43BU8000/2B</t>
  </si>
  <si>
    <t xml:space="preserve">XLM-1685</t>
  </si>
  <si>
    <t xml:space="preserve">UN43N.U./2B EDGE</t>
  </si>
  <si>
    <t xml:space="preserve">UN46F5000 - F6400 /16B</t>
  </si>
  <si>
    <t xml:space="preserve">XY-0045</t>
  </si>
  <si>
    <t xml:space="preserve">UN46FH6203-46FH5005/8B</t>
  </si>
  <si>
    <t xml:space="preserve">XLM-0626/0625</t>
  </si>
  <si>
    <t xml:space="preserve">XY-0379</t>
  </si>
  <si>
    <t xml:space="preserve">UN48H4200/8B</t>
  </si>
  <si>
    <t xml:space="preserve">XLM-W0170</t>
  </si>
  <si>
    <t xml:space="preserve">UN48H6400-48J6400/12B</t>
  </si>
  <si>
    <t xml:space="preserve">XY-0061</t>
  </si>
  <si>
    <t xml:space="preserve">UN48J5000AG/8B</t>
  </si>
  <si>
    <t xml:space="preserve">XLM-0302/0303</t>
  </si>
  <si>
    <t xml:space="preserve">UN49KU6500-UN49MU6500/2B</t>
  </si>
  <si>
    <t xml:space="preserve">XLM-1144/1145</t>
  </si>
  <si>
    <t xml:space="preserve">UN49 NU7100/2B EDGE</t>
  </si>
  <si>
    <t xml:space="preserve">XLM-0287</t>
  </si>
  <si>
    <t xml:space="preserve">UN49J5290/8B</t>
  </si>
  <si>
    <t xml:space="preserve">XLM-1441/1442</t>
  </si>
  <si>
    <t xml:space="preserve">UN49K6500/1B</t>
  </si>
  <si>
    <t xml:space="preserve">XLM-1138</t>
  </si>
  <si>
    <t xml:space="preserve">UN50F5000 -50F6400/ 18B</t>
  </si>
  <si>
    <t xml:space="preserve">XLM-0290/0291</t>
  </si>
  <si>
    <t xml:space="preserve">UN50FH5303/8-7L/8B</t>
  </si>
  <si>
    <t xml:space="preserve">XLM-1061-1062</t>
  </si>
  <si>
    <t xml:space="preserve">UN50NU7100./2B EDGE</t>
  </si>
  <si>
    <t xml:space="preserve">XLM-0288</t>
  </si>
  <si>
    <t xml:space="preserve">XY-077</t>
  </si>
  <si>
    <t xml:space="preserve">UN50AU7000G/6B</t>
  </si>
  <si>
    <t xml:space="preserve">XLM-0808/0809</t>
  </si>
  <si>
    <t xml:space="preserve">XY-930</t>
  </si>
  <si>
    <t xml:space="preserve">UN50AU/BU8000 2B EDGE</t>
  </si>
  <si>
    <t xml:space="preserve">XLM-1660</t>
  </si>
  <si>
    <t xml:space="preserve">UN50J SAMSUNG</t>
  </si>
  <si>
    <t xml:space="preserve">XY-0055</t>
  </si>
  <si>
    <t xml:space="preserve">UN50J5300-50J5500 12B</t>
  </si>
  <si>
    <t xml:space="preserve">XLM-1220/1221</t>
  </si>
  <si>
    <t xml:space="preserve">UN55F6400/20B</t>
  </si>
  <si>
    <t xml:space="preserve">verificar</t>
  </si>
  <si>
    <t xml:space="preserve">55´2013SVS55F</t>
  </si>
  <si>
    <t xml:space="preserve">UN55F8000-55F7500/2B/83L</t>
  </si>
  <si>
    <t xml:space="preserve">XLM-W0595</t>
  </si>
  <si>
    <t xml:space="preserve">UN55H6400/12B</t>
  </si>
  <si>
    <t xml:space="preserve">XLM-1327-1328</t>
  </si>
  <si>
    <t xml:space="preserve">UN55NU7100-UN55RU7100/2B EDGE</t>
  </si>
  <si>
    <t xml:space="preserve">XLM-285</t>
  </si>
  <si>
    <t xml:space="preserve">ES-ELED-690/40/7020/6V</t>
  </si>
  <si>
    <t xml:space="preserve">UN55NU7095G/9L/4B</t>
  </si>
  <si>
    <t xml:space="preserve">XLM-1224</t>
  </si>
  <si>
    <t xml:space="preserve">XY-648</t>
  </si>
  <si>
    <t xml:space="preserve">UN55MU6100- 55KU 6000 12B/ 3V</t>
  </si>
  <si>
    <t xml:space="preserve">poner nombre y verificar</t>
  </si>
  <si>
    <t xml:space="preserve">XLM-1154-1155</t>
  </si>
  <si>
    <t xml:space="preserve">UN55MU6500-55KU6500/2B</t>
  </si>
  <si>
    <t xml:space="preserve">XLM-1117/1118</t>
  </si>
  <si>
    <t xml:space="preserve">QN55Q60A</t>
  </si>
  <si>
    <t xml:space="preserve">UN55TU SAMSUNG 8B</t>
  </si>
  <si>
    <t xml:space="preserve">UN55JS9000 2B</t>
  </si>
  <si>
    <t xml:space="preserve">XLM-W0051</t>
  </si>
  <si>
    <t xml:space="preserve">UN58NU7100 /2B EDGE</t>
  </si>
  <si>
    <t xml:space="preserve">XLM-1382</t>
  </si>
  <si>
    <t xml:space="preserve">XLM-1188</t>
  </si>
  <si>
    <t xml:space="preserve">UN 58 AU7000/8B</t>
  </si>
  <si>
    <t xml:space="preserve">UN58TU7100 8B/6L 3V-58TU7000</t>
  </si>
  <si>
    <t xml:space="preserve">XLM-1611/1612</t>
  </si>
  <si>
    <t xml:space="preserve">UN58FH/12B</t>
  </si>
  <si>
    <t xml:space="preserve">XLM-1074/1075</t>
  </si>
  <si>
    <t xml:space="preserve">QN60Q60A</t>
  </si>
  <si>
    <t xml:space="preserve">ES-ELED-741/72/7020/3V B+W</t>
  </si>
  <si>
    <t xml:space="preserve">UN60FH6003/12B</t>
  </si>
  <si>
    <t xml:space="preserve">XLM-0811/0812</t>
  </si>
  <si>
    <t xml:space="preserve">UN60H6400 14 B</t>
  </si>
  <si>
    <t xml:space="preserve">XLM-1656/1655</t>
  </si>
  <si>
    <t xml:space="preserve">UN60AU8000G-60BU8000/2B</t>
  </si>
  <si>
    <t xml:space="preserve">XLM-1398</t>
  </si>
  <si>
    <t xml:space="preserve">UN65MU6500- 65KU6500/2B</t>
  </si>
  <si>
    <t xml:space="preserve">XLM-1712/1713</t>
  </si>
  <si>
    <t xml:space="preserve">UN65AU8000-65BU8000/2B</t>
  </si>
  <si>
    <t xml:space="preserve">XM6343</t>
  </si>
  <si>
    <t xml:space="preserve">QN65Q8CNAG</t>
  </si>
  <si>
    <t xml:space="preserve">XLM-W1411</t>
  </si>
  <si>
    <t xml:space="preserve">UN65 H6400</t>
  </si>
  <si>
    <t xml:space="preserve">XLM-1951/1952</t>
  </si>
  <si>
    <t xml:space="preserve">UN65 AU7000</t>
  </si>
  <si>
    <t xml:space="preserve">XLM-1373/1374</t>
  </si>
  <si>
    <t xml:space="preserve">UN65 MU6100/16B</t>
  </si>
  <si>
    <t xml:space="preserve">XLM-1661-1662</t>
  </si>
  <si>
    <t xml:space="preserve">UN65NU7100/2B</t>
  </si>
  <si>
    <t xml:space="preserve">XLM-0755</t>
  </si>
  <si>
    <t xml:space="preserve">UN70TU7000/10B/7L</t>
  </si>
  <si>
    <t xml:space="preserve">XLM-1671-1672</t>
  </si>
  <si>
    <t xml:space="preserve">UN70AU7000G 10B</t>
  </si>
  <si>
    <t xml:space="preserve">UN75F400/36B</t>
  </si>
  <si>
    <t xml:space="preserve">UN75TU7000/18B/4L</t>
  </si>
  <si>
    <t xml:space="preserve">XLM-1706-1707-1708</t>
  </si>
  <si>
    <t xml:space="preserve">75 AU8000-/4B</t>
  </si>
  <si>
    <t xml:space="preserve">ES-ELED-553/42/7020/3V W+W</t>
  </si>
  <si>
    <t xml:space="preserve">UN82TU7000/18B/5L</t>
  </si>
  <si>
    <t xml:space="preserve">XLM-2047-2048-2049</t>
  </si>
  <si>
    <t xml:space="preserve">65 TU8500</t>
  </si>
  <si>
    <t xml:space="preserve">XLM-2101</t>
  </si>
  <si>
    <t xml:space="preserve">UN85AU8000G  4B EGDE</t>
  </si>
  <si>
    <t xml:space="preserve">XLM-W1152</t>
  </si>
  <si>
    <t xml:space="preserve">ES-ELED-559/52/7020/3V W+W</t>
  </si>
  <si>
    <t xml:space="preserve">HAIER</t>
  </si>
  <si>
    <t xml:space="preserve">32B8000 3B/10LED/3V </t>
  </si>
  <si>
    <t xml:space="preserve">32B7000 3B/10LED/3V DOBLE CONECTOR</t>
  </si>
  <si>
    <t xml:space="preserve">40B8000 4B/12LED/3V</t>
  </si>
  <si>
    <t xml:space="preserve">42B8000 4B/15LEDS/3V</t>
  </si>
  <si>
    <t xml:space="preserve">43U6600 4B/ 8L/3V DIF 180º</t>
  </si>
  <si>
    <t xml:space="preserve">48M600 10B/6-7LEDS Y 4 -8LEDS/3V </t>
  </si>
  <si>
    <t xml:space="preserve">48M600 10B/8 - 8 LEDS/3V</t>
  </si>
  <si>
    <t xml:space="preserve">49 HAIER 9B/5L</t>
  </si>
  <si>
    <t xml:space="preserve">XLM - 2088/2089</t>
  </si>
  <si>
    <t xml:space="preserve">49 U6500 3V/6L/12B</t>
  </si>
  <si>
    <t xml:space="preserve">50M600D  7L/10B</t>
  </si>
  <si>
    <t xml:space="preserve">50U6600 5L/9B</t>
  </si>
  <si>
    <t xml:space="preserve">55U6500 8L/14B</t>
  </si>
  <si>
    <t xml:space="preserve">55 B8500  10L/14B  </t>
  </si>
  <si>
    <t xml:space="preserve">55B8000 14B/2B DE 8L Y 12B DE 7L</t>
  </si>
  <si>
    <t xml:space="preserve">55M600D 8L/12B</t>
  </si>
  <si>
    <t xml:space="preserve">65 HAIER LE65U6500DUA</t>
  </si>
  <si>
    <t xml:space="preserve">DAEWOO</t>
  </si>
  <si>
    <t xml:space="preserve">32 DAEWO V780-TCL 5L/6V -2B
MI L32M5-5ASP</t>
  </si>
  <si>
    <t xml:space="preserve">XLM-0214</t>
  </si>
  <si>
    <t xml:space="preserve">32 DAEWO S780 6L/6V -2B</t>
  </si>
  <si>
    <t xml:space="preserve">XLM-0099</t>
  </si>
  <si>
    <t xml:space="preserve">32 DAEWOO 8L/3V - 3B</t>
  </si>
  <si>
    <t xml:space="preserve">XLM-0084</t>
  </si>
  <si>
    <t xml:space="preserve">43-DAEWO L43R630BKS/ 8B</t>
  </si>
  <si>
    <t xml:space="preserve">XLM-0218</t>
  </si>
  <si>
    <t xml:space="preserve">43 DAEWO S780 3B/8LED/3V</t>
  </si>
  <si>
    <t xml:space="preserve">XLM-0156</t>
  </si>
  <si>
    <t xml:space="preserve">JL.D43081330-140FS-M</t>
  </si>
  <si>
    <t xml:space="preserve">43 DAEWO L43V780BTS 3B/7LED/3V</t>
  </si>
  <si>
    <t xml:space="preserve">XLM-0363</t>
  </si>
  <si>
    <t xml:space="preserve">JL.D43071330-0044AS-M_V01</t>
  </si>
  <si>
    <t xml:space="preserve">49-DAeWO/ 9B EL JUEGO</t>
  </si>
  <si>
    <t xml:space="preserve">XLM-0154</t>
  </si>
  <si>
    <t xml:space="preserve">49 DAEWO DOBLE PIN </t>
  </si>
  <si>
    <t xml:space="preserve">XLM-0153/0712</t>
  </si>
  <si>
    <t xml:space="preserve">49 DAEWOO L49R770BNS 6L/10B</t>
  </si>
  <si>
    <t xml:space="preserve">50 DAEWOO LS50U1   8B/4L/3v</t>
  </si>
  <si>
    <t xml:space="preserve">ES-4085/4 (YAN)</t>
  </si>
  <si>
    <t xml:space="preserve">SONY-PANASONIC</t>
  </si>
  <si>
    <t xml:space="preserve">KDL-32R425A SONY/3B</t>
  </si>
  <si>
    <t xml:space="preserve">KDL-32R405 SONY/4B</t>
  </si>
  <si>
    <t xml:space="preserve">32 PANASONIC 7L/3V/3B</t>
  </si>
  <si>
    <t xml:space="preserve">KDL-32 EX30 8L/4B</t>
  </si>
  <si>
    <t xml:space="preserve">KDL-32R304B/3B</t>
  </si>
  <si>
    <t xml:space="preserve">KDL-39R475B - SONY/10B</t>
  </si>
  <si>
    <t xml:space="preserve">40 SONY/AOC LE40D3142 -4B/9L</t>
  </si>
  <si>
    <t xml:space="preserve">XLM - 0981</t>
  </si>
  <si>
    <t xml:space="preserve">KDL-40R455 SONY/10B</t>
  </si>
  <si>
    <t xml:space="preserve">KDL-40W655A/3B SONY</t>
  </si>
  <si>
    <t xml:space="preserve">XLM-0787</t>
  </si>
  <si>
    <t xml:space="preserve">KDL-40R475 SONY/10B</t>
  </si>
  <si>
    <t xml:space="preserve">40  A400L PANASONIC/1B</t>
  </si>
  <si>
    <t xml:space="preserve">XLM-0607</t>
  </si>
  <si>
    <t xml:space="preserve">42 PANASONIC TC-L42E6L 1/B</t>
  </si>
  <si>
    <t xml:space="preserve">KDL-42R505A/1B</t>
  </si>
  <si>
    <t xml:space="preserve">KDL-42EX440/2B</t>
  </si>
  <si>
    <t xml:space="preserve">KDL - 46 R455/12B /3V</t>
  </si>
  <si>
    <t xml:space="preserve">KDL-47R505A/1B</t>
  </si>
  <si>
    <t xml:space="preserve">47 PANASONIC EDGE</t>
  </si>
  <si>
    <t xml:space="preserve">ES-422/66 (YAN)</t>
  </si>
  <si>
    <t xml:space="preserve">KDL-48W655D 4L</t>
  </si>
  <si>
    <t xml:space="preserve">KDL-49X705/8B</t>
  </si>
  <si>
    <t xml:space="preserve">XBR-55W805B/2B</t>
  </si>
  <si>
    <t xml:space="preserve">KDL-50R555A/1B</t>
  </si>
  <si>
    <t xml:space="preserve">KDL-50R555B/1B</t>
  </si>
  <si>
    <t xml:space="preserve">KDL-55X725E /2B</t>
  </si>
  <si>
    <t xml:space="preserve">XBR-55X805E/2B</t>
  </si>
  <si>
    <t xml:space="preserve">KDL-60X695E/5L/10B</t>
  </si>
  <si>
    <t xml:space="preserve">KDL-65X725E 2B</t>
  </si>
  <si>
    <t xml:space="preserve">KDL-65W855C 8L/3V/16B</t>
  </si>
  <si>
    <t xml:space="preserve">KDL-65X900C</t>
  </si>
  <si>
    <t xml:space="preserve">70W855 4B EDGE</t>
  </si>
  <si>
    <t xml:space="preserve">IRT-HPILIPS KONKA</t>
  </si>
  <si>
    <t xml:space="preserve">32 IRT/6L/2B/6V</t>
  </si>
  <si>
    <t xml:space="preserve">XLM - 0947</t>
  </si>
  <si>
    <t xml:space="preserve">32 F1000 KONKA 6L/LED3250HDD/CRONW TV3277D IRT</t>
  </si>
  <si>
    <t xml:space="preserve">40 IRT 8L/6V/3B</t>
  </si>
  <si>
    <t xml:space="preserve">40 IRT LED4060SFHD 8L/3V/3B</t>
  </si>
  <si>
    <t xml:space="preserve">XLM - 1439</t>
  </si>
  <si>
    <t xml:space="preserve">48 IRT 6L/6B </t>
  </si>
  <si>
    <t xml:space="preserve">50 IRT 50604  9L/ 4B</t>
  </si>
  <si>
    <t xml:space="preserve">50 IRT 50604 9L  lupa 180 4B</t>
  </si>
  <si>
    <t xml:space="preserve">55 IRT 5L/3V KONKA- CROWN-TV5577SD/9L/9B</t>
  </si>
  <si>
    <t xml:space="preserve">65 IRT 12B/6L</t>
  </si>
  <si>
    <t xml:space="preserve">XLM- W1858</t>
  </si>
  <si>
    <t xml:space="preserve">TOSHIBA</t>
  </si>
  <si>
    <t xml:space="preserve">43 L4700 TOSHIBA/6B (180 Bs) -43UJ-6200/LG/8B (200 BS)</t>
  </si>
  <si>
    <t xml:space="preserve">XLM-0051-0052</t>
  </si>
  <si>
    <t xml:space="preserve">43 TOSHIBA C350KB</t>
  </si>
  <si>
    <t xml:space="preserve">XLM-W16798</t>
  </si>
  <si>
    <t xml:space="preserve">49L4700 TOSHIBA 4B/8L</t>
  </si>
  <si>
    <t xml:space="preserve">XLM-0658</t>
  </si>
  <si>
    <t xml:space="preserve">50 TOSHIBA C350KB /8B</t>
  </si>
  <si>
    <t xml:space="preserve">XY-2203-XLM-2338</t>
  </si>
  <si>
    <t xml:space="preserve">55 MASTERG 55U4700 - 55 TOSHIBA 8B/5-6L</t>
  </si>
  <si>
    <t xml:space="preserve">55 TOSHIBA C350KB / 10L/4B</t>
  </si>
  <si>
    <t xml:space="preserve">XLM1860</t>
  </si>
  <si>
    <t xml:space="preserve">55 U7700 TOSHIBA 12B  3V 6L </t>
  </si>
  <si>
    <t xml:space="preserve">XLM-0902</t>
  </si>
  <si>
    <t xml:space="preserve">55 M550KB TOSHIBA 5B/14L</t>
  </si>
  <si>
    <t xml:space="preserve">ES-4599/14 (YAN)</t>
  </si>
  <si>
    <t xml:space="preserve">65U9700 TOSHIBA 2B</t>
  </si>
  <si>
    <t xml:space="preserve">HISENSE </t>
  </si>
  <si>
    <t xml:space="preserve">48 HISENSE /1B</t>
  </si>
  <si>
    <t xml:space="preserve">32 A 4H HISENSE 5L/3V/2B</t>
  </si>
  <si>
    <t xml:space="preserve">XLM - 2040</t>
  </si>
  <si>
    <t xml:space="preserve">50 HISENSE K321VW  6L/11B</t>
  </si>
  <si>
    <t xml:space="preserve">XLM-0694</t>
  </si>
  <si>
    <t xml:space="preserve">55K321 9B/6L/</t>
  </si>
  <si>
    <t xml:space="preserve">RSAG7,820.6367/ROH</t>
  </si>
  <si>
    <t xml:space="preserve">65  HISENSE K5500UW 4B EDGE</t>
  </si>
  <si>
    <t xml:space="preserve">65 HISENSE A6GSA 6B/8L/3V</t>
  </si>
  <si>
    <t xml:space="preserve">XLM-1848</t>
  </si>
  <si>
    <t xml:space="preserve">SKYWORTH</t>
  </si>
  <si>
    <t xml:space="preserve">32 SKYWORTH 2B/6LED/3V </t>
  </si>
  <si>
    <t xml:space="preserve">40 SKYWORTH TOSHIBA /3B</t>
  </si>
  <si>
    <t xml:space="preserve">43 TB70000 SKYWORTH 3B</t>
  </si>
  <si>
    <t xml:space="preserve">43 SKYWORTH SUC9350 8L /3B</t>
  </si>
  <si>
    <t xml:space="preserve">55 SKYWORTH SUC9350Pro /10L</t>
  </si>
  <si>
    <t xml:space="preserve">65 SKYWORTH 10B SUC Y EN OTRO MODELO 12 BARRAS</t>
  </si>
  <si>
    <t xml:space="preserve">65 SKYWORTH-65 UB7500 10B</t>
  </si>
  <si>
    <t xml:space="preserve">PREMIER</t>
  </si>
  <si>
    <t xml:space="preserve">32 CHINO CHUECO 2B PREMIER</t>
  </si>
  <si>
    <r>
      <rPr>
        <sz val="11"/>
        <color theme="1"/>
        <rFont val="Calibri"/>
        <family val="0"/>
        <charset val="1"/>
      </rPr>
      <t xml:space="preserve">40 o 39 PREMIER 3B/7-6-7 LEDS /6V  </t>
    </r>
    <r>
      <rPr>
        <sz val="11"/>
        <color rgb="FFFF0000"/>
        <rFont val="Calibri"/>
        <family val="0"/>
        <charset val="1"/>
      </rPr>
      <t xml:space="preserve">7180SF40</t>
    </r>
  </si>
  <si>
    <t xml:space="preserve">40-CHINO PREMIER 3B/8-8-8/6V</t>
  </si>
  <si>
    <t xml:space="preserve">40 CHINO 7L/3V/3B DIF 180º TV6368LSMIS</t>
  </si>
  <si>
    <r>
      <rPr>
        <sz val="11"/>
        <color theme="1"/>
        <rFont val="Calibri"/>
        <family val="0"/>
        <charset val="1"/>
      </rPr>
      <t xml:space="preserve">43 PREMIER 8L</t>
    </r>
    <r>
      <rPr>
        <b val="true"/>
        <sz val="11"/>
        <color theme="1"/>
        <rFont val="Calibri"/>
        <family val="0"/>
        <charset val="1"/>
      </rPr>
      <t xml:space="preserve">/3V</t>
    </r>
    <r>
      <rPr>
        <sz val="11"/>
        <color theme="1"/>
        <rFont val="Calibri"/>
        <family val="0"/>
        <charset val="1"/>
      </rPr>
      <t xml:space="preserve">/3B </t>
    </r>
    <r>
      <rPr>
        <sz val="11"/>
        <color rgb="FFFF0000"/>
        <rFont val="Calibri"/>
        <family val="0"/>
        <charset val="1"/>
      </rPr>
      <t xml:space="preserve">8047SF43SF</t>
    </r>
  </si>
  <si>
    <r>
      <rPr>
        <sz val="11"/>
        <color theme="1"/>
        <rFont val="Calibri"/>
        <family val="0"/>
        <charset val="1"/>
      </rPr>
      <t xml:space="preserve">43 PREMIER 8L</t>
    </r>
    <r>
      <rPr>
        <b val="true"/>
        <sz val="11"/>
        <color theme="1"/>
        <rFont val="Calibri"/>
        <family val="0"/>
        <charset val="1"/>
      </rPr>
      <t xml:space="preserve">/6V</t>
    </r>
    <r>
      <rPr>
        <sz val="11"/>
        <color theme="1"/>
        <rFont val="Calibri"/>
        <family val="0"/>
        <charset val="1"/>
      </rPr>
      <t xml:space="preserve">/3B</t>
    </r>
  </si>
  <si>
    <t xml:space="preserve">XLM - 0522/0523</t>
  </si>
  <si>
    <t xml:space="preserve">45 PREMIER 7L/4B</t>
  </si>
  <si>
    <t xml:space="preserve">50 PREMIER 6V/10L/4B EN PARALELO</t>
  </si>
  <si>
    <t xml:space="preserve">XLM - 1790</t>
  </si>
  <si>
    <t xml:space="preserve">50 PREMIER 3V/10L/4B</t>
  </si>
  <si>
    <t xml:space="preserve">50 PREMIER 10L/6V/4B -50 WESTPOINT TEJ -EN SERIE</t>
  </si>
  <si>
    <t xml:space="preserve">XLM - 1259</t>
  </si>
  <si>
    <t xml:space="preserve">55 PREMIER TV-7130SF55SF/9B</t>
  </si>
  <si>
    <t xml:space="preserve">58  PREMIER 5L/3V 10B</t>
  </si>
  <si>
    <t xml:space="preserve">58  PREMIER 5L/6V 10B/ TV-7327SF58SKWT</t>
  </si>
  <si>
    <t xml:space="preserve">60 PREMIER 10B/6L/3V</t>
  </si>
  <si>
    <t xml:space="preserve">65 PREMIER 11B/6L </t>
  </si>
  <si>
    <t xml:space="preserve">ES-3186/6</t>
  </si>
  <si>
    <t xml:space="preserve"> MASTER G</t>
  </si>
  <si>
    <t xml:space="preserve">32 MASTER G MGHF32WB 6L/3V/2B</t>
  </si>
  <si>
    <t xml:space="preserve">49 MASTER G/8B DAEWOO L49S780BTS</t>
  </si>
  <si>
    <t xml:space="preserve">50 MASTER G MGU5010X 8B / 6L</t>
  </si>
  <si>
    <t xml:space="preserve">58 MASTER G MGU5840X 3B/14L</t>
  </si>
  <si>
    <t xml:space="preserve">58 MASTER G MGU5810X 5L/10B
58G2 Skyworth</t>
  </si>
  <si>
    <t xml:space="preserve">CHINO</t>
  </si>
  <si>
    <t xml:space="preserve">19 PULG</t>
  </si>
  <si>
    <t xml:space="preserve">24 PULG</t>
  </si>
  <si>
    <t xml:space="preserve">27 PULG</t>
  </si>
  <si>
    <t xml:space="preserve">32 CHANCHONG CD1000 8L/3V/DIF. 180/3B 
32 CHANCHONG CD2000U 4B A 150 BS</t>
  </si>
  <si>
    <t xml:space="preserve">32 CHANCHONG CD2000 6L/3V/3B</t>
  </si>
  <si>
    <t xml:space="preserve">32 CHINO 2B/12LED/6V</t>
  </si>
  <si>
    <t xml:space="preserve">poner nombre</t>
  </si>
  <si>
    <t xml:space="preserve">32 D2900 TCL</t>
  </si>
  <si>
    <t xml:space="preserve">XY-0150</t>
  </si>
  <si>
    <t xml:space="preserve">32 PULG</t>
  </si>
  <si>
    <t xml:space="preserve">39 CHANCHONG CHIQ/3B</t>
  </si>
  <si>
    <t xml:space="preserve">40 CHANCHONG 10L/5B</t>
  </si>
  <si>
    <t xml:space="preserve">40 CHINO 6L/10B/3V</t>
  </si>
  <si>
    <t xml:space="preserve">40 CHINO TCL 10L/6V/2B DIF 180º</t>
  </si>
  <si>
    <t xml:space="preserve">40-CHINO 3B/8LED/3V CON DIFUSOR 180º</t>
  </si>
  <si>
    <r>
      <rPr>
        <sz val="11"/>
        <color theme="1"/>
        <rFont val="Calibri"/>
        <family val="0"/>
        <charset val="1"/>
      </rPr>
      <t xml:space="preserve">42 CHINO 8L</t>
    </r>
    <r>
      <rPr>
        <b val="true"/>
        <sz val="11"/>
        <color rgb="FFFF0000"/>
        <rFont val="Calibri"/>
        <family val="0"/>
        <charset val="1"/>
      </rPr>
      <t xml:space="preserve"> /6V</t>
    </r>
    <r>
      <rPr>
        <sz val="11"/>
        <color theme="1"/>
        <rFont val="Calibri"/>
        <family val="0"/>
        <charset val="1"/>
      </rPr>
      <t xml:space="preserve"> /3B</t>
    </r>
  </si>
  <si>
    <t xml:space="preserve">42 PULG. </t>
  </si>
  <si>
    <t xml:space="preserve">43-CHINO 3B/8LED/6V DIF 180º</t>
  </si>
  <si>
    <t xml:space="preserve">50 CHINO 6L/6V DIF 180/ POR B</t>
  </si>
  <si>
    <t xml:space="preserve">50 CHIQ 8L/4B</t>
  </si>
  <si>
    <t xml:space="preserve">50 DISMAC 4B/9L TV-6747SF50SFW (PREMIER)</t>
  </si>
  <si>
    <t xml:space="preserve">ES-3553/9 (YAN)</t>
  </si>
  <si>
    <t xml:space="preserve">50 PULG.</t>
  </si>
  <si>
    <t xml:space="preserve">50" 7-7/3V/5B  </t>
  </si>
  <si>
    <t xml:space="preserve">55 10B/5LED/3V </t>
  </si>
  <si>
    <t xml:space="preserve">55 AIWA CHIQ CROWN 15L/3V/6B DIF180º</t>
  </si>
  <si>
    <t xml:space="preserve">55 CHINO 12L/3B- 4S55X</t>
  </si>
  <si>
    <t xml:space="preserve">XLM-1192</t>
  </si>
  <si>
    <t xml:space="preserve">L55M5-5ASP-XIAOMI 4B/12L/3V</t>
  </si>
  <si>
    <t xml:space="preserve">55 PULG</t>
  </si>
  <si>
    <t xml:space="preserve">55 TCL /8B/MASTER MGS5502XMG-</t>
  </si>
  <si>
    <t xml:space="preserve">55 P735 TCL 15L/2B/3v/ DIF 180°</t>
  </si>
  <si>
    <t xml:space="preserve">XLM-0334</t>
  </si>
  <si>
    <t xml:space="preserve">55 XIAOMI L55M6A</t>
  </si>
  <si>
    <t xml:space="preserve">XLM-W2066</t>
  </si>
  <si>
    <t xml:space="preserve">55/5LED/6V/8B</t>
  </si>
  <si>
    <t xml:space="preserve">55/6L/6V/8B</t>
  </si>
  <si>
    <t xml:space="preserve">55 HISENSE K321UW/10B reemplazo 55 6L/3V/10B</t>
  </si>
  <si>
    <t xml:space="preserve">XY-446</t>
  </si>
  <si>
    <t xml:space="preserve">XY-0214/REEMPLAZO</t>
  </si>
  <si>
    <t xml:space="preserve">65 PULG.</t>
  </si>
  <si>
    <t xml:space="preserve">65 AIWA B4K 8L/6B/3v/ DIF 180°</t>
  </si>
  <si>
    <t xml:space="preserve">LED SUELTO 3V/2W C/C DIF. 180º</t>
  </si>
  <si>
    <t xml:space="preserve">LED SUELTO 3V/2W S/C  DIF. 180º</t>
  </si>
  <si>
    <t xml:space="preserve">LED SUELTO 6V/2W C/C DIF. 180º</t>
  </si>
  <si>
    <t xml:space="preserve">LED SUELTO 6V/2W S/C DIF. 180º</t>
  </si>
  <si>
    <t xml:space="preserve">LED SUELTO LUPA NORMAL 3V/2W S/C </t>
  </si>
  <si>
    <t xml:space="preserve">LED SUELTO LUPA NORMAL 6V/2W S/C</t>
  </si>
  <si>
    <t xml:space="preserve">AOC-JVC</t>
  </si>
  <si>
    <t xml:space="preserve">32 JVC RECTO /2B</t>
  </si>
  <si>
    <t xml:space="preserve">50 AOC /2B</t>
  </si>
  <si>
    <t xml:space="preserve">50 JVC KB527</t>
  </si>
  <si>
    <t xml:space="preserve">XLM-2555</t>
  </si>
  <si>
    <t xml:space="preserve">58 JVC 58KB858 4B/AIWA AW58B4K</t>
  </si>
  <si>
    <t xml:space="preserve">58 JVC 58KB527</t>
  </si>
  <si>
    <t xml:space="preserve">XLM-2269/2270</t>
  </si>
  <si>
    <t xml:space="preserve">LT-65 KB608 JVC /12B</t>
  </si>
  <si>
    <t xml:space="preserve">65 LT65KB527 10 B</t>
  </si>
  <si>
    <t xml:space="preserve">75 JVC /12B</t>
  </si>
  <si>
    <t xml:space="preserve">XLM-2127/2128</t>
  </si>
  <si>
    <t xml:space="preserve">75 JVC  KB527 14B/7L</t>
  </si>
  <si>
    <t xml:space="preserve">ES-4281/7 (YAN)</t>
  </si>
  <si>
    <t xml:space="preserve">SALIDAS</t>
  </si>
  <si>
    <t xml:space="preserve">Nº DE REGISTRO</t>
  </si>
  <si>
    <t xml:space="preserve">DESCRIPCION</t>
  </si>
  <si>
    <t xml:space="preserve">FECHA</t>
  </si>
  <si>
    <t xml:space="preserve">PRECIO JUEGO</t>
  </si>
  <si>
    <t xml:space="preserve">PRECIO BARRA</t>
  </si>
  <si>
    <t xml:space="preserve">CANT JUEGOS </t>
  </si>
  <si>
    <t xml:space="preserve">CANT BARRAS</t>
  </si>
  <si>
    <t xml:space="preserve">PRE A VENDER JUEGO</t>
  </si>
  <si>
    <t xml:space="preserve">PRE A VENDER BARRAS</t>
  </si>
  <si>
    <t xml:space="preserve">PRECIO VENDIDO </t>
  </si>
  <si>
    <t xml:space="preserve">P/NP</t>
  </si>
  <si>
    <t xml:space="preserve">DETALLE</t>
  </si>
  <si>
    <t xml:space="preserve">P</t>
  </si>
  <si>
    <t xml:space="preserve">MARCO</t>
  </si>
  <si>
    <t xml:space="preserve">REYNALDO VILLA EL CARMEN </t>
  </si>
  <si>
    <t xml:space="preserve">PEDRO</t>
  </si>
  <si>
    <t xml:space="preserve">ELMER</t>
  </si>
  <si>
    <t xml:space="preserve">RAMIRO</t>
  </si>
  <si>
    <t xml:space="preserve">ERLAN</t>
  </si>
  <si>
    <t xml:space="preserve">DON CRISTOBAL</t>
  </si>
  <si>
    <t xml:space="preserve">JULIAN</t>
  </si>
  <si>
    <t xml:space="preserve">PABLO</t>
  </si>
  <si>
    <t xml:space="preserve">PABLO-DEVOLVIO 09-01-2025</t>
  </si>
  <si>
    <t xml:space="preserve">FREDDY</t>
  </si>
  <si>
    <t xml:space="preserve">ENRIQUE</t>
  </si>
  <si>
    <t xml:space="preserve">N</t>
  </si>
  <si>
    <t xml:space="preserve">EN MAL ESTADO</t>
  </si>
  <si>
    <t xml:space="preserve">WILSON</t>
  </si>
  <si>
    <t xml:space="preserve">VENDIDO</t>
  </si>
  <si>
    <t xml:space="preserve">NESTOR</t>
  </si>
  <si>
    <t xml:space="preserve">EMILIO</t>
  </si>
  <si>
    <t xml:space="preserve">BERNARDO</t>
  </si>
  <si>
    <t xml:space="preserve">ELY</t>
  </si>
  <si>
    <t xml:space="preserve">DON GUSTAVO</t>
  </si>
  <si>
    <t xml:space="preserve">ORLANDO</t>
  </si>
  <si>
    <t xml:space="preserve">SAUL MAMANI </t>
  </si>
  <si>
    <t xml:space="preserve">JORGE</t>
  </si>
  <si>
    <t xml:space="preserve">ERLAN </t>
  </si>
  <si>
    <t xml:space="preserve">DON JULIO</t>
  </si>
  <si>
    <t xml:space="preserve">OSCAR</t>
  </si>
  <si>
    <t xml:space="preserve">FER-AGUILA</t>
  </si>
  <si>
    <t xml:space="preserve">DON JOSE </t>
  </si>
  <si>
    <t xml:space="preserve">DON RODO</t>
  </si>
  <si>
    <t xml:space="preserve">QR</t>
  </si>
  <si>
    <t xml:space="preserve">ELECTRONICA RYR</t>
  </si>
  <si>
    <t xml:space="preserve">P/CON FACTURA</t>
  </si>
  <si>
    <t xml:space="preserve">JAVIER EPS</t>
  </si>
  <si>
    <t xml:space="preserve">JAVIER A - ENVIO QUILLACOLLO</t>
  </si>
  <si>
    <t xml:space="preserve">NELSON ENVIO SUCRE</t>
  </si>
  <si>
    <t xml:space="preserve">RAMIRO </t>
  </si>
  <si>
    <t xml:space="preserve">WILSON </t>
  </si>
  <si>
    <t xml:space="preserve">PARA VENTA EN BARRAS</t>
  </si>
  <si>
    <t xml:space="preserve">DARCY PAGO </t>
  </si>
  <si>
    <t xml:space="preserve">PATO </t>
  </si>
  <si>
    <t xml:space="preserve">JULIO</t>
  </si>
  <si>
    <t xml:space="preserve">LIMBER</t>
  </si>
  <si>
    <t xml:space="preserve">ELY </t>
  </si>
  <si>
    <t xml:space="preserve">RAUL </t>
  </si>
  <si>
    <t xml:space="preserve">NP</t>
  </si>
  <si>
    <t xml:space="preserve">PAGO #3793 43V780</t>
  </si>
  <si>
    <t xml:space="preserve">PAGO DE SAMUEL</t>
  </si>
  <si>
    <t xml:space="preserve">FIDEL </t>
  </si>
  <si>
    <t xml:space="preserve">CHUQUIAGUILLO</t>
  </si>
  <si>
    <t xml:space="preserve">CLIENTE MARCO</t>
  </si>
  <si>
    <t xml:space="preserve">RAMIRO-MOTO</t>
  </si>
  <si>
    <t xml:space="preserve">PAGO #3205 27 PULG.</t>
  </si>
  <si>
    <t xml:space="preserve">PAGO DE GONZALO</t>
  </si>
  <si>
    <t xml:space="preserve">GUS</t>
  </si>
  <si>
    <t xml:space="preserve">ENVIO A RIBERALTA-EDWIN VILLARROEL</t>
  </si>
  <si>
    <t xml:space="preserve">JUANJO</t>
  </si>
  <si>
    <t xml:space="preserve">GUSTAVO</t>
  </si>
  <si>
    <t xml:space="preserve">ROLANDO</t>
  </si>
  <si>
    <t xml:space="preserve">PABLO HUMEREZ</t>
  </si>
  <si>
    <t xml:space="preserve">BLADIMIR</t>
  </si>
  <si>
    <t xml:space="preserve">DON FREDY </t>
  </si>
  <si>
    <t xml:space="preserve">ALEX ELECTRONICA LG</t>
  </si>
  <si>
    <t xml:space="preserve">TECNICO DE VILLA EL CARMEN </t>
  </si>
  <si>
    <t xml:space="preserve">GREGORI</t>
  </si>
  <si>
    <t xml:space="preserve">PEDRO </t>
  </si>
  <si>
    <t xml:space="preserve">MARCO </t>
  </si>
  <si>
    <t xml:space="preserve">RAUL CAMACHO</t>
  </si>
  <si>
    <t xml:space="preserve">CON FACTURA/ JAVIER EPS</t>
  </si>
  <si>
    <t xml:space="preserve">BLADIMIR DEYSI</t>
  </si>
  <si>
    <t xml:space="preserve">REYNALDO PLAZA DEL MAESTRO</t>
  </si>
  <si>
    <t xml:space="preserve">QR </t>
  </si>
  <si>
    <t xml:space="preserve">FREDDY </t>
  </si>
  <si>
    <t xml:space="preserve">ENVIO POTOSI-SAUL MAMANI</t>
  </si>
  <si>
    <t xml:space="preserve">JULIAN </t>
  </si>
  <si>
    <t xml:space="preserve">JOSE LUIS</t>
  </si>
  <si>
    <t xml:space="preserve">QUIQUE</t>
  </si>
  <si>
    <t xml:space="preserve">SAMUEL </t>
  </si>
  <si>
    <t xml:space="preserve">FER AGUILA </t>
  </si>
  <si>
    <t xml:space="preserve">JESUS</t>
  </si>
  <si>
    <t xml:space="preserve">EFRAIN</t>
  </si>
  <si>
    <t xml:space="preserve">ESPINAL</t>
  </si>
  <si>
    <t xml:space="preserve">RAMIRO MAS UN MODULO</t>
  </si>
  <si>
    <t xml:space="preserve">PABLO-</t>
  </si>
  <si>
    <t xml:space="preserve">GUS </t>
  </si>
  <si>
    <t xml:space="preserve">FER PATO </t>
  </si>
  <si>
    <t xml:space="preserve">EDUARDO JUDIO</t>
  </si>
  <si>
    <t xml:space="preserve">ENVIO A LLALLAGUA-ABDON INCA </t>
  </si>
  <si>
    <t xml:space="preserve">FRANCO </t>
  </si>
  <si>
    <t xml:space="preserve">REYNALDO</t>
  </si>
  <si>
    <t xml:space="preserve">VENDIDO-JUDIO</t>
  </si>
  <si>
    <t xml:space="preserve">EVER NARVAEZ</t>
  </si>
  <si>
    <t xml:space="preserve">VICTOR ELMER</t>
  </si>
  <si>
    <t xml:space="preserve">QUIQUE </t>
  </si>
  <si>
    <t xml:space="preserve">DON MARIO </t>
  </si>
  <si>
    <t xml:space="preserve">EDWIN </t>
  </si>
  <si>
    <t xml:space="preserve">G</t>
  </si>
  <si>
    <t xml:space="preserve">ERLAN LE DIO A RAMIRO SIN COSTO</t>
  </si>
  <si>
    <t xml:space="preserve">p</t>
  </si>
  <si>
    <t xml:space="preserve">ENVIO A RIBERALTA</t>
  </si>
  <si>
    <t xml:space="preserve">FREDY</t>
  </si>
  <si>
    <t xml:space="preserve">WALTER </t>
  </si>
  <si>
    <t xml:space="preserve">DON JULIO </t>
  </si>
  <si>
    <t xml:space="preserve">VENDIO SANDRA</t>
  </si>
  <si>
    <t xml:space="preserve">ENVIO A CBBA MARCO ANZE</t>
  </si>
  <si>
    <t xml:space="preserve">DON JUAN</t>
  </si>
  <si>
    <t xml:space="preserve">DON TEO</t>
  </si>
  <si>
    <t xml:space="preserve">EDWIN AYAVIRI-ENTREGA EL ALTO</t>
  </si>
  <si>
    <t xml:space="preserve">RAUL MOTO</t>
  </si>
  <si>
    <t xml:space="preserve">DARCY</t>
  </si>
  <si>
    <t xml:space="preserve">ENVIO LLALLAGUA-ABDON INCA</t>
  </si>
  <si>
    <t xml:space="preserve">JOSE</t>
  </si>
  <si>
    <t xml:space="preserve">GABRIEL ARACENA</t>
  </si>
  <si>
    <t xml:space="preserve">ELLMER</t>
  </si>
  <si>
    <t xml:space="preserve">RAMIRO MOTO</t>
  </si>
  <si>
    <t xml:space="preserve">EDUARDO</t>
  </si>
  <si>
    <t xml:space="preserve">ENVIO A POTOSI-SAUL MAMANI CH.</t>
  </si>
  <si>
    <t xml:space="preserve">´VENDIDO</t>
  </si>
  <si>
    <t xml:space="preserve">VENDIDO ALEX-SOLO SE COBRO CAPITAL-GARANTIA</t>
  </si>
  <si>
    <t xml:space="preserve">JUAN CONZA</t>
  </si>
  <si>
    <t xml:space="preserve">ENVIO A POTOSI-NOEL VILLCA</t>
  </si>
  <si>
    <t xml:space="preserve">ORLANDO </t>
  </si>
  <si>
    <t xml:space="preserve">VENDIDO </t>
  </si>
  <si>
    <t xml:space="preserve">DON CRISTOBAL </t>
  </si>
  <si>
    <t xml:space="preserve">ERLAN VENDIO</t>
  </si>
  <si>
    <t xml:space="preserve">TELEFERICO MORADO </t>
  </si>
  <si>
    <t xml:space="preserve">VICTOR CECER</t>
  </si>
  <si>
    <t xml:space="preserve">DON MARIO</t>
  </si>
  <si>
    <t xml:space="preserve">P </t>
  </si>
  <si>
    <t xml:space="preserve">SABINO</t>
  </si>
  <si>
    <t xml:space="preserve">ALEX</t>
  </si>
  <si>
    <t xml:space="preserve">JAVIER EPS CON FACTURA </t>
  </si>
  <si>
    <t xml:space="preserve">TECNICO CHUQUIAGUILLO </t>
  </si>
  <si>
    <t xml:space="preserve">ENVIO QUILLACOLLO </t>
  </si>
  <si>
    <t xml:space="preserve">LIMBERT</t>
  </si>
  <si>
    <t xml:space="preserve">GARANTIA ELMER </t>
  </si>
  <si>
    <t xml:space="preserve">CARLOS</t>
  </si>
  <si>
    <t xml:space="preserve">BARCO</t>
  </si>
  <si>
    <t xml:space="preserve">RAMIRO HERMANO DE JUDIO</t>
  </si>
  <si>
    <t xml:space="preserve">ELECTRONICA LG</t>
  </si>
  <si>
    <t xml:space="preserve">ALBERTO CORIPATA</t>
  </si>
  <si>
    <t xml:space="preserve">STICH</t>
  </si>
  <si>
    <t xml:space="preserve">GABRIEL MARTINEZ COCHA</t>
  </si>
  <si>
    <t xml:space="preserve">SAUL MAMANICHOQUERIBE</t>
  </si>
  <si>
    <t xml:space="preserve">DEBE  SAUL </t>
  </si>
  <si>
    <t xml:space="preserve">PARA VENDER POR BARRA</t>
  </si>
  <si>
    <t xml:space="preserve">ROBERTO</t>
  </si>
  <si>
    <t xml:space="preserve">NOEL POTOSI</t>
  </si>
  <si>
    <t xml:space="preserve">GARANTIA SAUL MAMANI</t>
  </si>
  <si>
    <t xml:space="preserve">FELIPE</t>
  </si>
  <si>
    <t xml:space="preserve">LINO</t>
  </si>
  <si>
    <t xml:space="preserve">DEBE PEDRO</t>
  </si>
  <si>
    <t xml:space="preserve">NARVAES</t>
  </si>
  <si>
    <t xml:space="preserve">LEOPOLDO</t>
  </si>
  <si>
    <t xml:space="preserve">ELECTRONICA RY R</t>
  </si>
  <si>
    <t xml:space="preserve">GARANTIA PABLO</t>
  </si>
  <si>
    <t xml:space="preserve">JULIO MITA</t>
  </si>
  <si>
    <t xml:space="preserve">FRANKLIN COCTA COTA</t>
  </si>
  <si>
    <t xml:space="preserve">AQUINO</t>
  </si>
  <si>
    <t xml:space="preserve">JL LASCANO</t>
  </si>
  <si>
    <t xml:space="preserve">PARA VENTA DE BARRAS</t>
  </si>
  <si>
    <t xml:space="preserve">DEBE MARCO</t>
  </si>
  <si>
    <t xml:space="preserve">LEONARDO</t>
  </si>
  <si>
    <t xml:space="preserve">MAXWELL ORURO</t>
  </si>
  <si>
    <t xml:space="preserve">PLAZA DEL MAESTRO</t>
  </si>
  <si>
    <t xml:space="preserve">DEBE PAPA RODO</t>
  </si>
  <si>
    <t xml:space="preserve">SAUL MAMANI POTOSI</t>
  </si>
  <si>
    <t xml:space="preserve">ALEXIS</t>
  </si>
  <si>
    <t xml:space="preserve">ROGER</t>
  </si>
  <si>
    <t xml:space="preserve">FALTANTE</t>
  </si>
  <si>
    <t xml:space="preserve"> MARCO</t>
  </si>
  <si>
    <t xml:space="preserve">JAVIER</t>
  </si>
  <si>
    <t xml:space="preserve">JUDIO</t>
  </si>
  <si>
    <t xml:space="preserve">VICTOS CESER</t>
  </si>
  <si>
    <t xml:space="preserve">VICTOR CESER</t>
  </si>
  <si>
    <t xml:space="preserve">HENRRY</t>
  </si>
  <si>
    <t xml:space="preserve">VICTOR</t>
  </si>
  <si>
    <t xml:space="preserve">CERAPIO COCHA ENVIO</t>
  </si>
  <si>
    <t xml:space="preserve">ELEC. LG</t>
  </si>
  <si>
    <t xml:space="preserve">DEMETRIO POTISI</t>
  </si>
  <si>
    <t xml:space="preserve">PAPA RODO</t>
  </si>
  <si>
    <t xml:space="preserve"> EDUARDO CJ</t>
  </si>
  <si>
    <t xml:space="preserve">NOEL VILLCA</t>
  </si>
  <si>
    <t xml:space="preserve">CRITOBAL</t>
  </si>
  <si>
    <t xml:space="preserve">EDUARDO CJ</t>
  </si>
  <si>
    <t xml:space="preserve">PATO</t>
  </si>
  <si>
    <t xml:space="preserve">FRANCO</t>
  </si>
  <si>
    <t xml:space="preserve">GUIDO RAMOS</t>
  </si>
  <si>
    <t xml:space="preserve">EDY</t>
  </si>
  <si>
    <t xml:space="preserve">JOSE LUIS CARANAVI</t>
  </si>
  <si>
    <t xml:space="preserve">MARIO</t>
  </si>
  <si>
    <t xml:space="preserve">QR Y EFC</t>
  </si>
  <si>
    <t xml:space="preserve">vendido</t>
  </si>
  <si>
    <t xml:space="preserve">RAMIRO PAMPAHASI</t>
  </si>
  <si>
    <t xml:space="preserve">ELECTRONOCA RYR</t>
  </si>
  <si>
    <t xml:space="preserve">fredy</t>
  </si>
  <si>
    <t xml:space="preserve">CRYS</t>
  </si>
  <si>
    <t xml:space="preserve">6R3AND6</t>
  </si>
  <si>
    <t xml:space="preserve">FEDERICO SALAS</t>
  </si>
  <si>
    <t xml:space="preserve">JOSE FRANCO</t>
  </si>
  <si>
    <t xml:space="preserve">FLACO</t>
  </si>
  <si>
    <t xml:space="preserve">GARANTIA ROBERTO</t>
  </si>
  <si>
    <t xml:space="preserve">STCH</t>
  </si>
  <si>
    <t xml:space="preserve">JOSE LUIS ESPINAL</t>
  </si>
  <si>
    <t xml:space="preserve">DEYVI</t>
  </si>
  <si>
    <t xml:space="preserve">CRISTIAN</t>
  </si>
  <si>
    <t xml:space="preserve">NOEL VILLCA POTOSI</t>
  </si>
  <si>
    <t xml:space="preserve">GONZALO</t>
  </si>
  <si>
    <t xml:space="preserve">HERMANO DE JUDIO</t>
  </si>
  <si>
    <t xml:space="preserve">AJUSTE FALTANTE</t>
  </si>
  <si>
    <t xml:space="preserve">DEYVIS</t>
  </si>
  <si>
    <t xml:space="preserve">P DEL MAESTRO</t>
  </si>
  <si>
    <t xml:space="preserve">PLAZA DE MAESTRO</t>
  </si>
  <si>
    <t xml:space="preserve">MERTINEZ SANTA CRUZ</t>
  </si>
  <si>
    <t xml:space="preserve">ELECTRONICA LG </t>
  </si>
  <si>
    <t xml:space="preserve">MARIO AMPUERO</t>
  </si>
  <si>
    <t xml:space="preserve">AGUILA</t>
  </si>
  <si>
    <t xml:space="preserve">WLISON</t>
  </si>
  <si>
    <t xml:space="preserve">JAIME POMA</t>
  </si>
  <si>
    <t xml:space="preserve">CRISTOBAL</t>
  </si>
  <si>
    <t xml:space="preserve">LUCHO</t>
  </si>
  <si>
    <t xml:space="preserve">ramiro villa armonia</t>
  </si>
  <si>
    <t xml:space="preserve">ELEMER</t>
  </si>
  <si>
    <t xml:space="preserve">SIMON</t>
  </si>
  <si>
    <t xml:space="preserve">PEDRO DEBE</t>
  </si>
  <si>
    <t xml:space="preserve">JOSE DEBE</t>
  </si>
  <si>
    <t xml:space="preserve">ELECTRONOCA LG</t>
  </si>
  <si>
    <t xml:space="preserve">ALTO</t>
  </si>
  <si>
    <t xml:space="preserve">ELEMR</t>
  </si>
  <si>
    <t xml:space="preserve">GARANTIA ELCTRONICA RYR</t>
  </si>
  <si>
    <t xml:space="preserve">HIJO TEO</t>
  </si>
  <si>
    <t xml:space="preserve">AJUSTE </t>
  </si>
  <si>
    <t xml:space="preserve">VENTA POR BARARS PABLO</t>
  </si>
  <si>
    <t xml:space="preserve">EL ALTO</t>
  </si>
  <si>
    <t xml:space="preserve">MERCO</t>
  </si>
  <si>
    <t xml:space="preserve">SAMUEL</t>
  </si>
  <si>
    <t xml:space="preserve">DELIVERI</t>
  </si>
  <si>
    <t xml:space="preserve">DON VICTOR CESER</t>
  </si>
  <si>
    <t xml:space="preserve">JULITO</t>
  </si>
  <si>
    <t xml:space="preserve">TIO FREDY</t>
  </si>
  <si>
    <t xml:space="preserve">GARANTIA ELY</t>
  </si>
  <si>
    <t xml:space="preserve">JORGE HUAYGUA POTOSI</t>
  </si>
  <si>
    <t xml:space="preserve">ELECTRONOCA LG DEBE 100</t>
  </si>
  <si>
    <t xml:space="preserve">LEONERDO</t>
  </si>
  <si>
    <t xml:space="preserve">CHIFU</t>
  </si>
  <si>
    <t xml:space="preserve">JUANITO</t>
  </si>
  <si>
    <t xml:space="preserve">GARANTIA</t>
  </si>
  <si>
    <t xml:space="preserve">JOSE ESPINAL</t>
  </si>
  <si>
    <t xml:space="preserve">ACHACHICALA</t>
  </si>
  <si>
    <t xml:space="preserve">GABRIEL  NARVAES</t>
  </si>
  <si>
    <t xml:space="preserve">TEO CHASQUI</t>
  </si>
  <si>
    <t xml:space="preserve">ROBERTO SANGA</t>
  </si>
  <si>
    <t xml:space="preserve">LLEVO PERDRO PARA HECER LA PRUEBA</t>
  </si>
  <si>
    <t xml:space="preserve">erLAN</t>
  </si>
  <si>
    <t xml:space="preserve">CINE</t>
  </si>
  <si>
    <t xml:space="preserve">ALFREDO</t>
  </si>
  <si>
    <t xml:space="preserve">ANIBAL AQUINO LLALLAGUA</t>
  </si>
  <si>
    <t xml:space="preserve">MEARCO</t>
  </si>
  <si>
    <t xml:space="preserve">EMILIO PERI</t>
  </si>
  <si>
    <t xml:space="preserve">PARA VENDER POR BARRAS</t>
  </si>
  <si>
    <t xml:space="preserve">SANTOS LIMBER</t>
  </si>
  <si>
    <t xml:space="preserve">DEMETRIO POTOSI</t>
  </si>
  <si>
    <t xml:space="preserve">AJUSTE INVENTARIO</t>
  </si>
  <si>
    <t xml:space="preserve">VENTA POR BARRAS</t>
  </si>
  <si>
    <t xml:space="preserve">            </t>
  </si>
  <si>
    <t xml:space="preserve">ENTRADAS</t>
  </si>
  <si>
    <t xml:space="preserve">CODIGO</t>
  </si>
  <si>
    <t xml:space="preserve">FECHA </t>
  </si>
  <si>
    <t xml:space="preserve">CAN JUEGOS </t>
  </si>
  <si>
    <t xml:space="preserve">CAN BARRAS</t>
  </si>
  <si>
    <t xml:space="preserve">PRECIO</t>
  </si>
  <si>
    <t xml:space="preserve">PRECIO UNITARIO</t>
  </si>
  <si>
    <t xml:space="preserve">Columna1</t>
  </si>
  <si>
    <t xml:space="preserve">COMPRA  CHINA -YAN </t>
  </si>
  <si>
    <t xml:space="preserve">COMPRA-1</t>
  </si>
  <si>
    <t xml:space="preserve">COMPRA LINDY</t>
  </si>
  <si>
    <t xml:space="preserve">COMPRA-2</t>
  </si>
  <si>
    <t xml:space="preserve">COMPRA-3</t>
  </si>
  <si>
    <t xml:space="preserve">COMPRA DE ROBERTO</t>
  </si>
  <si>
    <t xml:space="preserve">PARA VENTAD E BARRAS</t>
  </si>
  <si>
    <t xml:space="preserve">SEPARAMOS PARA HACER JUEGOS  55 CHINO 12L</t>
  </si>
  <si>
    <t xml:space="preserve">COMPRA LED DE ROBERTO</t>
  </si>
  <si>
    <t xml:space="preserve">COMPRA LINDY -4</t>
  </si>
  <si>
    <t xml:space="preserve">AJUSTE</t>
  </si>
  <si>
    <t xml:space="preserve">ajuste</t>
  </si>
  <si>
    <t xml:space="preserve">VENTA DE BARRAS</t>
  </si>
  <si>
    <t xml:space="preserve">COMPRA LINDY - 3</t>
  </si>
  <si>
    <t xml:space="preserve">ELECTRÓNICA ERLAN ( CATÁLOGO DE LED TV)</t>
  </si>
  <si>
    <t xml:space="preserve">SAMSUNG </t>
  </si>
  <si>
    <t xml:space="preserve">COD</t>
  </si>
  <si>
    <t xml:space="preserve">PRECIO </t>
  </si>
  <si>
    <t xml:space="preserve">32 PARA ADAPTAR LG/POR B</t>
  </si>
  <si>
    <r>
      <rPr>
        <sz val="9"/>
        <color theme="1"/>
        <rFont val="Calibri"/>
        <family val="0"/>
        <charset val="1"/>
      </rPr>
      <t xml:space="preserve">UN48H4200/8B </t>
    </r>
    <r>
      <rPr>
        <sz val="9"/>
        <color rgb="FFFF0000"/>
        <rFont val="Calibri"/>
        <family val="0"/>
        <charset val="1"/>
      </rPr>
      <t xml:space="preserve">LH48EBDNLGG/ZS</t>
    </r>
  </si>
  <si>
    <t xml:space="preserve">UN55H6400 - UN55J6400/12B</t>
  </si>
  <si>
    <t xml:space="preserve">UN75F6400/36B</t>
  </si>
  <si>
    <t xml:space="preserve">                                </t>
  </si>
  <si>
    <t xml:space="preserve">43 L4700 TOSHIBA/6B (180 Bs) -43UJ-6200/LG/8B</t>
  </si>
  <si>
    <t xml:space="preserve">SONY - PANASONIC</t>
  </si>
  <si>
    <t xml:space="preserve">32 CHANCHONG CD1000 8L/3V/DIF. 180 
32 CHANCHONG CD2000U 4B A 150 BS</t>
  </si>
  <si>
    <t xml:space="preserve">KDL-40R475- 40W605B-SONY/10B</t>
  </si>
  <si>
    <r>
      <rPr>
        <sz val="9"/>
        <color theme="1"/>
        <rFont val="Calibri"/>
        <family val="0"/>
        <charset val="1"/>
      </rPr>
      <t xml:space="preserve">42 CHINO 8L</t>
    </r>
    <r>
      <rPr>
        <b val="true"/>
        <sz val="9"/>
        <color rgb="FFFF0000"/>
        <rFont val="Calibri"/>
        <family val="0"/>
        <charset val="1"/>
      </rPr>
      <t xml:space="preserve"> /6V</t>
    </r>
    <r>
      <rPr>
        <sz val="9"/>
        <color theme="1"/>
        <rFont val="Calibri"/>
        <family val="0"/>
        <charset val="1"/>
      </rPr>
      <t xml:space="preserve"> /3B</t>
    </r>
  </si>
  <si>
    <r>
      <rPr>
        <sz val="8"/>
        <color theme="1"/>
        <rFont val="Calibri"/>
        <family val="0"/>
        <charset val="1"/>
      </rPr>
      <t xml:space="preserve">50 DISMAC 4B/9L -</t>
    </r>
    <r>
      <rPr>
        <sz val="8"/>
        <color rgb="FFFF0000"/>
        <rFont val="Calibri"/>
        <family val="0"/>
        <charset val="1"/>
      </rPr>
      <t xml:space="preserve"> TV-6747SF50SFW PREMIER</t>
    </r>
  </si>
  <si>
    <r>
      <rPr>
        <sz val="8"/>
        <color theme="1"/>
        <rFont val="Calibri"/>
        <family val="0"/>
        <charset val="1"/>
      </rPr>
      <t xml:space="preserve">55 CHINO 12L/3B/ </t>
    </r>
    <r>
      <rPr>
        <sz val="8"/>
        <color rgb="FFFF0000"/>
        <rFont val="Calibri"/>
        <family val="0"/>
        <charset val="1"/>
      </rPr>
      <t xml:space="preserve">MG4S55X MASTER-G</t>
    </r>
  </si>
  <si>
    <t xml:space="preserve">L55M5-5ASP XIAOMI 4B/12L/3V</t>
  </si>
  <si>
    <r>
      <rPr>
        <sz val="9"/>
        <color theme="1"/>
        <rFont val="Calibri"/>
        <family val="0"/>
        <charset val="1"/>
      </rPr>
      <t xml:space="preserve">55 TCL /8B/</t>
    </r>
    <r>
      <rPr>
        <sz val="9"/>
        <color rgb="FFFF0000"/>
        <rFont val="Calibri"/>
        <family val="0"/>
        <charset val="1"/>
      </rPr>
      <t xml:space="preserve">MG-S5502XMG-5504X</t>
    </r>
  </si>
  <si>
    <t xml:space="preserve">55 CHINO 6L/3V/10B REMPLAZO DEL HISENSE 55</t>
  </si>
  <si>
    <t xml:space="preserve">HAIER </t>
  </si>
  <si>
    <t xml:space="preserve">IRT</t>
  </si>
  <si>
    <t xml:space="preserve">65 SKYWORTH 10B SUC</t>
  </si>
  <si>
    <t xml:space="preserve">MASTER G</t>
  </si>
  <si>
    <r>
      <rPr>
        <sz val="9"/>
        <color theme="1"/>
        <rFont val="Calibri"/>
        <family val="0"/>
        <charset val="1"/>
      </rPr>
      <t xml:space="preserve">40-39 PREM 3B/7-6L/6V </t>
    </r>
    <r>
      <rPr>
        <sz val="9"/>
        <color rgb="FFFF0000"/>
        <rFont val="Calibri"/>
        <family val="0"/>
        <charset val="1"/>
      </rPr>
      <t xml:space="preserve">7180SF40</t>
    </r>
  </si>
  <si>
    <t xml:space="preserve">58 MASTER G MGU5840X-58A6150FS- 3B/14L</t>
  </si>
  <si>
    <r>
      <rPr>
        <sz val="9"/>
        <color theme="1"/>
        <rFont val="Calibri"/>
        <family val="0"/>
        <charset val="1"/>
      </rPr>
      <t xml:space="preserve">43 PREMIER 8L</t>
    </r>
    <r>
      <rPr>
        <b val="true"/>
        <sz val="9"/>
        <color theme="1"/>
        <rFont val="Calibri"/>
        <family val="0"/>
        <charset val="1"/>
      </rPr>
      <t xml:space="preserve">/3V</t>
    </r>
    <r>
      <rPr>
        <sz val="9"/>
        <color theme="1"/>
        <rFont val="Calibri"/>
        <family val="0"/>
        <charset val="1"/>
      </rPr>
      <t xml:space="preserve">/3B </t>
    </r>
    <r>
      <rPr>
        <sz val="9"/>
        <color rgb="FFFF0000"/>
        <rFont val="Calibri"/>
        <family val="0"/>
        <charset val="1"/>
      </rPr>
      <t xml:space="preserve">8047SF43SF</t>
    </r>
  </si>
  <si>
    <r>
      <rPr>
        <sz val="9"/>
        <color theme="1"/>
        <rFont val="Calibri"/>
        <family val="0"/>
        <charset val="1"/>
      </rPr>
      <t xml:space="preserve">43 PREMIER 8L</t>
    </r>
    <r>
      <rPr>
        <b val="true"/>
        <sz val="9"/>
        <color theme="1"/>
        <rFont val="Calibri"/>
        <family val="0"/>
        <charset val="1"/>
      </rPr>
      <t xml:space="preserve">/6V</t>
    </r>
    <r>
      <rPr>
        <sz val="9"/>
        <color theme="1"/>
        <rFont val="Calibri"/>
        <family val="0"/>
        <charset val="1"/>
      </rPr>
      <t xml:space="preserve">/3B</t>
    </r>
  </si>
  <si>
    <t xml:space="preserve">JVC- AOC</t>
  </si>
  <si>
    <t xml:space="preserve">ELECTRÓNICA ERLAN</t>
  </si>
  <si>
    <t xml:space="preserve">STOCK DE LED TV</t>
  </si>
  <si>
    <t xml:space="preserve">STOCK</t>
  </si>
  <si>
    <t xml:space="preserve">43 L4700 TOSHIBA/6B (180 Bs) -43UJ-6200/LG/8B BARRAS</t>
  </si>
  <si>
    <t xml:space="preserve">XY-2203</t>
  </si>
  <si>
    <t xml:space="preserve">CATÁLOGO DE LED TV</t>
  </si>
  <si>
    <r>
      <rPr>
        <sz val="9"/>
        <color theme="1"/>
        <rFont val="Calibri"/>
        <family val="0"/>
        <charset val="1"/>
      </rPr>
      <t xml:space="preserve">42 CHINO 8L</t>
    </r>
    <r>
      <rPr>
        <b val="true"/>
        <sz val="9"/>
        <color theme="1"/>
        <rFont val="Calibri"/>
        <family val="0"/>
        <charset val="1"/>
      </rPr>
      <t xml:space="preserve"> /6V</t>
    </r>
    <r>
      <rPr>
        <sz val="9"/>
        <color theme="1"/>
        <rFont val="Calibri"/>
        <family val="0"/>
        <charset val="1"/>
      </rPr>
      <t xml:space="preserve"> /3B</t>
    </r>
  </si>
  <si>
    <r>
      <rPr>
        <sz val="8"/>
        <color theme="1"/>
        <rFont val="Calibri"/>
        <family val="0"/>
        <charset val="1"/>
      </rPr>
      <t xml:space="preserve">55 CHINO 12L/3B- </t>
    </r>
    <r>
      <rPr>
        <sz val="8"/>
        <color rgb="FFFF0000"/>
        <rFont val="Calibri"/>
        <family val="0"/>
        <charset val="1"/>
      </rPr>
      <t xml:space="preserve">MG 4S55X MASTER G</t>
    </r>
  </si>
  <si>
    <t xml:space="preserve">L55 M5- 5ASP XIAOMI 4B/12L/3V</t>
  </si>
  <si>
    <r>
      <rPr>
        <sz val="6"/>
        <color theme="1"/>
        <rFont val="Calibri"/>
        <family val="0"/>
        <charset val="1"/>
      </rPr>
      <t xml:space="preserve">55 TCL /8B/</t>
    </r>
    <r>
      <rPr>
        <sz val="6"/>
        <color rgb="FFFF0000"/>
        <rFont val="Calibri"/>
        <family val="0"/>
        <charset val="1"/>
      </rPr>
      <t xml:space="preserve">MASTER MGS5502XMG-5504X</t>
    </r>
  </si>
  <si>
    <t xml:space="preserve">55 HISENSE K321UW/10B reemplazo</t>
  </si>
  <si>
    <r>
      <rPr>
        <sz val="9"/>
        <color theme="1"/>
        <rFont val="Calibri"/>
        <family val="0"/>
        <charset val="1"/>
      </rPr>
      <t xml:space="preserve">65 SKYWORTH 10B SUC  </t>
    </r>
    <r>
      <rPr>
        <sz val="9"/>
        <color rgb="FFFF0000"/>
        <rFont val="Calibri"/>
        <family val="0"/>
        <charset val="1"/>
      </rPr>
      <t xml:space="preserve">BARRAS</t>
    </r>
  </si>
  <si>
    <t xml:space="preserve">40-39 PREMIER 3B/7-6/6V 7180SF40</t>
  </si>
  <si>
    <r>
      <rPr>
        <sz val="9"/>
        <color theme="1"/>
        <rFont val="Calibri"/>
        <family val="0"/>
        <charset val="1"/>
      </rPr>
      <t xml:space="preserve">43 PREMIER 8L</t>
    </r>
    <r>
      <rPr>
        <b val="true"/>
        <sz val="9"/>
        <color theme="1"/>
        <rFont val="Calibri"/>
        <family val="0"/>
        <charset val="1"/>
      </rPr>
      <t xml:space="preserve">/3V</t>
    </r>
    <r>
      <rPr>
        <sz val="9"/>
        <color theme="1"/>
        <rFont val="Calibri"/>
        <family val="0"/>
        <charset val="1"/>
      </rPr>
      <t xml:space="preserve">/3B 8047SF43SF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</si>
</sst>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dd/mm/yyyy"/>
    <numFmt numFmtId="167" formatCode="0.00"/>
  </numFmts>
  <fonts count="4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9C5700"/>
      <name val="Calibri"/>
      <family val="0"/>
      <charset val="1"/>
    </font>
    <font>
      <sz val="36"/>
      <color rgb="FF000000"/>
      <name val="Arial Black"/>
      <family val="0"/>
      <charset val="1"/>
    </font>
    <font>
      <sz val="8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2"/>
      <color theme="1"/>
      <name val="Calibri"/>
      <family val="0"/>
      <charset val="1"/>
    </font>
    <font>
      <sz val="12"/>
      <name val="Calibri"/>
      <family val="0"/>
      <charset val="1"/>
    </font>
    <font>
      <sz val="11"/>
      <name val="Calibri"/>
      <family val="0"/>
      <charset val="1"/>
    </font>
    <font>
      <sz val="10"/>
      <name val="Calibri"/>
      <family val="0"/>
      <charset val="1"/>
    </font>
    <font>
      <sz val="24"/>
      <color rgb="FF000000"/>
      <name val="Arial Black"/>
      <family val="0"/>
      <charset val="1"/>
    </font>
    <font>
      <sz val="22"/>
      <color rgb="FF000000"/>
      <name val="Arial Black"/>
      <family val="0"/>
      <charset val="1"/>
    </font>
    <font>
      <sz val="9"/>
      <color theme="1"/>
      <name val="Calibri"/>
      <family val="0"/>
      <charset val="1"/>
    </font>
    <font>
      <sz val="14"/>
      <color rgb="FF000000"/>
      <name val="Arial Black"/>
      <family val="0"/>
      <charset val="1"/>
    </font>
    <font>
      <sz val="10"/>
      <color theme="1"/>
      <name val="Calibri"/>
      <family val="0"/>
      <charset val="1"/>
    </font>
    <font>
      <sz val="26"/>
      <color rgb="FF000000"/>
      <name val="Arial Black"/>
      <family val="0"/>
      <charset val="1"/>
    </font>
    <font>
      <sz val="11"/>
      <color rgb="FFFF0000"/>
      <name val="Calibri"/>
      <family val="0"/>
      <charset val="1"/>
    </font>
    <font>
      <sz val="11"/>
      <color rgb="FF242424"/>
      <name val="Aptos Narrow"/>
      <family val="0"/>
      <charset val="1"/>
    </font>
    <font>
      <b val="true"/>
      <sz val="11"/>
      <color rgb="FFFF0000"/>
      <name val="Calibri"/>
      <family val="0"/>
      <charset val="1"/>
    </font>
    <font>
      <sz val="36"/>
      <color theme="1"/>
      <name val="Arial Black"/>
      <family val="0"/>
      <charset val="1"/>
    </font>
    <font>
      <sz val="8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  <font>
      <b val="true"/>
      <sz val="14"/>
      <color theme="1"/>
      <name val="Calibri"/>
      <family val="0"/>
      <charset val="1"/>
    </font>
    <font>
      <b val="true"/>
      <sz val="9"/>
      <color theme="1"/>
      <name val="Calibri"/>
      <family val="0"/>
      <charset val="1"/>
    </font>
    <font>
      <sz val="9"/>
      <name val="Calibri"/>
      <family val="0"/>
      <charset val="1"/>
    </font>
    <font>
      <sz val="9"/>
      <color rgb="FFFF0000"/>
      <name val="Calibri"/>
      <family val="0"/>
      <charset val="1"/>
    </font>
    <font>
      <b val="true"/>
      <sz val="20"/>
      <color theme="1"/>
      <name val="Calibri"/>
      <family val="0"/>
      <charset val="1"/>
    </font>
    <font>
      <sz val="9"/>
      <color rgb="FF242424"/>
      <name val="Aptos Narrow"/>
      <family val="0"/>
      <charset val="1"/>
    </font>
    <font>
      <b val="true"/>
      <sz val="9"/>
      <color rgb="FFFF0000"/>
      <name val="Calibri"/>
      <family val="0"/>
      <charset val="1"/>
    </font>
    <font>
      <sz val="8"/>
      <color rgb="FFFF0000"/>
      <name val="Calibri"/>
      <family val="0"/>
      <charset val="1"/>
    </font>
    <font>
      <sz val="7"/>
      <color theme="1"/>
      <name val="Calibri"/>
      <family val="0"/>
      <charset val="1"/>
    </font>
    <font>
      <b val="true"/>
      <sz val="8"/>
      <color theme="1"/>
      <name val="Calibri"/>
      <family val="0"/>
      <charset val="1"/>
    </font>
    <font>
      <b val="true"/>
      <sz val="18"/>
      <color theme="1"/>
      <name val="Calibri"/>
      <family val="0"/>
      <charset val="1"/>
    </font>
    <font>
      <sz val="9"/>
      <color theme="1"/>
      <name val="Aptos Narrow"/>
      <family val="0"/>
      <charset val="1"/>
    </font>
    <font>
      <sz val="6"/>
      <color theme="1"/>
      <name val="Calibri"/>
      <family val="0"/>
      <charset val="1"/>
    </font>
    <font>
      <sz val="6"/>
      <color rgb="FFFF0000"/>
      <name val="Calibri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FFEB9C"/>
        <bgColor rgb="FFFFE699"/>
      </patternFill>
    </fill>
    <fill>
      <patternFill patternType="solid">
        <fgColor rgb="FFA6A6A6"/>
        <bgColor rgb="FF9DC3E6"/>
      </patternFill>
    </fill>
    <fill>
      <patternFill patternType="solid">
        <fgColor rgb="FFFFE699"/>
        <bgColor rgb="FFFFEB9C"/>
      </patternFill>
    </fill>
    <fill>
      <patternFill patternType="solid">
        <fgColor rgb="FFC6E0B4"/>
        <bgColor rgb="FFC5E0B4"/>
      </patternFill>
    </fill>
    <fill>
      <patternFill patternType="solid">
        <fgColor rgb="FF92D050"/>
        <bgColor rgb="FFA9D18E"/>
      </patternFill>
    </fill>
    <fill>
      <patternFill patternType="solid">
        <fgColor rgb="FF00FFFF"/>
        <bgColor rgb="FF00FFFF"/>
      </patternFill>
    </fill>
    <fill>
      <patternFill patternType="solid">
        <fgColor theme="9" tint="0.3999"/>
        <bgColor rgb="FFC5E0B4"/>
      </patternFill>
    </fill>
    <fill>
      <patternFill patternType="solid">
        <fgColor theme="5" tint="0.5999"/>
        <bgColor rgb="FFFFE699"/>
      </patternFill>
    </fill>
    <fill>
      <patternFill patternType="solid">
        <fgColor theme="4" tint="0.3999"/>
        <bgColor rgb="FFBDD7EE"/>
      </patternFill>
    </fill>
    <fill>
      <patternFill patternType="solid">
        <fgColor theme="5" tint="0.3999"/>
        <bgColor rgb="FFF8CBAD"/>
      </patternFill>
    </fill>
    <fill>
      <patternFill patternType="solid">
        <fgColor theme="4" tint="0.5999"/>
        <bgColor rgb="FFD9D9D9"/>
      </patternFill>
    </fill>
    <fill>
      <patternFill patternType="solid">
        <fgColor theme="9" tint="0.5999"/>
        <bgColor rgb="FFC6E0B4"/>
      </patternFill>
    </fill>
    <fill>
      <patternFill patternType="solid">
        <fgColor theme="9" tint="0.799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E2F0D9"/>
      </patternFill>
    </fill>
    <fill>
      <patternFill patternType="solid">
        <fgColor rgb="FFFF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theme="0" tint="-0.15"/>
        <bgColor rgb="FFBDD7EE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0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1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6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6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6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19" borderId="2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19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1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19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2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0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19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9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19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19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9" fillId="1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1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7" fillId="1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4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7" fillId="1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19" borderId="5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1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1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0" fillId="1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9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eutral 2" xfId="20"/>
    <cellStyle name="Normal 2" xfId="21"/>
  </cellStyles>
  <dxfs count="1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9DC3E6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00FFFF"/>
          <bgColor rgb="FF000000"/>
        </patternFill>
      </fill>
    </dxf>
    <dxf>
      <fill>
        <patternFill patternType="solid">
          <fgColor rgb="FFC5E0B4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24242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E699"/>
      <rgbColor rgb="FFD9D9D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F0D9"/>
      <rgbColor rgb="FFFFEB9C"/>
      <rgbColor rgb="FF9DC3E6"/>
      <rgbColor rgb="FFF4B183"/>
      <rgbColor rgb="FFC5E0B4"/>
      <rgbColor rgb="FFF8CBAD"/>
      <rgbColor rgb="FF3366FF"/>
      <rgbColor rgb="FF33CCCC"/>
      <rgbColor rgb="FF92D05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C57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ocyjvc26" displayName="aocyjvc26" ref="B4:W13" headerRowCount="1" totalsRowCount="0" totalsRowShown="0">
  <autoFilter ref="B4:W13"/>
  <tableColumns count="22">
    <tableColumn id="1" name="CODIGO "/>
    <tableColumn id="2" name="DESCRIPCION "/>
    <tableColumn id="3" name="STOCK JUEGOS"/>
    <tableColumn id="4" name="STOCK BARRAS"/>
    <tableColumn id="5" name="&quot;J&quot; PRECIO VENTA "/>
    <tableColumn id="6" name="&quot;J&quot;PRECIO COMPRA "/>
    <tableColumn id="7" name="BARRAS"/>
    <tableColumn id="8" name="&quot;B&quot;PRECIO VENTA "/>
    <tableColumn id="9" name="&quot;B&quot;PRECIO COMPRA"/>
    <tableColumn id="10" name="ENTRADAS JUEGOS "/>
    <tableColumn id="11" name="ENTRADAS BARRAS"/>
    <tableColumn id="12" name="SALIDAS JUEGOS"/>
    <tableColumn id="13" name="SALIDA BARRAS"/>
    <tableColumn id="14" name="CAPITAL JUEGOS "/>
    <tableColumn id="15" name="CAPITAL/GANANCIA/JUEGOS "/>
    <tableColumn id="16" name="CAPITAL BARRA"/>
    <tableColumn id="17" name="CAP GAN BARRAS"/>
    <tableColumn id="18" name="CANTIDAD INICIAL JUEGO "/>
    <tableColumn id="19" name="CANTIDAD INICIAL BARRAS"/>
    <tableColumn id="20" name="PRECIO EN $"/>
    <tableColumn id="21" name="CODIGO 2"/>
    <tableColumn id="22" name="CODIGO 3"/>
  </tableColumns>
</table>
</file>

<file path=xl/tables/table2.xml><?xml version="1.0" encoding="utf-8"?>
<table xmlns="http://schemas.openxmlformats.org/spreadsheetml/2006/main" id="2" name="chino26" displayName="chino26" ref="B4:X44" headerRowCount="1" totalsRowCount="0" totalsRowShown="0">
  <autoFilter ref="B4:X44"/>
  <tableColumns count="23">
    <tableColumn id="1" name="CODIGO "/>
    <tableColumn id="2" name="DESCRIPCION "/>
    <tableColumn id="3" name="STOCK JUEGOS"/>
    <tableColumn id="4" name="STOCK BARRAS"/>
    <tableColumn id="5" name="&quot;J&quot; PRECIO VENTA "/>
    <tableColumn id="6" name="&quot;J&quot;PRECIO COMPRA "/>
    <tableColumn id="7" name="BARRAS"/>
    <tableColumn id="8" name="&quot;B&quot;PRECIO VENTA "/>
    <tableColumn id="9" name="&quot;B&quot;PRECIO COMPRA"/>
    <tableColumn id="10" name="ENTRADAS JUEGOS "/>
    <tableColumn id="11" name="ENTRADAS BARRAS"/>
    <tableColumn id="12" name="SALIDAS JUEGOS"/>
    <tableColumn id="13" name="SALIDA BARRAS"/>
    <tableColumn id="14" name="CAPITAL JUEGOS "/>
    <tableColumn id="15" name="CAPITAL/GANANCIA/JUEGOS "/>
    <tableColumn id="16" name="CAPITAL BARRA"/>
    <tableColumn id="17" name="CAP GAN BARRAS"/>
    <tableColumn id="18" name="CANTIDAD INICIAL JUEGO "/>
    <tableColumn id="19" name="CANTIDAD INICIAL BARRAS"/>
    <tableColumn id="20" name="PRECIO EN $"/>
    <tableColumn id="21" name="CODIGO 2"/>
    <tableColumn id="22" name="CODIGO 3"/>
    <tableColumn id="23" name="CODIGO 4"/>
  </tableColumns>
</table>
</file>

<file path=xl/tables/table3.xml><?xml version="1.0" encoding="utf-8"?>
<table xmlns="http://schemas.openxmlformats.org/spreadsheetml/2006/main" id="3" name="daewoo26" displayName="daewoo26" ref="B4:W14" headerRowCount="1" totalsRowCount="0" totalsRowShown="0">
  <autoFilter ref="B4:W14"/>
  <tableColumns count="22">
    <tableColumn id="1" name="CODIGO "/>
    <tableColumn id="2" name="DESCRIPCION "/>
    <tableColumn id="3" name="STOCK JUEGOS"/>
    <tableColumn id="4" name="STOCK BARRAS"/>
    <tableColumn id="5" name="&quot;J&quot; PRECIO VENTA "/>
    <tableColumn id="6" name="&quot;J&quot;PRECIO COMPRA "/>
    <tableColumn id="7" name="BARRAS"/>
    <tableColumn id="8" name="&quot;B&quot;PRECIO VENTA "/>
    <tableColumn id="9" name="&quot;B&quot;PRECIO COMPRA"/>
    <tableColumn id="10" name="ENTRADAS JUEGOS "/>
    <tableColumn id="11" name="ENTRADAS BARRAS"/>
    <tableColumn id="12" name="SALIDAS JUEGOS"/>
    <tableColumn id="13" name="SALIDA BARRAS"/>
    <tableColumn id="14" name="CAPITAL JUEGOS "/>
    <tableColumn id="15" name="CAPITAL/GANANCIA/JUEGOS "/>
    <tableColumn id="16" name="CAPITAL BARRA"/>
    <tableColumn id="17" name="CAP GAN BARRAS"/>
    <tableColumn id="18" name="CANTIDAD INICIAL JUEGO "/>
    <tableColumn id="19" name="CANTIDAD INICIAL BARRAS"/>
    <tableColumn id="20" name="PRECIO EN $"/>
    <tableColumn id="21" name="CODIGO 2"/>
    <tableColumn id="22" name="CODIGO 3"/>
  </tableColumns>
</table>
</file>

<file path=xl/tables/table4.xml><?xml version="1.0" encoding="utf-8"?>
<table xmlns="http://schemas.openxmlformats.org/spreadsheetml/2006/main" id="4" name="entradas26" displayName="entradas26" ref="A6:I175" headerRowCount="1" totalsRowCount="0" totalsRowShown="0">
  <autoFilter ref="A6:I175"/>
  <tableColumns count="9">
    <tableColumn id="1" name="CODIGO"/>
    <tableColumn id="2" name="DESCRIPCION"/>
    <tableColumn id="3" name="FECHA "/>
    <tableColumn id="4" name="CAN JUEGOS "/>
    <tableColumn id="5" name="CAN BARRAS"/>
    <tableColumn id="6" name="PRECIO"/>
    <tableColumn id="7" name="PRECIO UNITARIO"/>
    <tableColumn id="8" name="DETALLE"/>
    <tableColumn id="9" name="Columna1"/>
  </tableColumns>
</table>
</file>

<file path=xl/tables/table5.xml><?xml version="1.0" encoding="utf-8"?>
<table xmlns="http://schemas.openxmlformats.org/spreadsheetml/2006/main" id="5" name="haier26" displayName="haier26" ref="B4:V20" headerRowCount="1" totalsRowCount="0" totalsRowShown="0">
  <autoFilter ref="B4:V20"/>
  <tableColumns count="21">
    <tableColumn id="1" name="CODIGO "/>
    <tableColumn id="2" name="DESCRIPCION "/>
    <tableColumn id="3" name="STOCK JUEGOS"/>
    <tableColumn id="4" name="STOCK BARRAS"/>
    <tableColumn id="5" name="&quot;J&quot; PRECIO VENTA "/>
    <tableColumn id="6" name="&quot;J&quot;PRECIO COMPRA "/>
    <tableColumn id="7" name="BARRAS"/>
    <tableColumn id="8" name="&quot;B&quot;PRECIO VENTA "/>
    <tableColumn id="9" name="&quot;B&quot;PRECIO COMPRA"/>
    <tableColumn id="10" name="ENTRADAS JUEGOS "/>
    <tableColumn id="11" name="ENTRADAS BARRAS"/>
    <tableColumn id="12" name="SALIDAS JUEGOS"/>
    <tableColumn id="13" name="SALIDA BARRAS"/>
    <tableColumn id="14" name="CAPITAL JUEGOS "/>
    <tableColumn id="15" name="CAPITAL/GANANCIA/JUEGOS "/>
    <tableColumn id="16" name="CAPITAL BARRA"/>
    <tableColumn id="17" name="CAP GAN BARRAS"/>
    <tableColumn id="18" name="CANTIDAD INICIAL JUEGO "/>
    <tableColumn id="19" name="CANTIDAD INICIAL BARRAS"/>
    <tableColumn id="20" name="PRECIO EN $"/>
    <tableColumn id="21" name="CODIGO 2"/>
  </tableColumns>
</table>
</file>

<file path=xl/tables/table6.xml><?xml version="1.0" encoding="utf-8"?>
<table xmlns="http://schemas.openxmlformats.org/spreadsheetml/2006/main" id="6" name="HISENSE26" displayName="HISENSE26" ref="A4:T10" headerRowCount="1" totalsRowCount="0" totalsRowShown="0">
  <autoFilter ref="A4:T10"/>
  <tableColumns count="20">
    <tableColumn id="1" name="CODIGO "/>
    <tableColumn id="2" name="DESCRIPCION "/>
    <tableColumn id="3" name="STOCK JUEGOS"/>
    <tableColumn id="4" name="STOCK BARRAS"/>
    <tableColumn id="5" name="&quot;J&quot; PRECIO VENTA "/>
    <tableColumn id="6" name="&quot;J&quot;PRECIO COMPRA "/>
    <tableColumn id="7" name="BARRAS"/>
    <tableColumn id="8" name="&quot;B&quot;PRECIO VENTA "/>
    <tableColumn id="9" name="&quot;B&quot;PRECIO COMPRA"/>
    <tableColumn id="10" name="ENTRADAS JUEGOS "/>
    <tableColumn id="11" name="ENTRADAS BARRAS"/>
    <tableColumn id="12" name="SALIDAS JUEGOS"/>
    <tableColumn id="13" name="SALIDA BARRAS"/>
    <tableColumn id="14" name="CAPITAL JUEGOS "/>
    <tableColumn id="15" name="CAPITAL/GANANCIA/JUEGOS "/>
    <tableColumn id="16" name="CAPITAL BARRA"/>
    <tableColumn id="17" name="CAP GAN BARRAS"/>
    <tableColumn id="18" name="CANTIDAD INICIAL JUEGO "/>
    <tableColumn id="19" name="CANTIDAD INICIAL BARRAS"/>
    <tableColumn id="20" name="PRECIO EN $"/>
  </tableColumns>
</table>
</file>

<file path=xl/tables/table7.xml><?xml version="1.0" encoding="utf-8"?>
<table xmlns="http://schemas.openxmlformats.org/spreadsheetml/2006/main" id="7" name="LG26V" displayName="LG26V" ref="B4:W67" headerRowCount="1" totalsRowCount="0" totalsRowShown="0">
  <autoFilter ref="B4:W67"/>
  <tableColumns count="22">
    <tableColumn id="1" name="CODIGO "/>
    <tableColumn id="2" name="DESCRIPCION "/>
    <tableColumn id="3" name="STOCK JUEGOS"/>
    <tableColumn id="4" name="STOCK BARRAS"/>
    <tableColumn id="5" name="&quot;J&quot; PRECIO VENTA "/>
    <tableColumn id="6" name="&quot;J&quot;PRECIO COMPRA "/>
    <tableColumn id="7" name="BARRAS"/>
    <tableColumn id="8" name="&quot;B&quot;PRECIO VENTA "/>
    <tableColumn id="9" name="&quot;B&quot;PRECIO COMPRA"/>
    <tableColumn id="10" name="ENTRADAS JUEGOS "/>
    <tableColumn id="11" name="ENTRADAS BARRAS"/>
    <tableColumn id="12" name="SALIDAS JUEGOS"/>
    <tableColumn id="13" name="SALIDA BARRAS"/>
    <tableColumn id="14" name="CAPITAL JUEGOS "/>
    <tableColumn id="15" name="CAPITAL/GANANCIA/JUEGOS "/>
    <tableColumn id="16" name="CAPITAL BARRA"/>
    <tableColumn id="17" name="CAP GAN BARRAS"/>
    <tableColumn id="18" name="CANTIDAD INICIAL JUEGO "/>
    <tableColumn id="19" name="CANTIDAD INICIAL BARRAS"/>
    <tableColumn id="20" name="PRECIO EN $"/>
    <tableColumn id="21" name="CODIGO 2"/>
    <tableColumn id="22" name="CODIGO 3"/>
  </tableColumns>
</table>
</file>

<file path=xl/tables/table8.xml><?xml version="1.0" encoding="utf-8"?>
<table xmlns="http://schemas.openxmlformats.org/spreadsheetml/2006/main" id="8" name="MASTERG26" displayName="MASTERG26" ref="A3:T8" headerRowCount="1" totalsRowCount="0" totalsRowShown="0">
  <autoFilter ref="A3:T8"/>
  <tableColumns count="20">
    <tableColumn id="1" name="CODIGO "/>
    <tableColumn id="2" name="DESCRIPCION "/>
    <tableColumn id="3" name="STOCK JUEGOS"/>
    <tableColumn id="4" name="STOCK BARRAS"/>
    <tableColumn id="5" name="&quot;J&quot; PRECIO VENTA "/>
    <tableColumn id="6" name="&quot;J&quot;PRECIO COMPRA "/>
    <tableColumn id="7" name="BARRAS"/>
    <tableColumn id="8" name="&quot;B&quot;PRECIO VENTA "/>
    <tableColumn id="9" name="&quot;B&quot;PRECIO COMPRA"/>
    <tableColumn id="10" name="ENTRADAS JUEGOS "/>
    <tableColumn id="11" name="ENTRADAS BARRAS"/>
    <tableColumn id="12" name="SALIDAS JUEGOS"/>
    <tableColumn id="13" name="SALIDA BARRAS"/>
    <tableColumn id="14" name="CAPITAL JUEGOS "/>
    <tableColumn id="15" name="CAPITAL/GANANCIA/JUEGOS "/>
    <tableColumn id="16" name="CAPITAL BARRA"/>
    <tableColumn id="17" name="CAP GAN BARRAS"/>
    <tableColumn id="18" name="CANTIDAD INICIAL JUEGO "/>
    <tableColumn id="19" name="CANTIDAD INICIAL BARRAS"/>
    <tableColumn id="20" name="PRECIO EN $"/>
  </tableColumns>
</table>
</file>

<file path=xl/tables/table9.xml><?xml version="1.0" encoding="utf-8"?>
<table xmlns="http://schemas.openxmlformats.org/spreadsheetml/2006/main" id="9" name="philips26" displayName="philips26" ref="B4:V13" headerRowCount="1" totalsRowCount="0" totalsRowShown="0">
  <autoFilter ref="B4:V13"/>
  <tableColumns count="21">
    <tableColumn id="1" name="CODIGO "/>
    <tableColumn id="2" name="DESCRIPCION "/>
    <tableColumn id="3" name="STOCK JUEGOS"/>
    <tableColumn id="4" name="STOCK BARRAS"/>
    <tableColumn id="5" name="&quot;J&quot; PRECIO VENTA "/>
    <tableColumn id="6" name="&quot;J&quot;PRECIO COMPRA "/>
    <tableColumn id="7" name="BARRAS"/>
    <tableColumn id="8" name="&quot;B&quot;PRECIO VENTA "/>
    <tableColumn id="9" name="&quot;B&quot;PRECIO COMPRA"/>
    <tableColumn id="10" name="ENTRADAS JUEGOS "/>
    <tableColumn id="11" name="ENTRADAS BARRAS"/>
    <tableColumn id="12" name="SALIDAS JUEGOS"/>
    <tableColumn id="13" name="SALIDA BARRAS"/>
    <tableColumn id="14" name="CAPITAL JUEGOS "/>
    <tableColumn id="15" name="CAPITAL/GANANCIA/JUEGOS "/>
    <tableColumn id="16" name="CAPITAL BARRA"/>
    <tableColumn id="17" name="CAP GAN BARRAS"/>
    <tableColumn id="18" name="CANTIDAD INICIAL JUEGO "/>
    <tableColumn id="19" name="CANTIDAD INICIAL BARRAS"/>
    <tableColumn id="20" name="PRECIO EN $"/>
    <tableColumn id="21" name="CODIGO 2"/>
  </tableColumns>
</table>
</file>

<file path=xl/tables/table10.xml><?xml version="1.0" encoding="utf-8"?>
<table xmlns="http://schemas.openxmlformats.org/spreadsheetml/2006/main" id="10" name="premier26" displayName="premier26" ref="B4:W19" headerRowCount="1" totalsRowCount="0" totalsRowShown="0">
  <autoFilter ref="B4:W19"/>
  <tableColumns count="22">
    <tableColumn id="1" name="CODIGO "/>
    <tableColumn id="2" name="DESCRIPCION "/>
    <tableColumn id="3" name="STOCK JUEGOS"/>
    <tableColumn id="4" name="STOCK BARRAS"/>
    <tableColumn id="5" name="&quot;J&quot; PRECIO VENTA "/>
    <tableColumn id="6" name="&quot;J&quot;PRECIO COMPRA "/>
    <tableColumn id="7" name="BARRAS"/>
    <tableColumn id="8" name="&quot;B&quot;PRECIO VENTA "/>
    <tableColumn id="9" name="&quot;B&quot;PRECIO COMPRA"/>
    <tableColumn id="10" name="ENTRADAS JUEGOS "/>
    <tableColumn id="11" name="ENTRADAS BARRAS"/>
    <tableColumn id="12" name="SALIDAS JUEGOS"/>
    <tableColumn id="13" name="SALIDA BARRAS"/>
    <tableColumn id="14" name="CAPITAL JUEGOS "/>
    <tableColumn id="15" name="CAPITAL/GANANCIA/JUEGOS "/>
    <tableColumn id="16" name="CAPITAL BARRA"/>
    <tableColumn id="17" name="CAP GAN BARRAS"/>
    <tableColumn id="18" name="CANTIDAD INICIAL JUEGO "/>
    <tableColumn id="19" name="CANTIDAD INICIAL BARRAS"/>
    <tableColumn id="20" name="PRECIO EN $"/>
    <tableColumn id="21" name="CODIGO 2"/>
    <tableColumn id="22" name="CODIGO 3"/>
  </tableColumns>
</table>
</file>

<file path=xl/tables/table11.xml><?xml version="1.0" encoding="utf-8"?>
<table xmlns="http://schemas.openxmlformats.org/spreadsheetml/2006/main" id="11" name="salidas26" displayName="salidas26" ref="A6:M1197" headerRowCount="1" totalsRowCount="0" totalsRowShown="0">
  <autoFilter ref="A6:M1197"/>
  <tableColumns count="13">
    <tableColumn id="1" name="Nº DE REGISTRO"/>
    <tableColumn id="2" name="CODIGO "/>
    <tableColumn id="3" name="DESCRIPCION"/>
    <tableColumn id="4" name="FECHA"/>
    <tableColumn id="5" name="PRECIO JUEGO"/>
    <tableColumn id="6" name="PRECIO BARRA"/>
    <tableColumn id="7" name="CANT JUEGOS "/>
    <tableColumn id="8" name="CANT BARRAS"/>
    <tableColumn id="9" name="PRE A VENDER JUEGO"/>
    <tableColumn id="10" name="PRE A VENDER BARRAS"/>
    <tableColumn id="11" name="PRECIO VENDIDO "/>
    <tableColumn id="12" name="P/NP"/>
    <tableColumn id="13" name="DETALLE"/>
  </tableColumns>
</table>
</file>

<file path=xl/tables/table12.xml><?xml version="1.0" encoding="utf-8"?>
<table xmlns="http://schemas.openxmlformats.org/spreadsheetml/2006/main" id="12" name="samgung26" displayName="samgung26" ref="B4:X71" headerRowCount="1" totalsRowCount="0" totalsRowShown="0">
  <autoFilter ref="B4:X71"/>
  <tableColumns count="23">
    <tableColumn id="1" name="CODIGO "/>
    <tableColumn id="2" name="DESCRIPCION "/>
    <tableColumn id="3" name="STOCK JUEGOS"/>
    <tableColumn id="4" name="STOCK BARRAS"/>
    <tableColumn id="5" name="&quot;J&quot; PRECIO VENTA "/>
    <tableColumn id="6" name="&quot;J&quot;PRECIO COMPRA "/>
    <tableColumn id="7" name="BARRAS"/>
    <tableColumn id="8" name="&quot;B&quot;PRECIO VENTA "/>
    <tableColumn id="9" name="&quot;B&quot;PRECIO COMPRA"/>
    <tableColumn id="10" name="ENTRADAS JUEGOS "/>
    <tableColumn id="11" name="ENTRADAS BARRAS"/>
    <tableColumn id="12" name="SALIDAS JUEGOS"/>
    <tableColumn id="13" name="SALIDA BARRAS"/>
    <tableColumn id="14" name="CAPITAL JUEGOS "/>
    <tableColumn id="15" name="CAPITAL/GANANCIA/JUEGOS "/>
    <tableColumn id="16" name="CAPITAL BARRA"/>
    <tableColumn id="17" name="CAP GAN BARRAS"/>
    <tableColumn id="18" name="CANTIDAD INICIAL JUEGO "/>
    <tableColumn id="19" name="CANTIDAD INICIAL BARRAS"/>
    <tableColumn id="20" name="PRECIO EN $"/>
    <tableColumn id="21" name="CODIGO 2"/>
    <tableColumn id="22" name="CODIGO 3"/>
    <tableColumn id="23" name="CODIGO 4"/>
  </tableColumns>
</table>
</file>

<file path=xl/tables/table13.xml><?xml version="1.0" encoding="utf-8"?>
<table xmlns="http://schemas.openxmlformats.org/spreadsheetml/2006/main" id="13" name="SKYW26" displayName="SKYW26" ref="A4:T11" headerRowCount="1" totalsRowCount="0" totalsRowShown="0">
  <autoFilter ref="A4:T11"/>
  <tableColumns count="20">
    <tableColumn id="1" name="CODIGO "/>
    <tableColumn id="2" name="DESCRIPCION "/>
    <tableColumn id="3" name="STOCK JUEGOS"/>
    <tableColumn id="4" name="STOCK BARRAS"/>
    <tableColumn id="5" name="&quot;J&quot; PRECIO VENTA "/>
    <tableColumn id="6" name="&quot;J&quot;PRECIO COMPRA "/>
    <tableColumn id="7" name="BARRAS"/>
    <tableColumn id="8" name="&quot;B&quot;PRECIO VENTA "/>
    <tableColumn id="9" name="&quot;B&quot;PRECIO COMPRA"/>
    <tableColumn id="10" name="ENTRADAS JUEGOS "/>
    <tableColumn id="11" name="ENTRADAS BARRAS"/>
    <tableColumn id="12" name="SALIDAS JUEGOS"/>
    <tableColumn id="13" name="SALIDA BARRAS"/>
    <tableColumn id="14" name="CAPITAL JUEGOS "/>
    <tableColumn id="15" name="CAPITAL/GANANCIA/JUEGOS "/>
    <tableColumn id="16" name="CAPITAL BARRA"/>
    <tableColumn id="17" name="CAP GAN BARRAS"/>
    <tableColumn id="18" name="CANTIDAD INICIAL JUEGO "/>
    <tableColumn id="19" name="CANTIDAD INICIAL BARRAS"/>
    <tableColumn id="20" name="PRECIO EN $"/>
  </tableColumns>
</table>
</file>

<file path=xl/tables/table14.xml><?xml version="1.0" encoding="utf-8"?>
<table xmlns="http://schemas.openxmlformats.org/spreadsheetml/2006/main" id="14" name="sony26" displayName="sony26" ref="B4:V33" headerRowCount="1" totalsRowCount="0" totalsRowShown="0">
  <autoFilter ref="B4:V33"/>
  <tableColumns count="21">
    <tableColumn id="1" name="CODIGO "/>
    <tableColumn id="2" name="DESCRIPCION "/>
    <tableColumn id="3" name="STOCK JUEGOS"/>
    <tableColumn id="4" name="STOCK BARRAS"/>
    <tableColumn id="5" name="&quot;J&quot; PRECIO VENTA "/>
    <tableColumn id="6" name="&quot;J&quot;PRECIO COMPRA "/>
    <tableColumn id="7" name="BARRAS"/>
    <tableColumn id="8" name="&quot;B&quot;PRECIO VENTA "/>
    <tableColumn id="9" name="&quot;B&quot;PRECIO COMPRA"/>
    <tableColumn id="10" name="ENTRADAS JUEGOS "/>
    <tableColumn id="11" name="ENTRADAS BARRAS"/>
    <tableColumn id="12" name="SALIDAS JUEGOS"/>
    <tableColumn id="13" name="SALIDA BARRAS"/>
    <tableColumn id="14" name="CAPITAL JUEGOS "/>
    <tableColumn id="15" name="CAPITAL/GANANCIA/JUEGOS "/>
    <tableColumn id="16" name="CAPITAL BARRA"/>
    <tableColumn id="17" name="CAP GAN BARRAS"/>
    <tableColumn id="18" name="CANTIDAD INICIAL JUEGO "/>
    <tableColumn id="19" name="CANTIDAD INICIAL BARRAS"/>
    <tableColumn id="20" name="PRECIO EN $"/>
    <tableColumn id="21" name="CODIGO 2"/>
  </tableColumns>
</table>
</file>

<file path=xl/tables/table15.xml><?xml version="1.0" encoding="utf-8"?>
<table xmlns="http://schemas.openxmlformats.org/spreadsheetml/2006/main" id="15" name="toshiba26" displayName="toshiba26" ref="A4:V13" headerRowCount="1" totalsRowCount="0" totalsRowShown="0">
  <autoFilter ref="A4:V13"/>
  <tableColumns count="22">
    <tableColumn id="1" name="CODIGO "/>
    <tableColumn id="2" name="DESCRIPCION "/>
    <tableColumn id="3" name="STOCK JUEGOS"/>
    <tableColumn id="4" name="STOCK BARRAS"/>
    <tableColumn id="5" name="&quot;J&quot; PRECIO VENTA "/>
    <tableColumn id="6" name="&quot;J&quot;PRECIO COMPRA "/>
    <tableColumn id="7" name="BARRAS"/>
    <tableColumn id="8" name="&quot;B&quot;PRECIO VENTA "/>
    <tableColumn id="9" name="&quot;B&quot;PRECIO COMPRA"/>
    <tableColumn id="10" name="ENTRADAS JUEGOS "/>
    <tableColumn id="11" name="ENTRADAS BARRAS"/>
    <tableColumn id="12" name="SALIDAS JUEGOS"/>
    <tableColumn id="13" name="SALIDA BARRAS"/>
    <tableColumn id="14" name="CAPITAL JUEGOS "/>
    <tableColumn id="15" name="CAPITAL/GANANCIA/JUEGOS "/>
    <tableColumn id="16" name="CAPITAL BARRA"/>
    <tableColumn id="17" name="CAP GAN BARRAS"/>
    <tableColumn id="18" name="CANTIDAD INICIAL JUEGO "/>
    <tableColumn id="19" name="CANTIDAD INICIAL BARRAS"/>
    <tableColumn id="20" name="PRECIO EN $"/>
    <tableColumn id="21" name="CODIGO 2"/>
    <tableColumn id="22" name="CODIGO 3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Arial" pitchFamily="0" charset="1"/>
        <a:cs typeface="Arial" pitchFamily="0" charset="1"/>
      </a:majorFont>
      <a:minorFont>
        <a:latin typeface="Calibri" panose="020F0502020204030204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W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1" width="9.43"/>
    <col collapsed="false" customWidth="true" hidden="false" outlineLevel="0" max="3" min="3" style="1" width="27.57"/>
    <col collapsed="false" customWidth="true" hidden="false" outlineLevel="0" max="4" min="4" style="1" width="8.57"/>
    <col collapsed="false" customWidth="true" hidden="false" outlineLevel="0" max="5" min="5" style="1" width="4.14"/>
    <col collapsed="false" customWidth="true" hidden="false" outlineLevel="0" max="6" min="6" style="1" width="6.57"/>
    <col collapsed="false" customWidth="true" hidden="false" outlineLevel="0" max="7" min="7" style="1" width="4.29"/>
    <col collapsed="false" customWidth="true" hidden="true" outlineLevel="0" max="8" min="8" style="1" width="4.86"/>
    <col collapsed="false" customWidth="true" hidden="true" outlineLevel="0" max="9" min="9" style="1" width="5.3"/>
    <col collapsed="false" customWidth="true" hidden="true" outlineLevel="0" max="11" min="10" style="1" width="3.57"/>
    <col collapsed="false" customWidth="true" hidden="true" outlineLevel="0" max="12" min="12" style="1" width="2.43"/>
    <col collapsed="false" customWidth="true" hidden="true" outlineLevel="0" max="13" min="13" style="1" width="2.86"/>
    <col collapsed="false" customWidth="true" hidden="true" outlineLevel="0" max="14" min="14" style="1" width="3.43"/>
    <col collapsed="false" customWidth="true" hidden="true" outlineLevel="0" max="15" min="15" style="1" width="6.14"/>
    <col collapsed="false" customWidth="true" hidden="true" outlineLevel="0" max="16" min="16" style="1" width="1.71"/>
    <col collapsed="false" customWidth="true" hidden="true" outlineLevel="0" max="17" min="17" style="1" width="8.57"/>
    <col collapsed="false" customWidth="true" hidden="true" outlineLevel="0" max="18" min="18" style="1" width="9.71"/>
    <col collapsed="false" customWidth="true" hidden="false" outlineLevel="0" max="19" min="19" style="1" width="5.71"/>
    <col collapsed="false" customWidth="true" hidden="false" outlineLevel="0" max="20" min="20" style="1" width="7.57"/>
    <col collapsed="false" customWidth="true" hidden="false" outlineLevel="0" max="21" min="21" style="1" width="8.29"/>
    <col collapsed="false" customWidth="true" hidden="false" outlineLevel="0" max="22" min="22" style="1" width="8.72"/>
    <col collapsed="false" customWidth="true" hidden="false" outlineLevel="0" max="23" min="23" style="1" width="28"/>
  </cols>
  <sheetData>
    <row r="2" customFormat="false" ht="1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46.5" hidden="false" customHeight="true" outlineLevel="0" collapsed="false">
      <c r="B4" s="3" t="s">
        <v>1</v>
      </c>
      <c r="C4" s="3" t="s">
        <v>2</v>
      </c>
      <c r="D4" s="4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9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8" t="s">
        <v>14</v>
      </c>
      <c r="P4" s="11" t="s">
        <v>15</v>
      </c>
      <c r="Q4" s="8" t="s">
        <v>16</v>
      </c>
      <c r="R4" s="8" t="s">
        <v>17</v>
      </c>
      <c r="S4" s="11" t="s">
        <v>18</v>
      </c>
      <c r="T4" s="12" t="s">
        <v>19</v>
      </c>
      <c r="U4" s="13" t="s">
        <v>20</v>
      </c>
      <c r="V4" s="14" t="s">
        <v>21</v>
      </c>
      <c r="W4" s="15" t="s">
        <v>22</v>
      </c>
    </row>
    <row r="5" customFormat="false" ht="15" hidden="false" customHeight="false" outlineLevel="0" collapsed="false">
      <c r="A5" s="1" t="n">
        <v>1</v>
      </c>
      <c r="B5" s="16" t="n">
        <v>1000</v>
      </c>
      <c r="C5" s="16" t="s">
        <v>23</v>
      </c>
      <c r="D5" s="1" t="n">
        <f aca="false">(LG26V[[#This Row],[CANTIDAD INICIAL JUEGO ]]+LG26V[[#This Row],[ENTRADAS JUEGOS ]]-LG26V[[#This Row],[SALIDAS JUEGOS]])</f>
        <v>21</v>
      </c>
      <c r="E5" s="1" t="n">
        <f aca="false">(LG26V[[#This Row],[CANTIDAD INICIAL BARRAS]]+LG26V[[#This Row],[ENTRADAS BARRAS]]-LG26V[[#This Row],[SALIDA BARRAS]])</f>
        <v>1</v>
      </c>
      <c r="F5" s="17" t="n">
        <v>80</v>
      </c>
      <c r="G5" s="1" t="n">
        <v>43</v>
      </c>
      <c r="H5" s="1" t="n">
        <v>3</v>
      </c>
      <c r="I5" s="1" t="n">
        <f aca="false">(LG26V[[#This Row],["J" PRECIO VENTA ]]/LG26V[[#This Row],[BARRAS]])</f>
        <v>26.6666666666667</v>
      </c>
      <c r="J5" s="1" t="n">
        <f aca="false">(LG26V[[#This Row],["J"PRECIO COMPRA ]]/LG26V[[#This Row],[BARRAS]])</f>
        <v>14.3333333333333</v>
      </c>
      <c r="K5" s="1" t="n">
        <f aca="false">SUMIF(entradas26[CODIGO],LG26V[[#This Row],[CODIGO ]],entradas26[[CAN JUEGOS ]])</f>
        <v>20</v>
      </c>
      <c r="L5" s="1" t="n">
        <f aca="false">SUMIF(entradas26[CODIGO],LG26V[[#This Row],[CODIGO ]],entradas26[CAN BARRAS])</f>
        <v>0</v>
      </c>
      <c r="M5" s="1" t="n">
        <f aca="false">SUMIF(salidas26[[CODIGO ]],LG26V[[#This Row],[CODIGO ]],salidas26[[CANT JUEGOS ]])</f>
        <v>8</v>
      </c>
      <c r="N5" s="1" t="n">
        <f aca="false">SUMIF(salidas26[[CODIGO ]],LG26V[[#This Row],[CODIGO ]],salidas26[CANT BARRAS])</f>
        <v>0</v>
      </c>
      <c r="O5" s="1" t="n">
        <f aca="false">(LG26V[[#This Row],["J"PRECIO COMPRA ]]*LG26V[[#This Row],[STOCK JUEGOS]])</f>
        <v>903</v>
      </c>
      <c r="P5" s="1" t="n">
        <f aca="false">(LG26V[[#This Row],["J" PRECIO VENTA ]]*LG26V[[#This Row],[STOCK JUEGOS]])</f>
        <v>1680</v>
      </c>
      <c r="Q5" s="1" t="n">
        <f aca="false">(LG26V[[#This Row],["B"PRECIO COMPRA]]*LG26V[[#This Row],[STOCK BARRAS]])</f>
        <v>14.3333333333333</v>
      </c>
      <c r="R5" s="1" t="n">
        <f aca="false">(LG26V[[#This Row],["B"PRECIO VENTA ]]*LG26V[[#This Row],[STOCK BARRAS]])</f>
        <v>26.6666666666667</v>
      </c>
      <c r="S5" s="18" t="n">
        <v>9</v>
      </c>
      <c r="T5" s="18" t="n">
        <v>1</v>
      </c>
      <c r="U5" s="1" t="n">
        <v>1.8</v>
      </c>
      <c r="W5" s="1" t="s">
        <v>24</v>
      </c>
    </row>
    <row r="6" customFormat="false" ht="15" hidden="false" customHeight="false" outlineLevel="0" collapsed="false">
      <c r="A6" s="1" t="n">
        <v>2</v>
      </c>
      <c r="B6" s="16" t="n">
        <v>1003</v>
      </c>
      <c r="C6" s="16" t="s">
        <v>25</v>
      </c>
      <c r="D6" s="1" t="n">
        <f aca="false">(LG26V[[#This Row],[CANTIDAD INICIAL JUEGO ]]+LG26V[[#This Row],[ENTRADAS JUEGOS ]]-LG26V[[#This Row],[SALIDAS JUEGOS]])</f>
        <v>-3</v>
      </c>
      <c r="E6" s="1" t="n">
        <f aca="false">(LG26V[[#This Row],[CANTIDAD INICIAL BARRAS]]+LG26V[[#This Row],[ENTRADAS BARRAS]]-LG26V[[#This Row],[SALIDA BARRAS]])</f>
        <v>2</v>
      </c>
      <c r="F6" s="17" t="n">
        <v>80</v>
      </c>
      <c r="G6" s="1" t="n">
        <v>30</v>
      </c>
      <c r="H6" s="1" t="n">
        <v>3</v>
      </c>
      <c r="I6" s="1" t="n">
        <f aca="false">(LG26V[[#This Row],["J" PRECIO VENTA ]]/LG26V[[#This Row],[BARRAS]])</f>
        <v>26.6666666666667</v>
      </c>
      <c r="J6" s="1" t="n">
        <f aca="false">(LG26V[[#This Row],["J"PRECIO COMPRA ]]/LG26V[[#This Row],[BARRAS]])</f>
        <v>10</v>
      </c>
      <c r="K6" s="1" t="n">
        <f aca="false">SUMIF(entradas26[CODIGO],LG26V[[#This Row],[CODIGO ]],entradas26[[CAN JUEGOS ]])</f>
        <v>0</v>
      </c>
      <c r="L6" s="1" t="n">
        <f aca="false">SUMIF(entradas26[CODIGO],LG26V[[#This Row],[CODIGO ]],entradas26[CAN BARRAS])</f>
        <v>0</v>
      </c>
      <c r="M6" s="1" t="n">
        <f aca="false">SUMIF(salidas26[[CODIGO ]],LG26V[[#This Row],[CODIGO ]],salidas26[[CANT JUEGOS ]])</f>
        <v>10</v>
      </c>
      <c r="N6" s="1" t="n">
        <f aca="false">SUMIF(salidas26[[CODIGO ]],LG26V[[#This Row],[CODIGO ]],salidas26[CANT BARRAS])</f>
        <v>0</v>
      </c>
      <c r="O6" s="1" t="n">
        <f aca="false">(LG26V[[#This Row],["J"PRECIO COMPRA ]]*LG26V[[#This Row],[STOCK JUEGOS]])</f>
        <v>-90</v>
      </c>
      <c r="P6" s="1" t="n">
        <f aca="false">(LG26V[[#This Row],["J" PRECIO VENTA ]]*LG26V[[#This Row],[STOCK JUEGOS]])</f>
        <v>-240</v>
      </c>
      <c r="Q6" s="1" t="n">
        <f aca="false">(LG26V[[#This Row],["B"PRECIO COMPRA]]*LG26V[[#This Row],[STOCK BARRAS]])</f>
        <v>20</v>
      </c>
      <c r="R6" s="1" t="n">
        <f aca="false">(LG26V[[#This Row],["B"PRECIO VENTA ]]*LG26V[[#This Row],[STOCK BARRAS]])</f>
        <v>53.3333333333333</v>
      </c>
      <c r="S6" s="18" t="n">
        <v>7</v>
      </c>
      <c r="T6" s="18" t="n">
        <v>2</v>
      </c>
      <c r="U6" s="1" t="n">
        <v>1.38</v>
      </c>
      <c r="W6" s="1" t="s">
        <v>26</v>
      </c>
    </row>
    <row r="7" customFormat="false" ht="15" hidden="false" customHeight="false" outlineLevel="0" collapsed="false">
      <c r="A7" s="1" t="n">
        <v>3</v>
      </c>
      <c r="B7" s="16" t="n">
        <v>1006</v>
      </c>
      <c r="C7" s="16" t="s">
        <v>27</v>
      </c>
      <c r="D7" s="1" t="n">
        <f aca="false">(LG26V[[#This Row],[CANTIDAD INICIAL JUEGO ]]+LG26V[[#This Row],[ENTRADAS JUEGOS ]]-LG26V[[#This Row],[SALIDAS JUEGOS]])</f>
        <v>31</v>
      </c>
      <c r="E7" s="1" t="n">
        <f aca="false">(LG26V[[#This Row],[CANTIDAD INICIAL BARRAS]]+LG26V[[#This Row],[ENTRADAS BARRAS]]-LG26V[[#This Row],[SALIDA BARRAS]])</f>
        <v>1</v>
      </c>
      <c r="F7" s="17" t="n">
        <v>80</v>
      </c>
      <c r="G7" s="1" t="n">
        <v>48</v>
      </c>
      <c r="H7" s="1" t="n">
        <v>3</v>
      </c>
      <c r="I7" s="1" t="n">
        <f aca="false">(LG26V[[#This Row],["J" PRECIO VENTA ]]/LG26V[[#This Row],[BARRAS]])</f>
        <v>26.6666666666667</v>
      </c>
      <c r="J7" s="1" t="n">
        <f aca="false">(LG26V[[#This Row],["J"PRECIO COMPRA ]]/LG26V[[#This Row],[BARRAS]])</f>
        <v>16</v>
      </c>
      <c r="K7" s="1" t="n">
        <f aca="false">SUMIF(entradas26[CODIGO],LG26V[[#This Row],[CODIGO ]],entradas26[[CAN JUEGOS ]])</f>
        <v>20</v>
      </c>
      <c r="L7" s="1" t="n">
        <f aca="false">SUMIF(entradas26[CODIGO],LG26V[[#This Row],[CODIGO ]],entradas26[CAN BARRAS])</f>
        <v>0</v>
      </c>
      <c r="M7" s="1" t="n">
        <f aca="false">SUMIF(salidas26[[CODIGO ]],LG26V[[#This Row],[CODIGO ]],salidas26[[CANT JUEGOS ]])</f>
        <v>1</v>
      </c>
      <c r="N7" s="1" t="n">
        <f aca="false">SUMIF(salidas26[[CODIGO ]],LG26V[[#This Row],[CODIGO ]],salidas26[CANT BARRAS])</f>
        <v>0</v>
      </c>
      <c r="O7" s="1" t="n">
        <f aca="false">(LG26V[[#This Row],["J"PRECIO COMPRA ]]*LG26V[[#This Row],[STOCK JUEGOS]])</f>
        <v>1488</v>
      </c>
      <c r="P7" s="1" t="n">
        <f aca="false">(LG26V[[#This Row],["J" PRECIO VENTA ]]*LG26V[[#This Row],[STOCK JUEGOS]])</f>
        <v>2480</v>
      </c>
      <c r="Q7" s="1" t="n">
        <f aca="false">(LG26V[[#This Row],["B"PRECIO COMPRA]]*LG26V[[#This Row],[STOCK BARRAS]])</f>
        <v>16</v>
      </c>
      <c r="R7" s="1" t="n">
        <f aca="false">(LG26V[[#This Row],["B"PRECIO VENTA ]]*LG26V[[#This Row],[STOCK BARRAS]])</f>
        <v>26.6666666666667</v>
      </c>
      <c r="S7" s="18" t="n">
        <v>12</v>
      </c>
      <c r="T7" s="18" t="n">
        <v>1</v>
      </c>
      <c r="U7" s="1" t="n">
        <v>1.8</v>
      </c>
      <c r="W7" s="1" t="s">
        <v>28</v>
      </c>
    </row>
    <row r="8" customFormat="false" ht="15" hidden="false" customHeight="false" outlineLevel="0" collapsed="false">
      <c r="A8" s="1" t="n">
        <v>5</v>
      </c>
      <c r="B8" s="16" t="n">
        <v>1011</v>
      </c>
      <c r="C8" s="16" t="s">
        <v>29</v>
      </c>
      <c r="D8" s="1" t="n">
        <f aca="false">(LG26V[[#This Row],[CANTIDAD INICIAL JUEGO ]]+LG26V[[#This Row],[ENTRADAS JUEGOS ]]-LG26V[[#This Row],[SALIDAS JUEGOS]])</f>
        <v>0</v>
      </c>
      <c r="E8" s="1" t="n">
        <f aca="false">(LG26V[[#This Row],[CANTIDAD INICIAL BARRAS]]+LG26V[[#This Row],[ENTRADAS BARRAS]]-LG26V[[#This Row],[SALIDA BARRAS]])</f>
        <v>0</v>
      </c>
      <c r="F8" s="17" t="n">
        <v>70</v>
      </c>
      <c r="G8" s="1" t="n">
        <v>30</v>
      </c>
      <c r="H8" s="1" t="n">
        <v>2</v>
      </c>
      <c r="I8" s="1" t="n">
        <f aca="false">(LG26V[[#This Row],["J" PRECIO VENTA ]]/LG26V[[#This Row],[BARRAS]])</f>
        <v>35</v>
      </c>
      <c r="J8" s="1" t="n">
        <f aca="false">(LG26V[[#This Row],["J"PRECIO COMPRA ]]/LG26V[[#This Row],[BARRAS]])</f>
        <v>15</v>
      </c>
      <c r="K8" s="1" t="n">
        <f aca="false">SUMIF(entradas26[CODIGO],LG26V[[#This Row],[CODIGO ]],entradas26[[CAN JUEGOS ]])</f>
        <v>0</v>
      </c>
      <c r="L8" s="1" t="n">
        <f aca="false">SUMIF(entradas26[CODIGO],LG26V[[#This Row],[CODIGO ]],entradas26[CAN BARRAS])</f>
        <v>0</v>
      </c>
      <c r="M8" s="1" t="n">
        <f aca="false">SUMIF(salidas26[[CODIGO ]],LG26V[[#This Row],[CODIGO ]],salidas26[[CANT JUEGOS ]])</f>
        <v>8</v>
      </c>
      <c r="N8" s="1" t="n">
        <f aca="false">SUMIF(salidas26[[CODIGO ]],LG26V[[#This Row],[CODIGO ]],salidas26[CANT BARRAS])</f>
        <v>0</v>
      </c>
      <c r="O8" s="1" t="n">
        <f aca="false">(LG26V[[#This Row],["J"PRECIO COMPRA ]]*LG26V[[#This Row],[STOCK JUEGOS]])</f>
        <v>0</v>
      </c>
      <c r="P8" s="1" t="n">
        <f aca="false">(LG26V[[#This Row],["J" PRECIO VENTA ]]*LG26V[[#This Row],[STOCK JUEGOS]])</f>
        <v>0</v>
      </c>
      <c r="Q8" s="1" t="n">
        <f aca="false">(LG26V[[#This Row],["B"PRECIO COMPRA]]*LG26V[[#This Row],[STOCK BARRAS]])</f>
        <v>0</v>
      </c>
      <c r="R8" s="1" t="n">
        <f aca="false">(LG26V[[#This Row],["B"PRECIO VENTA ]]*LG26V[[#This Row],[STOCK BARRAS]])</f>
        <v>0</v>
      </c>
      <c r="S8" s="18" t="n">
        <v>8</v>
      </c>
      <c r="T8" s="18"/>
      <c r="U8" s="1" t="n">
        <v>1.3</v>
      </c>
      <c r="W8" s="1" t="s">
        <v>30</v>
      </c>
    </row>
    <row r="9" customFormat="false" ht="15" hidden="false" customHeight="false" outlineLevel="0" collapsed="false">
      <c r="A9" s="1" t="n">
        <v>6</v>
      </c>
      <c r="B9" s="16" t="n">
        <v>1012</v>
      </c>
      <c r="C9" s="16" t="s">
        <v>31</v>
      </c>
      <c r="D9" s="1" t="n">
        <f aca="false">(LG26V[[#This Row],[CANTIDAD INICIAL JUEGO ]]+LG26V[[#This Row],[ENTRADAS JUEGOS ]]-LG26V[[#This Row],[SALIDAS JUEGOS]])</f>
        <v>13</v>
      </c>
      <c r="E9" s="1" t="n">
        <f aca="false">(LG26V[[#This Row],[CANTIDAD INICIAL BARRAS]]+LG26V[[#This Row],[ENTRADAS BARRAS]]-LG26V[[#This Row],[SALIDA BARRAS]])</f>
        <v>0</v>
      </c>
      <c r="F9" s="17" t="n">
        <v>90</v>
      </c>
      <c r="G9" s="1" t="n">
        <v>69</v>
      </c>
      <c r="H9" s="1" t="n">
        <v>3</v>
      </c>
      <c r="I9" s="1" t="n">
        <f aca="false">(LG26V[[#This Row],["J" PRECIO VENTA ]]/LG26V[[#This Row],[BARRAS]])</f>
        <v>30</v>
      </c>
      <c r="J9" s="1" t="n">
        <f aca="false">(LG26V[[#This Row],["J"PRECIO COMPRA ]]/LG26V[[#This Row],[BARRAS]])</f>
        <v>23</v>
      </c>
      <c r="K9" s="1" t="n">
        <f aca="false">SUMIF(entradas26[CODIGO],LG26V[[#This Row],[CODIGO ]],entradas26[[CAN JUEGOS ]])</f>
        <v>0</v>
      </c>
      <c r="L9" s="1" t="n">
        <f aca="false">SUMIF(entradas26[CODIGO],LG26V[[#This Row],[CODIGO ]],entradas26[CAN BARRAS])</f>
        <v>0</v>
      </c>
      <c r="M9" s="1" t="n">
        <f aca="false">SUMIF(salidas26[[CODIGO ]],LG26V[[#This Row],[CODIGO ]],salidas26[[CANT JUEGOS ]])</f>
        <v>21</v>
      </c>
      <c r="N9" s="1" t="n">
        <f aca="false">SUMIF(salidas26[[CODIGO ]],LG26V[[#This Row],[CODIGO ]],salidas26[CANT BARRAS])</f>
        <v>0</v>
      </c>
      <c r="O9" s="1" t="n">
        <f aca="false">(LG26V[[#This Row],["J"PRECIO COMPRA ]]*LG26V[[#This Row],[STOCK JUEGOS]])</f>
        <v>897</v>
      </c>
      <c r="P9" s="1" t="n">
        <f aca="false">(LG26V[[#This Row],["J" PRECIO VENTA ]]*LG26V[[#This Row],[STOCK JUEGOS]])</f>
        <v>1170</v>
      </c>
      <c r="Q9" s="1" t="n">
        <f aca="false">(LG26V[[#This Row],["B"PRECIO COMPRA]]*LG26V[[#This Row],[STOCK BARRAS]])</f>
        <v>0</v>
      </c>
      <c r="R9" s="1" t="n">
        <f aca="false">(LG26V[[#This Row],["B"PRECIO VENTA ]]*LG26V[[#This Row],[STOCK BARRAS]])</f>
        <v>0</v>
      </c>
      <c r="S9" s="19" t="n">
        <v>34</v>
      </c>
      <c r="T9" s="19"/>
      <c r="U9" s="1" t="n">
        <v>2.5</v>
      </c>
      <c r="W9" s="1" t="s">
        <v>32</v>
      </c>
    </row>
    <row r="10" customFormat="false" ht="15" hidden="false" customHeight="false" outlineLevel="0" collapsed="false">
      <c r="A10" s="1" t="n">
        <v>7</v>
      </c>
      <c r="B10" s="16" t="n">
        <v>1015</v>
      </c>
      <c r="C10" s="16" t="s">
        <v>33</v>
      </c>
      <c r="D10" s="1" t="n">
        <f aca="false">(LG26V[[#This Row],[CANTIDAD INICIAL JUEGO ]]+LG26V[[#This Row],[ENTRADAS JUEGOS ]]-LG26V[[#This Row],[SALIDAS JUEGOS]])</f>
        <v>10</v>
      </c>
      <c r="E10" s="1" t="n">
        <f aca="false">(LG26V[[#This Row],[CANTIDAD INICIAL BARRAS]]+LG26V[[#This Row],[ENTRADAS BARRAS]]-LG26V[[#This Row],[SALIDA BARRAS]])</f>
        <v>0</v>
      </c>
      <c r="F10" s="17" t="n">
        <v>80</v>
      </c>
      <c r="G10" s="1" t="n">
        <v>34.2</v>
      </c>
      <c r="H10" s="1" t="n">
        <v>3</v>
      </c>
      <c r="I10" s="1" t="n">
        <f aca="false">(LG26V[[#This Row],["J" PRECIO VENTA ]]/LG26V[[#This Row],[BARRAS]])</f>
        <v>26.6666666666667</v>
      </c>
      <c r="J10" s="1" t="n">
        <f aca="false">(LG26V[[#This Row],["J"PRECIO COMPRA ]]/LG26V[[#This Row],[BARRAS]])</f>
        <v>11.4</v>
      </c>
      <c r="K10" s="1" t="n">
        <f aca="false">SUMIF(entradas26[CODIGO],LG26V[[#This Row],[CODIGO ]],entradas26[[CAN JUEGOS ]])</f>
        <v>20</v>
      </c>
      <c r="L10" s="1" t="n">
        <f aca="false">SUMIF(entradas26[CODIGO],LG26V[[#This Row],[CODIGO ]],entradas26[CAN BARRAS])</f>
        <v>3</v>
      </c>
      <c r="M10" s="1" t="n">
        <f aca="false">SUMIF(salidas26[[CODIGO ]],LG26V[[#This Row],[CODIGO ]],salidas26[[CANT JUEGOS ]])</f>
        <v>35</v>
      </c>
      <c r="N10" s="1" t="n">
        <f aca="false">SUMIF(salidas26[[CODIGO ]],LG26V[[#This Row],[CODIGO ]],salidas26[CANT BARRAS])</f>
        <v>5</v>
      </c>
      <c r="O10" s="1" t="n">
        <f aca="false">(LG26V[[#This Row],["J"PRECIO COMPRA ]]*LG26V[[#This Row],[STOCK JUEGOS]])</f>
        <v>342</v>
      </c>
      <c r="P10" s="1" t="n">
        <f aca="false">(LG26V[[#This Row],["J" PRECIO VENTA ]]*LG26V[[#This Row],[STOCK JUEGOS]])</f>
        <v>800</v>
      </c>
      <c r="Q10" s="1" t="n">
        <f aca="false">(LG26V[[#This Row],["B"PRECIO COMPRA]]*LG26V[[#This Row],[STOCK BARRAS]])</f>
        <v>0</v>
      </c>
      <c r="R10" s="1" t="n">
        <f aca="false">(LG26V[[#This Row],["B"PRECIO VENTA ]]*LG26V[[#This Row],[STOCK BARRAS]])</f>
        <v>0</v>
      </c>
      <c r="S10" s="18" t="n">
        <v>25</v>
      </c>
      <c r="T10" s="18" t="n">
        <v>2</v>
      </c>
      <c r="U10" s="1" t="n">
        <v>1.8</v>
      </c>
      <c r="W10" s="1" t="s">
        <v>34</v>
      </c>
    </row>
    <row r="11" customFormat="false" ht="15" hidden="false" customHeight="false" outlineLevel="0" collapsed="false">
      <c r="A11" s="1" t="n">
        <v>8</v>
      </c>
      <c r="B11" s="16" t="n">
        <v>1018</v>
      </c>
      <c r="C11" s="16" t="s">
        <v>35</v>
      </c>
      <c r="D11" s="1" t="n">
        <f aca="false">(LG26V[[#This Row],[CANTIDAD INICIAL JUEGO ]]+LG26V[[#This Row],[ENTRADAS JUEGOS ]]-LG26V[[#This Row],[SALIDAS JUEGOS]])</f>
        <v>15</v>
      </c>
      <c r="E11" s="1" t="n">
        <f aca="false">(LG26V[[#This Row],[CANTIDAD INICIAL BARRAS]]+LG26V[[#This Row],[ENTRADAS BARRAS]]-LG26V[[#This Row],[SALIDA BARRAS]])</f>
        <v>0</v>
      </c>
      <c r="F11" s="17" t="n">
        <v>80</v>
      </c>
      <c r="G11" s="1" t="n">
        <v>38</v>
      </c>
      <c r="H11" s="1" t="n">
        <v>2</v>
      </c>
      <c r="I11" s="1" t="n">
        <f aca="false">(LG26V[[#This Row],["J" PRECIO VENTA ]]/LG26V[[#This Row],[BARRAS]])</f>
        <v>40</v>
      </c>
      <c r="J11" s="1" t="n">
        <f aca="false">(LG26V[[#This Row],["J"PRECIO COMPRA ]]/LG26V[[#This Row],[BARRAS]])</f>
        <v>19</v>
      </c>
      <c r="K11" s="1" t="n">
        <f aca="false">SUMIF(entradas26[CODIGO],LG26V[[#This Row],[CODIGO ]],entradas26[[CAN JUEGOS ]])</f>
        <v>0</v>
      </c>
      <c r="L11" s="1" t="n">
        <f aca="false">SUMIF(entradas26[CODIGO],LG26V[[#This Row],[CODIGO ]],entradas26[CAN BARRAS])</f>
        <v>0</v>
      </c>
      <c r="M11" s="1" t="n">
        <f aca="false">SUMIF(salidas26[[CODIGO ]],LG26V[[#This Row],[CODIGO ]],salidas26[[CANT JUEGOS ]])</f>
        <v>3</v>
      </c>
      <c r="N11" s="1" t="n">
        <f aca="false">SUMIF(salidas26[[CODIGO ]],LG26V[[#This Row],[CODIGO ]],salidas26[CANT BARRAS])</f>
        <v>0</v>
      </c>
      <c r="O11" s="1" t="n">
        <f aca="false">(LG26V[[#This Row],["J"PRECIO COMPRA ]]*LG26V[[#This Row],[STOCK JUEGOS]])</f>
        <v>570</v>
      </c>
      <c r="P11" s="1" t="n">
        <f aca="false">(LG26V[[#This Row],["J" PRECIO VENTA ]]*LG26V[[#This Row],[STOCK JUEGOS]])</f>
        <v>1200</v>
      </c>
      <c r="Q11" s="1" t="n">
        <f aca="false">(LG26V[[#This Row],["B"PRECIO COMPRA]]*LG26V[[#This Row],[STOCK BARRAS]])</f>
        <v>0</v>
      </c>
      <c r="R11" s="1" t="n">
        <f aca="false">(LG26V[[#This Row],["B"PRECIO VENTA ]]*LG26V[[#This Row],[STOCK BARRAS]])</f>
        <v>0</v>
      </c>
      <c r="S11" s="18" t="n">
        <v>18</v>
      </c>
      <c r="T11" s="18"/>
      <c r="U11" s="1" t="n">
        <v>1.45</v>
      </c>
      <c r="W11" s="1" t="s">
        <v>36</v>
      </c>
    </row>
    <row r="12" customFormat="false" ht="15" hidden="false" customHeight="false" outlineLevel="0" collapsed="false">
      <c r="A12" s="1" t="n">
        <v>9</v>
      </c>
      <c r="B12" s="16" t="n">
        <v>1021</v>
      </c>
      <c r="C12" s="16" t="s">
        <v>37</v>
      </c>
      <c r="D12" s="1" t="n">
        <f aca="false">(LG26V[[#This Row],[CANTIDAD INICIAL JUEGO ]]+LG26V[[#This Row],[ENTRADAS JUEGOS ]]-LG26V[[#This Row],[SALIDAS JUEGOS]])</f>
        <v>1</v>
      </c>
      <c r="E12" s="1" t="n">
        <f aca="false">(LG26V[[#This Row],[CANTIDAD INICIAL BARRAS]]+LG26V[[#This Row],[ENTRADAS BARRAS]]-LG26V[[#This Row],[SALIDA BARRAS]])</f>
        <v>0</v>
      </c>
      <c r="F12" s="17" t="n">
        <v>120</v>
      </c>
      <c r="G12" s="1" t="n">
        <v>80</v>
      </c>
      <c r="H12" s="1" t="n">
        <v>4</v>
      </c>
      <c r="I12" s="1" t="n">
        <f aca="false">(LG26V[[#This Row],["J" PRECIO VENTA ]]/LG26V[[#This Row],[BARRAS]])</f>
        <v>30</v>
      </c>
      <c r="J12" s="1" t="n">
        <f aca="false">(LG26V[[#This Row],["J"PRECIO COMPRA ]]/LG26V[[#This Row],[BARRAS]])</f>
        <v>20</v>
      </c>
      <c r="K12" s="1" t="n">
        <f aca="false">SUMIF(entradas26[CODIGO],LG26V[[#This Row],[CODIGO ]],entradas26[[CAN JUEGOS ]])</f>
        <v>0</v>
      </c>
      <c r="L12" s="1" t="n">
        <f aca="false">SUMIF(entradas26[CODIGO],LG26V[[#This Row],[CODIGO ]],entradas26[CAN BARRAS])</f>
        <v>0</v>
      </c>
      <c r="M12" s="1" t="n">
        <f aca="false">SUMIF(salidas26[[CODIGO ]],LG26V[[#This Row],[CODIGO ]],salidas26[[CANT JUEGOS ]])</f>
        <v>0</v>
      </c>
      <c r="N12" s="1" t="n">
        <f aca="false">SUMIF(salidas26[[CODIGO ]],LG26V[[#This Row],[CODIGO ]],salidas26[CANT BARRAS])</f>
        <v>0</v>
      </c>
      <c r="O12" s="1" t="n">
        <f aca="false">(LG26V[[#This Row],["J"PRECIO COMPRA ]]*LG26V[[#This Row],[STOCK JUEGOS]])</f>
        <v>80</v>
      </c>
      <c r="P12" s="1" t="n">
        <f aca="false">(LG26V[[#This Row],["J" PRECIO VENTA ]]*LG26V[[#This Row],[STOCK JUEGOS]])</f>
        <v>120</v>
      </c>
      <c r="Q12" s="1" t="n">
        <f aca="false">(LG26V[[#This Row],["B"PRECIO COMPRA]]*LG26V[[#This Row],[STOCK BARRAS]])</f>
        <v>0</v>
      </c>
      <c r="R12" s="1" t="n">
        <f aca="false">(LG26V[[#This Row],["B"PRECIO VENTA ]]*LG26V[[#This Row],[STOCK BARRAS]])</f>
        <v>0</v>
      </c>
      <c r="S12" s="18" t="n">
        <v>1</v>
      </c>
      <c r="T12" s="18"/>
    </row>
    <row r="13" customFormat="false" ht="15" hidden="false" customHeight="false" outlineLevel="0" collapsed="false">
      <c r="A13" s="1" t="n">
        <v>10</v>
      </c>
      <c r="B13" s="16" t="n">
        <v>1024</v>
      </c>
      <c r="C13" s="16" t="s">
        <v>38</v>
      </c>
      <c r="D13" s="1" t="n">
        <f aca="false">(LG26V[[#This Row],[CANTIDAD INICIAL JUEGO ]]+LG26V[[#This Row],[ENTRADAS JUEGOS ]]-LG26V[[#This Row],[SALIDAS JUEGOS]])</f>
        <v>18</v>
      </c>
      <c r="E13" s="1" t="n">
        <f aca="false">(LG26V[[#This Row],[CANTIDAD INICIAL BARRAS]]+LG26V[[#This Row],[ENTRADAS BARRAS]]-LG26V[[#This Row],[SALIDA BARRAS]])</f>
        <v>0</v>
      </c>
      <c r="F13" s="17" t="n">
        <v>100</v>
      </c>
      <c r="G13" s="1" t="n">
        <v>64</v>
      </c>
      <c r="H13" s="1" t="n">
        <v>3</v>
      </c>
      <c r="I13" s="1" t="n">
        <f aca="false">(LG26V[[#This Row],["J" PRECIO VENTA ]]/LG26V[[#This Row],[BARRAS]])</f>
        <v>33.3333333333333</v>
      </c>
      <c r="J13" s="1" t="n">
        <f aca="false">(LG26V[[#This Row],["J"PRECIO COMPRA ]]/LG26V[[#This Row],[BARRAS]])</f>
        <v>21.3333333333333</v>
      </c>
      <c r="K13" s="1" t="n">
        <f aca="false">SUMIF(entradas26[CODIGO],LG26V[[#This Row],[CODIGO ]],entradas26[[CAN JUEGOS ]])</f>
        <v>0</v>
      </c>
      <c r="L13" s="1" t="n">
        <f aca="false">SUMIF(entradas26[CODIGO],LG26V[[#This Row],[CODIGO ]],entradas26[CAN BARRAS])</f>
        <v>0</v>
      </c>
      <c r="M13" s="1" t="n">
        <f aca="false">SUMIF(salidas26[[CODIGO ]],LG26V[[#This Row],[CODIGO ]],salidas26[[CANT JUEGOS ]])</f>
        <v>4</v>
      </c>
      <c r="N13" s="1" t="n">
        <f aca="false">SUMIF(salidas26[[CODIGO ]],LG26V[[#This Row],[CODIGO ]],salidas26[CANT BARRAS])</f>
        <v>0</v>
      </c>
      <c r="O13" s="1" t="n">
        <f aca="false">(LG26V[[#This Row],["J"PRECIO COMPRA ]]*LG26V[[#This Row],[STOCK JUEGOS]])</f>
        <v>1152</v>
      </c>
      <c r="P13" s="1" t="n">
        <f aca="false">(LG26V[[#This Row],["J" PRECIO VENTA ]]*LG26V[[#This Row],[STOCK JUEGOS]])</f>
        <v>1800</v>
      </c>
      <c r="Q13" s="1" t="n">
        <f aca="false">(LG26V[[#This Row],["B"PRECIO COMPRA]]*LG26V[[#This Row],[STOCK BARRAS]])</f>
        <v>0</v>
      </c>
      <c r="R13" s="1" t="n">
        <f aca="false">(LG26V[[#This Row],["B"PRECIO VENTA ]]*LG26V[[#This Row],[STOCK BARRAS]])</f>
        <v>0</v>
      </c>
      <c r="S13" s="20" t="n">
        <v>22</v>
      </c>
      <c r="T13" s="20"/>
      <c r="U13" s="1" t="n">
        <v>2.4</v>
      </c>
      <c r="W13" s="1" t="s">
        <v>39</v>
      </c>
    </row>
    <row r="14" customFormat="false" ht="15" hidden="false" customHeight="false" outlineLevel="0" collapsed="false">
      <c r="A14" s="1" t="n">
        <v>11</v>
      </c>
      <c r="B14" s="16" t="n">
        <v>1027</v>
      </c>
      <c r="C14" s="16" t="s">
        <v>40</v>
      </c>
      <c r="D14" s="1" t="n">
        <f aca="false">(LG26V[[#This Row],[CANTIDAD INICIAL JUEGO ]]+LG26V[[#This Row],[ENTRADAS JUEGOS ]]-LG26V[[#This Row],[SALIDAS JUEGOS]])</f>
        <v>26</v>
      </c>
      <c r="E14" s="1" t="n">
        <f aca="false">(LG26V[[#This Row],[CANTIDAD INICIAL BARRAS]]+LG26V[[#This Row],[ENTRADAS BARRAS]]-LG26V[[#This Row],[SALIDA BARRAS]])</f>
        <v>0</v>
      </c>
      <c r="F14" s="17" t="n">
        <v>120</v>
      </c>
      <c r="G14" s="1" t="n">
        <v>70</v>
      </c>
      <c r="H14" s="1" t="n">
        <v>4</v>
      </c>
      <c r="I14" s="1" t="n">
        <f aca="false">(LG26V[[#This Row],["J" PRECIO VENTA ]]/LG26V[[#This Row],[BARRAS]])</f>
        <v>30</v>
      </c>
      <c r="J14" s="1" t="n">
        <f aca="false">(LG26V[[#This Row],["J"PRECIO COMPRA ]]/LG26V[[#This Row],[BARRAS]])</f>
        <v>17.5</v>
      </c>
      <c r="K14" s="1" t="n">
        <f aca="false">SUMIF(entradas26[CODIGO],LG26V[[#This Row],[CODIGO ]],entradas26[[CAN JUEGOS ]])</f>
        <v>20</v>
      </c>
      <c r="L14" s="1" t="n">
        <f aca="false">SUMIF(entradas26[CODIGO],LG26V[[#This Row],[CODIGO ]],entradas26[CAN BARRAS])</f>
        <v>0</v>
      </c>
      <c r="M14" s="1" t="n">
        <f aca="false">SUMIF(salidas26[[CODIGO ]],LG26V[[#This Row],[CODIGO ]],salidas26[[CANT JUEGOS ]])</f>
        <v>4</v>
      </c>
      <c r="N14" s="1" t="n">
        <f aca="false">SUMIF(salidas26[[CODIGO ]],LG26V[[#This Row],[CODIGO ]],salidas26[CANT BARRAS])</f>
        <v>0</v>
      </c>
      <c r="O14" s="1" t="n">
        <f aca="false">(LG26V[[#This Row],["J"PRECIO COMPRA ]]*LG26V[[#This Row],[STOCK JUEGOS]])</f>
        <v>1820</v>
      </c>
      <c r="P14" s="1" t="n">
        <f aca="false">(LG26V[[#This Row],["J" PRECIO VENTA ]]*LG26V[[#This Row],[STOCK JUEGOS]])</f>
        <v>3120</v>
      </c>
      <c r="Q14" s="1" t="n">
        <f aca="false">(LG26V[[#This Row],["B"PRECIO COMPRA]]*LG26V[[#This Row],[STOCK BARRAS]])</f>
        <v>0</v>
      </c>
      <c r="R14" s="1" t="n">
        <f aca="false">(LG26V[[#This Row],["B"PRECIO VENTA ]]*LG26V[[#This Row],[STOCK BARRAS]])</f>
        <v>0</v>
      </c>
      <c r="S14" s="18" t="n">
        <v>10</v>
      </c>
      <c r="T14" s="18"/>
      <c r="U14" s="1" t="n">
        <v>3.7</v>
      </c>
      <c r="W14" s="1" t="s">
        <v>41</v>
      </c>
    </row>
    <row r="15" customFormat="false" ht="15" hidden="false" customHeight="false" outlineLevel="0" collapsed="false">
      <c r="A15" s="1" t="n">
        <v>12</v>
      </c>
      <c r="B15" s="16" t="n">
        <v>1028</v>
      </c>
      <c r="C15" s="16" t="s">
        <v>42</v>
      </c>
      <c r="D15" s="1" t="n">
        <f aca="false">(LG26V[[#This Row],[CANTIDAD INICIAL JUEGO ]]+LG26V[[#This Row],[ENTRADAS JUEGOS ]]-LG26V[[#This Row],[SALIDAS JUEGOS]])</f>
        <v>3</v>
      </c>
      <c r="E15" s="1" t="n">
        <f aca="false">(LG26V[[#This Row],[CANTIDAD INICIAL BARRAS]]+LG26V[[#This Row],[ENTRADAS BARRAS]]-LG26V[[#This Row],[SALIDA BARRAS]])</f>
        <v>0</v>
      </c>
      <c r="F15" s="17" t="n">
        <v>90</v>
      </c>
      <c r="G15" s="1" t="n">
        <v>50</v>
      </c>
      <c r="H15" s="1" t="n">
        <v>1</v>
      </c>
      <c r="I15" s="1" t="n">
        <f aca="false">(LG26V[[#This Row],["J" PRECIO VENTA ]]/LG26V[[#This Row],[BARRAS]])</f>
        <v>90</v>
      </c>
      <c r="J15" s="1" t="n">
        <f aca="false">(LG26V[[#This Row],["J"PRECIO COMPRA ]]/LG26V[[#This Row],[BARRAS]])</f>
        <v>50</v>
      </c>
      <c r="K15" s="1" t="n">
        <f aca="false">SUMIF(entradas26[CODIGO],LG26V[[#This Row],[CODIGO ]],entradas26[[CAN JUEGOS ]])</f>
        <v>0</v>
      </c>
      <c r="L15" s="1" t="n">
        <f aca="false">SUMIF(entradas26[CODIGO],LG26V[[#This Row],[CODIGO ]],entradas26[CAN BARRAS])</f>
        <v>0</v>
      </c>
      <c r="M15" s="1" t="n">
        <f aca="false">SUMIF(salidas26[[CODIGO ]],LG26V[[#This Row],[CODIGO ]],salidas26[[CANT JUEGOS ]])</f>
        <v>0</v>
      </c>
      <c r="N15" s="1" t="n">
        <f aca="false">SUMIF(salidas26[[CODIGO ]],LG26V[[#This Row],[CODIGO ]],salidas26[CANT BARRAS])</f>
        <v>0</v>
      </c>
      <c r="O15" s="1" t="n">
        <f aca="false">(LG26V[[#This Row],["J"PRECIO COMPRA ]]*LG26V[[#This Row],[STOCK JUEGOS]])</f>
        <v>150</v>
      </c>
      <c r="P15" s="1" t="n">
        <f aca="false">(LG26V[[#This Row],["J" PRECIO VENTA ]]*LG26V[[#This Row],[STOCK JUEGOS]])</f>
        <v>270</v>
      </c>
      <c r="Q15" s="1" t="n">
        <f aca="false">(LG26V[[#This Row],["B"PRECIO COMPRA]]*LG26V[[#This Row],[STOCK BARRAS]])</f>
        <v>0</v>
      </c>
      <c r="R15" s="1" t="n">
        <f aca="false">(LG26V[[#This Row],["B"PRECIO VENTA ]]*LG26V[[#This Row],[STOCK BARRAS]])</f>
        <v>0</v>
      </c>
      <c r="S15" s="18" t="n">
        <v>3</v>
      </c>
      <c r="T15" s="18"/>
    </row>
    <row r="16" customFormat="false" ht="15" hidden="false" customHeight="false" outlineLevel="0" collapsed="false">
      <c r="A16" s="1" t="n">
        <v>13</v>
      </c>
      <c r="B16" s="16" t="n">
        <v>1030</v>
      </c>
      <c r="C16" s="16" t="s">
        <v>43</v>
      </c>
      <c r="D16" s="1" t="n">
        <f aca="false">(LG26V[[#This Row],[CANTIDAD INICIAL JUEGO ]]+LG26V[[#This Row],[ENTRADAS JUEGOS ]]-LG26V[[#This Row],[SALIDAS JUEGOS]])</f>
        <v>9</v>
      </c>
      <c r="E16" s="1" t="n">
        <f aca="false">(LG26V[[#This Row],[CANTIDAD INICIAL BARRAS]]+LG26V[[#This Row],[ENTRADAS BARRAS]]-LG26V[[#This Row],[SALIDA BARRAS]])</f>
        <v>0</v>
      </c>
      <c r="F16" s="17" t="n">
        <v>200</v>
      </c>
      <c r="G16" s="1" t="n">
        <v>110</v>
      </c>
      <c r="H16" s="1" t="n">
        <v>8</v>
      </c>
      <c r="I16" s="1" t="n">
        <f aca="false">(LG26V[[#This Row],["J" PRECIO VENTA ]]/LG26V[[#This Row],[BARRAS]])</f>
        <v>25</v>
      </c>
      <c r="J16" s="1" t="n">
        <f aca="false">(LG26V[[#This Row],["J"PRECIO COMPRA ]]/LG26V[[#This Row],[BARRAS]])</f>
        <v>13.75</v>
      </c>
      <c r="K16" s="1" t="n">
        <f aca="false">SUMIF(entradas26[CODIGO],LG26V[[#This Row],[CODIGO ]],entradas26[[CAN JUEGOS ]])</f>
        <v>0</v>
      </c>
      <c r="L16" s="1" t="n">
        <f aca="false">SUMIF(entradas26[CODIGO],LG26V[[#This Row],[CODIGO ]],entradas26[CAN BARRAS])</f>
        <v>0</v>
      </c>
      <c r="M16" s="1" t="n">
        <f aca="false">SUMIF(salidas26[[CODIGO ]],LG26V[[#This Row],[CODIGO ]],salidas26[[CANT JUEGOS ]])</f>
        <v>0</v>
      </c>
      <c r="N16" s="1" t="n">
        <f aca="false">SUMIF(salidas26[[CODIGO ]],LG26V[[#This Row],[CODIGO ]],salidas26[CANT BARRAS])</f>
        <v>0</v>
      </c>
      <c r="O16" s="1" t="n">
        <f aca="false">(LG26V[[#This Row],["J"PRECIO COMPRA ]]*LG26V[[#This Row],[STOCK JUEGOS]])</f>
        <v>990</v>
      </c>
      <c r="P16" s="1" t="n">
        <f aca="false">(LG26V[[#This Row],["J" PRECIO VENTA ]]*LG26V[[#This Row],[STOCK JUEGOS]])</f>
        <v>1800</v>
      </c>
      <c r="Q16" s="1" t="n">
        <f aca="false">(LG26V[[#This Row],["B"PRECIO COMPRA]]*LG26V[[#This Row],[STOCK BARRAS]])</f>
        <v>0</v>
      </c>
      <c r="R16" s="1" t="n">
        <f aca="false">(LG26V[[#This Row],["B"PRECIO VENTA ]]*LG26V[[#This Row],[STOCK BARRAS]])</f>
        <v>0</v>
      </c>
      <c r="S16" s="18" t="n">
        <v>9</v>
      </c>
      <c r="T16" s="18"/>
      <c r="U16" s="1" t="n">
        <v>5.5</v>
      </c>
      <c r="W16" s="1" t="s">
        <v>44</v>
      </c>
    </row>
    <row r="17" customFormat="false" ht="15" hidden="false" customHeight="false" outlineLevel="0" collapsed="false">
      <c r="A17" s="1" t="n">
        <v>14</v>
      </c>
      <c r="B17" s="16" t="n">
        <v>1033</v>
      </c>
      <c r="C17" s="16" t="s">
        <v>45</v>
      </c>
      <c r="D17" s="1" t="n">
        <f aca="false">(LG26V[[#This Row],[CANTIDAD INICIAL JUEGO ]]+LG26V[[#This Row],[ENTRADAS JUEGOS ]]-LG26V[[#This Row],[SALIDAS JUEGOS]])</f>
        <v>18</v>
      </c>
      <c r="E17" s="1" t="n">
        <f aca="false">(LG26V[[#This Row],[CANTIDAD INICIAL BARRAS]]+LG26V[[#This Row],[ENTRADAS BARRAS]]-LG26V[[#This Row],[SALIDA BARRAS]])</f>
        <v>0</v>
      </c>
      <c r="F17" s="17" t="n">
        <v>180</v>
      </c>
      <c r="G17" s="1" t="n">
        <v>130</v>
      </c>
      <c r="H17" s="1" t="n">
        <v>8</v>
      </c>
      <c r="I17" s="1" t="n">
        <f aca="false">(LG26V[[#This Row],["J" PRECIO VENTA ]]/LG26V[[#This Row],[BARRAS]])</f>
        <v>22.5</v>
      </c>
      <c r="J17" s="1" t="n">
        <f aca="false">(LG26V[[#This Row],["J"PRECIO COMPRA ]]/LG26V[[#This Row],[BARRAS]])</f>
        <v>16.25</v>
      </c>
      <c r="K17" s="1" t="n">
        <f aca="false">SUMIF(entradas26[CODIGO],LG26V[[#This Row],[CODIGO ]],entradas26[[CAN JUEGOS ]])</f>
        <v>23</v>
      </c>
      <c r="L17" s="1" t="n">
        <f aca="false">SUMIF(entradas26[CODIGO],LG26V[[#This Row],[CODIGO ]],entradas26[CAN BARRAS])</f>
        <v>0</v>
      </c>
      <c r="M17" s="1" t="n">
        <f aca="false">SUMIF(salidas26[[CODIGO ]],LG26V[[#This Row],[CODIGO ]],salidas26[[CANT JUEGOS ]])</f>
        <v>29</v>
      </c>
      <c r="N17" s="1" t="n">
        <f aca="false">SUMIF(salidas26[[CODIGO ]],LG26V[[#This Row],[CODIGO ]],salidas26[CANT BARRAS])</f>
        <v>0</v>
      </c>
      <c r="O17" s="1" t="n">
        <f aca="false">(LG26V[[#This Row],["J"PRECIO COMPRA ]]*LG26V[[#This Row],[STOCK JUEGOS]])</f>
        <v>2340</v>
      </c>
      <c r="P17" s="1" t="n">
        <f aca="false">(LG26V[[#This Row],["J" PRECIO VENTA ]]*LG26V[[#This Row],[STOCK JUEGOS]])</f>
        <v>3240</v>
      </c>
      <c r="Q17" s="1" t="n">
        <f aca="false">(LG26V[[#This Row],["B"PRECIO COMPRA]]*LG26V[[#This Row],[STOCK BARRAS]])</f>
        <v>0</v>
      </c>
      <c r="R17" s="1" t="n">
        <f aca="false">(LG26V[[#This Row],["B"PRECIO VENTA ]]*LG26V[[#This Row],[STOCK BARRAS]])</f>
        <v>0</v>
      </c>
      <c r="S17" s="18" t="n">
        <v>24</v>
      </c>
      <c r="T17" s="18"/>
      <c r="U17" s="1" t="n">
        <v>5.4</v>
      </c>
      <c r="W17" s="1" t="s">
        <v>46</v>
      </c>
    </row>
    <row r="18" customFormat="false" ht="15" hidden="false" customHeight="false" outlineLevel="0" collapsed="false">
      <c r="A18" s="1" t="n">
        <v>15</v>
      </c>
      <c r="B18" s="16" t="n">
        <v>1036</v>
      </c>
      <c r="C18" s="16" t="s">
        <v>47</v>
      </c>
      <c r="D18" s="1" t="n">
        <f aca="false">(LG26V[[#This Row],[CANTIDAD INICIAL JUEGO ]]+LG26V[[#This Row],[ENTRADAS JUEGOS ]]-LG26V[[#This Row],[SALIDAS JUEGOS]])</f>
        <v>17</v>
      </c>
      <c r="E18" s="1" t="n">
        <f aca="false">(LG26V[[#This Row],[CANTIDAD INICIAL BARRAS]]+LG26V[[#This Row],[ENTRADAS BARRAS]]-LG26V[[#This Row],[SALIDA BARRAS]])</f>
        <v>6</v>
      </c>
      <c r="F18" s="17" t="n">
        <v>180</v>
      </c>
      <c r="G18" s="1" t="n">
        <v>96.9</v>
      </c>
      <c r="H18" s="1" t="n">
        <v>10</v>
      </c>
      <c r="I18" s="1" t="n">
        <f aca="false">(LG26V[[#This Row],["J" PRECIO VENTA ]]/LG26V[[#This Row],[BARRAS]])</f>
        <v>18</v>
      </c>
      <c r="J18" s="1" t="n">
        <f aca="false">(LG26V[[#This Row],["J"PRECIO COMPRA ]]/LG26V[[#This Row],[BARRAS]])</f>
        <v>9.69</v>
      </c>
      <c r="K18" s="1" t="n">
        <f aca="false">SUMIF(entradas26[CODIGO],LG26V[[#This Row],[CODIGO ]],entradas26[[CAN JUEGOS ]])</f>
        <v>20</v>
      </c>
      <c r="L18" s="1" t="n">
        <f aca="false">SUMIF(entradas26[CODIGO],LG26V[[#This Row],[CODIGO ]],entradas26[CAN BARRAS])</f>
        <v>0</v>
      </c>
      <c r="M18" s="1" t="n">
        <f aca="false">SUMIF(salidas26[[CODIGO ]],LG26V[[#This Row],[CODIGO ]],salidas26[[CANT JUEGOS ]])</f>
        <v>14</v>
      </c>
      <c r="N18" s="1" t="n">
        <f aca="false">SUMIF(salidas26[[CODIGO ]],LG26V[[#This Row],[CODIGO ]],salidas26[CANT BARRAS])</f>
        <v>0</v>
      </c>
      <c r="O18" s="1" t="n">
        <f aca="false">(LG26V[[#This Row],["J"PRECIO COMPRA ]]*LG26V[[#This Row],[STOCK JUEGOS]])</f>
        <v>1647.3</v>
      </c>
      <c r="P18" s="1" t="n">
        <f aca="false">(LG26V[[#This Row],["J" PRECIO VENTA ]]*LG26V[[#This Row],[STOCK JUEGOS]])</f>
        <v>3060</v>
      </c>
      <c r="Q18" s="1" t="n">
        <f aca="false">(LG26V[[#This Row],["B"PRECIO COMPRA]]*LG26V[[#This Row],[STOCK BARRAS]])</f>
        <v>58.14</v>
      </c>
      <c r="R18" s="1" t="n">
        <f aca="false">(LG26V[[#This Row],["B"PRECIO VENTA ]]*LG26V[[#This Row],[STOCK BARRAS]])</f>
        <v>108</v>
      </c>
      <c r="S18" s="18" t="n">
        <v>11</v>
      </c>
      <c r="T18" s="18" t="n">
        <v>6</v>
      </c>
      <c r="U18" s="1" t="n">
        <v>5.1</v>
      </c>
      <c r="W18" s="1" t="s">
        <v>48</v>
      </c>
    </row>
    <row r="19" customFormat="false" ht="15" hidden="false" customHeight="false" outlineLevel="0" collapsed="false">
      <c r="A19" s="1" t="n">
        <v>16</v>
      </c>
      <c r="B19" s="16" t="n">
        <v>1039</v>
      </c>
      <c r="C19" s="16" t="s">
        <v>49</v>
      </c>
      <c r="D19" s="1" t="n">
        <f aca="false">(LG26V[[#This Row],[CANTIDAD INICIAL JUEGO ]]+LG26V[[#This Row],[ENTRADAS JUEGOS ]]-LG26V[[#This Row],[SALIDAS JUEGOS]])</f>
        <v>15</v>
      </c>
      <c r="E19" s="1" t="n">
        <f aca="false">(LG26V[[#This Row],[CANTIDAD INICIAL BARRAS]]+LG26V[[#This Row],[ENTRADAS BARRAS]]-LG26V[[#This Row],[SALIDA BARRAS]])</f>
        <v>16</v>
      </c>
      <c r="F19" s="17" t="n">
        <v>200</v>
      </c>
      <c r="G19" s="1" t="n">
        <v>105</v>
      </c>
      <c r="H19" s="1" t="n">
        <v>10</v>
      </c>
      <c r="I19" s="1" t="n">
        <f aca="false">(LG26V[[#This Row],["J" PRECIO VENTA ]]/LG26V[[#This Row],[BARRAS]])</f>
        <v>20</v>
      </c>
      <c r="J19" s="1" t="n">
        <f aca="false">(LG26V[[#This Row],["J"PRECIO COMPRA ]]/LG26V[[#This Row],[BARRAS]])</f>
        <v>10.5</v>
      </c>
      <c r="K19" s="1" t="n">
        <f aca="false">SUMIF(entradas26[CODIGO],LG26V[[#This Row],[CODIGO ]],entradas26[[CAN JUEGOS ]])</f>
        <v>0</v>
      </c>
      <c r="L19" s="1" t="n">
        <f aca="false">SUMIF(entradas26[CODIGO],LG26V[[#This Row],[CODIGO ]],entradas26[CAN BARRAS])</f>
        <v>0</v>
      </c>
      <c r="M19" s="1" t="n">
        <f aca="false">SUMIF(salidas26[[CODIGO ]],LG26V[[#This Row],[CODIGO ]],salidas26[[CANT JUEGOS ]])</f>
        <v>2</v>
      </c>
      <c r="N19" s="1" t="n">
        <f aca="false">SUMIF(salidas26[[CODIGO ]],LG26V[[#This Row],[CODIGO ]],salidas26[CANT BARRAS])</f>
        <v>0</v>
      </c>
      <c r="O19" s="1" t="n">
        <f aca="false">(LG26V[[#This Row],["J"PRECIO COMPRA ]]*LG26V[[#This Row],[STOCK JUEGOS]])</f>
        <v>1575</v>
      </c>
      <c r="P19" s="1" t="n">
        <f aca="false">(LG26V[[#This Row],["J" PRECIO VENTA ]]*LG26V[[#This Row],[STOCK JUEGOS]])</f>
        <v>3000</v>
      </c>
      <c r="Q19" s="1" t="n">
        <f aca="false">(LG26V[[#This Row],["B"PRECIO COMPRA]]*LG26V[[#This Row],[STOCK BARRAS]])</f>
        <v>168</v>
      </c>
      <c r="R19" s="1" t="n">
        <f aca="false">(LG26V[[#This Row],["B"PRECIO VENTA ]]*LG26V[[#This Row],[STOCK BARRAS]])</f>
        <v>320</v>
      </c>
      <c r="S19" s="18" t="n">
        <v>17</v>
      </c>
      <c r="T19" s="18" t="n">
        <v>16</v>
      </c>
      <c r="U19" s="1" t="n">
        <v>5.64</v>
      </c>
      <c r="W19" s="1" t="s">
        <v>50</v>
      </c>
    </row>
    <row r="20" customFormat="false" ht="15" hidden="false" customHeight="false" outlineLevel="0" collapsed="false">
      <c r="A20" s="1" t="n">
        <v>17</v>
      </c>
      <c r="B20" s="16" t="n">
        <v>1042</v>
      </c>
      <c r="C20" s="16" t="s">
        <v>51</v>
      </c>
      <c r="D20" s="1" t="n">
        <f aca="false">(LG26V[[#This Row],[CANTIDAD INICIAL JUEGO ]]+LG26V[[#This Row],[ENTRADAS JUEGOS ]]-LG26V[[#This Row],[SALIDAS JUEGOS]])</f>
        <v>6</v>
      </c>
      <c r="E20" s="1" t="n">
        <f aca="false">(LG26V[[#This Row],[CANTIDAD INICIAL BARRAS]]+LG26V[[#This Row],[ENTRADAS BARRAS]]-LG26V[[#This Row],[SALIDA BARRAS]])</f>
        <v>2</v>
      </c>
      <c r="F20" s="17" t="n">
        <v>250</v>
      </c>
      <c r="G20" s="1" t="n">
        <v>245</v>
      </c>
      <c r="H20" s="1" t="n">
        <v>10</v>
      </c>
      <c r="I20" s="1" t="n">
        <f aca="false">(LG26V[[#This Row],["J" PRECIO VENTA ]]/LG26V[[#This Row],[BARRAS]])</f>
        <v>25</v>
      </c>
      <c r="J20" s="1" t="n">
        <f aca="false">(LG26V[[#This Row],["J"PRECIO COMPRA ]]/LG26V[[#This Row],[BARRAS]])</f>
        <v>24.5</v>
      </c>
      <c r="K20" s="1" t="n">
        <f aca="false">SUMIF(entradas26[CODIGO],LG26V[[#This Row],[CODIGO ]],entradas26[[CAN JUEGOS ]])</f>
        <v>0</v>
      </c>
      <c r="L20" s="1" t="n">
        <f aca="false">SUMIF(entradas26[CODIGO],LG26V[[#This Row],[CODIGO ]],entradas26[CAN BARRAS])</f>
        <v>10</v>
      </c>
      <c r="M20" s="1" t="n">
        <f aca="false">SUMIF(salidas26[[CODIGO ]],LG26V[[#This Row],[CODIGO ]],salidas26[[CANT JUEGOS ]])</f>
        <v>2</v>
      </c>
      <c r="N20" s="1" t="n">
        <f aca="false">SUMIF(salidas26[[CODIGO ]],LG26V[[#This Row],[CODIGO ]],salidas26[CANT BARRAS])</f>
        <v>8</v>
      </c>
      <c r="O20" s="1" t="n">
        <f aca="false">(LG26V[[#This Row],["J"PRECIO COMPRA ]]*LG26V[[#This Row],[STOCK JUEGOS]])</f>
        <v>1470</v>
      </c>
      <c r="P20" s="1" t="n">
        <f aca="false">(LG26V[[#This Row],["J" PRECIO VENTA ]]*LG26V[[#This Row],[STOCK JUEGOS]])</f>
        <v>1500</v>
      </c>
      <c r="Q20" s="1" t="n">
        <f aca="false">(LG26V[[#This Row],["B"PRECIO COMPRA]]*LG26V[[#This Row],[STOCK BARRAS]])</f>
        <v>49</v>
      </c>
      <c r="R20" s="1" t="n">
        <f aca="false">(LG26V[[#This Row],["B"PRECIO VENTA ]]*LG26V[[#This Row],[STOCK BARRAS]])</f>
        <v>50</v>
      </c>
      <c r="S20" s="18" t="n">
        <v>8</v>
      </c>
      <c r="T20" s="18"/>
      <c r="U20" s="1" t="n">
        <v>7.85</v>
      </c>
      <c r="W20" s="1" t="s">
        <v>52</v>
      </c>
    </row>
    <row r="21" customFormat="false" ht="15" hidden="false" customHeight="false" outlineLevel="0" collapsed="false">
      <c r="A21" s="1" t="n">
        <v>18</v>
      </c>
      <c r="B21" s="16" t="n">
        <v>1045</v>
      </c>
      <c r="C21" s="16" t="s">
        <v>53</v>
      </c>
      <c r="D21" s="1" t="n">
        <f aca="false">(LG26V[[#This Row],[CANTIDAD INICIAL JUEGO ]]+LG26V[[#This Row],[ENTRADAS JUEGOS ]]-LG26V[[#This Row],[SALIDAS JUEGOS]])</f>
        <v>12</v>
      </c>
      <c r="E21" s="1" t="n">
        <f aca="false">(LG26V[[#This Row],[CANTIDAD INICIAL BARRAS]]+LG26V[[#This Row],[ENTRADAS BARRAS]]-LG26V[[#This Row],[SALIDA BARRAS]])</f>
        <v>0</v>
      </c>
      <c r="F21" s="17" t="n">
        <v>140</v>
      </c>
      <c r="G21" s="1" t="n">
        <v>30</v>
      </c>
      <c r="H21" s="1" t="n">
        <v>1</v>
      </c>
      <c r="I21" s="1" t="n">
        <f aca="false">(LG26V[[#This Row],["J" PRECIO VENTA ]]/LG26V[[#This Row],[BARRAS]])</f>
        <v>140</v>
      </c>
      <c r="J21" s="1" t="n">
        <f aca="false">(LG26V[[#This Row],["J"PRECIO COMPRA ]]/LG26V[[#This Row],[BARRAS]])</f>
        <v>30</v>
      </c>
      <c r="K21" s="1" t="n">
        <f aca="false">SUMIF(entradas26[CODIGO],LG26V[[#This Row],[CODIGO ]],entradas26[[CAN JUEGOS ]])</f>
        <v>0</v>
      </c>
      <c r="L21" s="1" t="n">
        <f aca="false">SUMIF(entradas26[CODIGO],LG26V[[#This Row],[CODIGO ]],entradas26[CAN BARRAS])</f>
        <v>0</v>
      </c>
      <c r="M21" s="1" t="n">
        <f aca="false">SUMIF(salidas26[[CODIGO ]],LG26V[[#This Row],[CODIGO ]],salidas26[[CANT JUEGOS ]])</f>
        <v>1</v>
      </c>
      <c r="N21" s="1" t="n">
        <f aca="false">SUMIF(salidas26[[CODIGO ]],LG26V[[#This Row],[CODIGO ]],salidas26[CANT BARRAS])</f>
        <v>0</v>
      </c>
      <c r="O21" s="1" t="n">
        <f aca="false">(LG26V[[#This Row],["J"PRECIO COMPRA ]]*LG26V[[#This Row],[STOCK JUEGOS]])</f>
        <v>360</v>
      </c>
      <c r="P21" s="1" t="n">
        <f aca="false">(LG26V[[#This Row],["J" PRECIO VENTA ]]*LG26V[[#This Row],[STOCK JUEGOS]])</f>
        <v>1680</v>
      </c>
      <c r="Q21" s="1" t="n">
        <f aca="false">(LG26V[[#This Row],["B"PRECIO COMPRA]]*LG26V[[#This Row],[STOCK BARRAS]])</f>
        <v>0</v>
      </c>
      <c r="R21" s="1" t="n">
        <f aca="false">(LG26V[[#This Row],["B"PRECIO VENTA ]]*LG26V[[#This Row],[STOCK BARRAS]])</f>
        <v>0</v>
      </c>
      <c r="S21" s="18" t="n">
        <v>13</v>
      </c>
      <c r="T21" s="18"/>
      <c r="U21" s="1" t="n">
        <v>2.15</v>
      </c>
      <c r="W21" s="1" t="s">
        <v>54</v>
      </c>
    </row>
    <row r="22" customFormat="false" ht="15" hidden="false" customHeight="false" outlineLevel="0" collapsed="false">
      <c r="A22" s="1" t="n">
        <v>19</v>
      </c>
      <c r="B22" s="16" t="n">
        <v>1048</v>
      </c>
      <c r="C22" s="16" t="s">
        <v>55</v>
      </c>
      <c r="D22" s="1" t="n">
        <f aca="false">(LG26V[[#This Row],[CANTIDAD INICIAL JUEGO ]]+LG26V[[#This Row],[ENTRADAS JUEGOS ]]-LG26V[[#This Row],[SALIDAS JUEGOS]])</f>
        <v>0</v>
      </c>
      <c r="E22" s="1" t="n">
        <f aca="false">(LG26V[[#This Row],[CANTIDAD INICIAL BARRAS]]+LG26V[[#This Row],[ENTRADAS BARRAS]]-LG26V[[#This Row],[SALIDA BARRAS]])</f>
        <v>3</v>
      </c>
      <c r="F22" s="17" t="n">
        <v>180</v>
      </c>
      <c r="G22" s="1" t="n">
        <v>150</v>
      </c>
      <c r="H22" s="1" t="n">
        <v>5</v>
      </c>
      <c r="I22" s="1" t="n">
        <f aca="false">(LG26V[[#This Row],["J" PRECIO VENTA ]]/LG26V[[#This Row],[BARRAS]])</f>
        <v>36</v>
      </c>
      <c r="J22" s="1" t="n">
        <f aca="false">(LG26V[[#This Row],["J"PRECIO COMPRA ]]/LG26V[[#This Row],[BARRAS]])</f>
        <v>30</v>
      </c>
      <c r="K22" s="1" t="n">
        <f aca="false">SUMIF(entradas26[CODIGO],LG26V[[#This Row],[CODIGO ]],entradas26[[CAN JUEGOS ]])</f>
        <v>0</v>
      </c>
      <c r="L22" s="1" t="n">
        <f aca="false">SUMIF(entradas26[CODIGO],LG26V[[#This Row],[CODIGO ]],entradas26[CAN BARRAS])</f>
        <v>0</v>
      </c>
      <c r="M22" s="1" t="n">
        <f aca="false">SUMIF(salidas26[[CODIGO ]],LG26V[[#This Row],[CODIGO ]],salidas26[[CANT JUEGOS ]])</f>
        <v>0</v>
      </c>
      <c r="N22" s="1" t="n">
        <f aca="false">SUMIF(salidas26[[CODIGO ]],LG26V[[#This Row],[CODIGO ]],salidas26[CANT BARRAS])</f>
        <v>0</v>
      </c>
      <c r="O22" s="1" t="n">
        <f aca="false">(LG26V[[#This Row],["J"PRECIO COMPRA ]]*LG26V[[#This Row],[STOCK JUEGOS]])</f>
        <v>0</v>
      </c>
      <c r="P22" s="1" t="n">
        <f aca="false">(LG26V[[#This Row],["J" PRECIO VENTA ]]*LG26V[[#This Row],[STOCK JUEGOS]])</f>
        <v>0</v>
      </c>
      <c r="Q22" s="1" t="n">
        <f aca="false">(LG26V[[#This Row],["B"PRECIO COMPRA]]*LG26V[[#This Row],[STOCK BARRAS]])</f>
        <v>90</v>
      </c>
      <c r="R22" s="1" t="n">
        <f aca="false">(LG26V[[#This Row],["B"PRECIO VENTA ]]*LG26V[[#This Row],[STOCK BARRAS]])</f>
        <v>108</v>
      </c>
      <c r="S22" s="18"/>
      <c r="T22" s="18" t="n">
        <v>3</v>
      </c>
    </row>
    <row r="23" customFormat="false" ht="15" hidden="false" customHeight="false" outlineLevel="0" collapsed="false">
      <c r="A23" s="1" t="n">
        <v>20</v>
      </c>
      <c r="B23" s="16" t="n">
        <v>1049</v>
      </c>
      <c r="C23" s="16" t="s">
        <v>56</v>
      </c>
      <c r="D23" s="1" t="n">
        <f aca="false">(LG26V[[#This Row],[CANTIDAD INICIAL JUEGO ]]+LG26V[[#This Row],[ENTRADAS JUEGOS ]]-LG26V[[#This Row],[SALIDAS JUEGOS]])</f>
        <v>24</v>
      </c>
      <c r="E23" s="1" t="n">
        <f aca="false">(LG26V[[#This Row],[CANTIDAD INICIAL BARRAS]]+LG26V[[#This Row],[ENTRADAS BARRAS]]-LG26V[[#This Row],[SALIDA BARRAS]])</f>
        <v>0</v>
      </c>
      <c r="F23" s="17" t="n">
        <v>180</v>
      </c>
      <c r="G23" s="1" t="n">
        <v>65</v>
      </c>
      <c r="H23" s="1" t="n">
        <v>3</v>
      </c>
      <c r="I23" s="1" t="n">
        <f aca="false">(LG26V[[#This Row],["J" PRECIO VENTA ]]/LG26V[[#This Row],[BARRAS]])</f>
        <v>60</v>
      </c>
      <c r="J23" s="1" t="n">
        <f aca="false">(LG26V[[#This Row],["J"PRECIO COMPRA ]]/LG26V[[#This Row],[BARRAS]])</f>
        <v>21.6666666666667</v>
      </c>
      <c r="K23" s="1" t="n">
        <f aca="false">SUMIF(entradas26[CODIGO],LG26V[[#This Row],[CODIGO ]],entradas26[[CAN JUEGOS ]])</f>
        <v>20</v>
      </c>
      <c r="L23" s="1" t="n">
        <f aca="false">SUMIF(entradas26[CODIGO],LG26V[[#This Row],[CODIGO ]],entradas26[CAN BARRAS])</f>
        <v>0</v>
      </c>
      <c r="M23" s="1" t="n">
        <f aca="false">SUMIF(salidas26[[CODIGO ]],LG26V[[#This Row],[CODIGO ]],salidas26[[CANT JUEGOS ]])</f>
        <v>6</v>
      </c>
      <c r="N23" s="1" t="n">
        <f aca="false">SUMIF(salidas26[[CODIGO ]],LG26V[[#This Row],[CODIGO ]],salidas26[CANT BARRAS])</f>
        <v>0</v>
      </c>
      <c r="O23" s="1" t="n">
        <f aca="false">(LG26V[[#This Row],["J"PRECIO COMPRA ]]*LG26V[[#This Row],[STOCK JUEGOS]])</f>
        <v>1560</v>
      </c>
      <c r="P23" s="1" t="n">
        <f aca="false">(LG26V[[#This Row],["J" PRECIO VENTA ]]*LG26V[[#This Row],[STOCK JUEGOS]])</f>
        <v>4320</v>
      </c>
      <c r="Q23" s="1" t="n">
        <f aca="false">(LG26V[[#This Row],["B"PRECIO COMPRA]]*LG26V[[#This Row],[STOCK BARRAS]])</f>
        <v>0</v>
      </c>
      <c r="R23" s="1" t="n">
        <f aca="false">(LG26V[[#This Row],["B"PRECIO VENTA ]]*LG26V[[#This Row],[STOCK BARRAS]])</f>
        <v>0</v>
      </c>
      <c r="S23" s="18" t="n">
        <v>10</v>
      </c>
      <c r="T23" s="18"/>
      <c r="U23" s="1" t="n">
        <v>3</v>
      </c>
      <c r="W23" s="1" t="s">
        <v>57</v>
      </c>
    </row>
    <row r="24" customFormat="false" ht="15" hidden="false" customHeight="false" outlineLevel="0" collapsed="false">
      <c r="A24" s="1" t="n">
        <v>21</v>
      </c>
      <c r="B24" s="16" t="n">
        <v>1057</v>
      </c>
      <c r="C24" s="16" t="s">
        <v>58</v>
      </c>
      <c r="D24" s="1" t="n">
        <f aca="false">(LG26V[[#This Row],[CANTIDAD INICIAL JUEGO ]]+LG26V[[#This Row],[ENTRADAS JUEGOS ]]-LG26V[[#This Row],[SALIDAS JUEGOS]])</f>
        <v>1</v>
      </c>
      <c r="E24" s="1" t="n">
        <f aca="false">(LG26V[[#This Row],[CANTIDAD INICIAL BARRAS]]+LG26V[[#This Row],[ENTRADAS BARRAS]]-LG26V[[#This Row],[SALIDA BARRAS]])</f>
        <v>0</v>
      </c>
      <c r="F24" s="17" t="n">
        <v>180</v>
      </c>
      <c r="G24" s="1" t="n">
        <v>100</v>
      </c>
      <c r="H24" s="1" t="n">
        <v>4</v>
      </c>
      <c r="I24" s="1" t="n">
        <f aca="false">(LG26V[[#This Row],["J" PRECIO VENTA ]]/LG26V[[#This Row],[BARRAS]])</f>
        <v>45</v>
      </c>
      <c r="J24" s="1" t="n">
        <f aca="false">(LG26V[[#This Row],["J"PRECIO COMPRA ]]/LG26V[[#This Row],[BARRAS]])</f>
        <v>25</v>
      </c>
      <c r="K24" s="1" t="n">
        <f aca="false">SUMIF(entradas26[CODIGO],LG26V[[#This Row],[CODIGO ]],entradas26[[CAN JUEGOS ]])</f>
        <v>0</v>
      </c>
      <c r="L24" s="1" t="n">
        <f aca="false">SUMIF(entradas26[CODIGO],LG26V[[#This Row],[CODIGO ]],entradas26[CAN BARRAS])</f>
        <v>0</v>
      </c>
      <c r="M24" s="1" t="n">
        <f aca="false">SUMIF(salidas26[[CODIGO ]],LG26V[[#This Row],[CODIGO ]],salidas26[[CANT JUEGOS ]])</f>
        <v>0</v>
      </c>
      <c r="N24" s="1" t="n">
        <f aca="false">SUMIF(salidas26[[CODIGO ]],LG26V[[#This Row],[CODIGO ]],salidas26[CANT BARRAS])</f>
        <v>0</v>
      </c>
      <c r="O24" s="1" t="n">
        <f aca="false">(LG26V[[#This Row],["J"PRECIO COMPRA ]]*LG26V[[#This Row],[STOCK JUEGOS]])</f>
        <v>100</v>
      </c>
      <c r="P24" s="1" t="n">
        <f aca="false">(LG26V[[#This Row],["J" PRECIO VENTA ]]*LG26V[[#This Row],[STOCK JUEGOS]])</f>
        <v>180</v>
      </c>
      <c r="Q24" s="1" t="n">
        <f aca="false">(LG26V[[#This Row],["B"PRECIO COMPRA]]*LG26V[[#This Row],[STOCK BARRAS]])</f>
        <v>0</v>
      </c>
      <c r="R24" s="1" t="n">
        <f aca="false">(LG26V[[#This Row],["B"PRECIO VENTA ]]*LG26V[[#This Row],[STOCK BARRAS]])</f>
        <v>0</v>
      </c>
      <c r="S24" s="18" t="n">
        <v>1</v>
      </c>
      <c r="T24" s="18"/>
    </row>
    <row r="25" customFormat="false" ht="15" hidden="false" customHeight="false" outlineLevel="0" collapsed="false">
      <c r="A25" s="1" t="n">
        <v>22</v>
      </c>
      <c r="B25" s="16" t="n">
        <v>1060</v>
      </c>
      <c r="C25" s="16" t="s">
        <v>59</v>
      </c>
      <c r="D25" s="1" t="n">
        <f aca="false">(LG26V[[#This Row],[CANTIDAD INICIAL JUEGO ]]+LG26V[[#This Row],[ENTRADAS JUEGOS ]]-LG26V[[#This Row],[SALIDAS JUEGOS]])</f>
        <v>13</v>
      </c>
      <c r="E25" s="1" t="n">
        <f aca="false">(LG26V[[#This Row],[CANTIDAD INICIAL BARRAS]]+LG26V[[#This Row],[ENTRADAS BARRAS]]-LG26V[[#This Row],[SALIDA BARRAS]])</f>
        <v>4</v>
      </c>
      <c r="F25" s="17" t="n">
        <v>180</v>
      </c>
      <c r="G25" s="1" t="n">
        <v>85</v>
      </c>
      <c r="H25" s="1" t="n">
        <v>6</v>
      </c>
      <c r="I25" s="1" t="n">
        <f aca="false">(LG26V[[#This Row],["J" PRECIO VENTA ]]/LG26V[[#This Row],[BARRAS]])</f>
        <v>30</v>
      </c>
      <c r="J25" s="1" t="n">
        <f aca="false">(LG26V[[#This Row],["J"PRECIO COMPRA ]]/LG26V[[#This Row],[BARRAS]])</f>
        <v>14.1666666666667</v>
      </c>
      <c r="K25" s="1" t="n">
        <f aca="false">SUMIF(entradas26[CODIGO],LG26V[[#This Row],[CODIGO ]],entradas26[[CAN JUEGOS ]])</f>
        <v>0</v>
      </c>
      <c r="L25" s="1" t="n">
        <f aca="false">SUMIF(entradas26[CODIGO],LG26V[[#This Row],[CODIGO ]],entradas26[CAN BARRAS])</f>
        <v>0</v>
      </c>
      <c r="M25" s="1" t="n">
        <f aca="false">SUMIF(salidas26[[CODIGO ]],LG26V[[#This Row],[CODIGO ]],salidas26[[CANT JUEGOS ]])</f>
        <v>3</v>
      </c>
      <c r="N25" s="1" t="n">
        <f aca="false">SUMIF(salidas26[[CODIGO ]],LG26V[[#This Row],[CODIGO ]],salidas26[CANT BARRAS])</f>
        <v>0</v>
      </c>
      <c r="O25" s="1" t="n">
        <f aca="false">(LG26V[[#This Row],["J"PRECIO COMPRA ]]*LG26V[[#This Row],[STOCK JUEGOS]])</f>
        <v>1105</v>
      </c>
      <c r="P25" s="1" t="n">
        <f aca="false">(LG26V[[#This Row],["J" PRECIO VENTA ]]*LG26V[[#This Row],[STOCK JUEGOS]])</f>
        <v>2340</v>
      </c>
      <c r="Q25" s="1" t="n">
        <f aca="false">(LG26V[[#This Row],["B"PRECIO COMPRA]]*LG26V[[#This Row],[STOCK BARRAS]])</f>
        <v>56.6666666666667</v>
      </c>
      <c r="R25" s="1" t="n">
        <f aca="false">(LG26V[[#This Row],["B"PRECIO VENTA ]]*LG26V[[#This Row],[STOCK BARRAS]])</f>
        <v>120</v>
      </c>
      <c r="S25" s="18" t="n">
        <v>16</v>
      </c>
      <c r="T25" s="18" t="n">
        <v>4</v>
      </c>
      <c r="U25" s="1" t="n">
        <v>3.3</v>
      </c>
      <c r="W25" s="1" t="s">
        <v>60</v>
      </c>
    </row>
    <row r="26" customFormat="false" ht="15" hidden="false" customHeight="false" outlineLevel="0" collapsed="false">
      <c r="A26" s="1" t="n">
        <v>23</v>
      </c>
      <c r="B26" s="16" t="n">
        <v>1063</v>
      </c>
      <c r="C26" s="16" t="s">
        <v>61</v>
      </c>
      <c r="D26" s="1" t="n">
        <f aca="false">(LG26V[[#This Row],[CANTIDAD INICIAL JUEGO ]]+LG26V[[#This Row],[ENTRADAS JUEGOS ]]-LG26V[[#This Row],[SALIDAS JUEGOS]])</f>
        <v>19</v>
      </c>
      <c r="E26" s="1" t="n">
        <f aca="false">(LG26V[[#This Row],[CANTIDAD INICIAL BARRAS]]+LG26V[[#This Row],[ENTRADAS BARRAS]]-LG26V[[#This Row],[SALIDA BARRAS]])</f>
        <v>2</v>
      </c>
      <c r="F26" s="17" t="n">
        <v>180</v>
      </c>
      <c r="G26" s="1" t="n">
        <v>82</v>
      </c>
      <c r="H26" s="1" t="n">
        <v>5</v>
      </c>
      <c r="I26" s="1" t="n">
        <f aca="false">(LG26V[[#This Row],["J" PRECIO VENTA ]]/LG26V[[#This Row],[BARRAS]])</f>
        <v>36</v>
      </c>
      <c r="J26" s="1" t="n">
        <f aca="false">(LG26V[[#This Row],["J"PRECIO COMPRA ]]/LG26V[[#This Row],[BARRAS]])</f>
        <v>16.4</v>
      </c>
      <c r="K26" s="1" t="n">
        <f aca="false">SUMIF(entradas26[CODIGO],LG26V[[#This Row],[CODIGO ]],entradas26[[CAN JUEGOS ]])</f>
        <v>0</v>
      </c>
      <c r="L26" s="1" t="n">
        <f aca="false">SUMIF(entradas26[CODIGO],LG26V[[#This Row],[CODIGO ]],entradas26[CAN BARRAS])</f>
        <v>0</v>
      </c>
      <c r="M26" s="1" t="n">
        <f aca="false">SUMIF(salidas26[[CODIGO ]],LG26V[[#This Row],[CODIGO ]],salidas26[[CANT JUEGOS ]])</f>
        <v>4</v>
      </c>
      <c r="N26" s="1" t="n">
        <f aca="false">SUMIF(salidas26[[CODIGO ]],LG26V[[#This Row],[CODIGO ]],salidas26[CANT BARRAS])</f>
        <v>0</v>
      </c>
      <c r="O26" s="1" t="n">
        <f aca="false">(LG26V[[#This Row],["J"PRECIO COMPRA ]]*LG26V[[#This Row],[STOCK JUEGOS]])</f>
        <v>1558</v>
      </c>
      <c r="P26" s="1" t="n">
        <f aca="false">(LG26V[[#This Row],["J" PRECIO VENTA ]]*LG26V[[#This Row],[STOCK JUEGOS]])</f>
        <v>3420</v>
      </c>
      <c r="Q26" s="1" t="n">
        <f aca="false">(LG26V[[#This Row],["B"PRECIO COMPRA]]*LG26V[[#This Row],[STOCK BARRAS]])</f>
        <v>32.8</v>
      </c>
      <c r="R26" s="1" t="n">
        <f aca="false">(LG26V[[#This Row],["B"PRECIO VENTA ]]*LG26V[[#This Row],[STOCK BARRAS]])</f>
        <v>72</v>
      </c>
      <c r="S26" s="18" t="n">
        <v>23</v>
      </c>
      <c r="T26" s="18" t="n">
        <v>2</v>
      </c>
      <c r="U26" s="1" t="n">
        <v>3.55</v>
      </c>
      <c r="W26" s="1" t="s">
        <v>62</v>
      </c>
    </row>
    <row r="27" customFormat="false" ht="15" hidden="false" customHeight="false" outlineLevel="0" collapsed="false">
      <c r="A27" s="1" t="n">
        <v>24</v>
      </c>
      <c r="B27" s="16" t="n">
        <v>1064</v>
      </c>
      <c r="C27" s="16" t="s">
        <v>63</v>
      </c>
      <c r="D27" s="1" t="n">
        <f aca="false">(LG26V[[#This Row],[CANTIDAD INICIAL JUEGO ]]+LG26V[[#This Row],[ENTRADAS JUEGOS ]]-LG26V[[#This Row],[SALIDAS JUEGOS]])</f>
        <v>18</v>
      </c>
      <c r="E27" s="1" t="n">
        <f aca="false">(LG26V[[#This Row],[CANTIDAD INICIAL BARRAS]]+LG26V[[#This Row],[ENTRADAS BARRAS]]-LG26V[[#This Row],[SALIDA BARRAS]])</f>
        <v>0</v>
      </c>
      <c r="F27" s="17" t="n">
        <v>180</v>
      </c>
      <c r="G27" s="1" t="n">
        <v>104</v>
      </c>
      <c r="H27" s="1" t="n">
        <v>8</v>
      </c>
      <c r="I27" s="1" t="n">
        <f aca="false">(LG26V[[#This Row],["J" PRECIO VENTA ]]/LG26V[[#This Row],[BARRAS]])</f>
        <v>22.5</v>
      </c>
      <c r="J27" s="1" t="n">
        <f aca="false">(LG26V[[#This Row],["J"PRECIO COMPRA ]]/LG26V[[#This Row],[BARRAS]])</f>
        <v>13</v>
      </c>
      <c r="K27" s="1" t="n">
        <f aca="false">SUMIF(entradas26[CODIGO],LG26V[[#This Row],[CODIGO ]],entradas26[[CAN JUEGOS ]])</f>
        <v>0</v>
      </c>
      <c r="L27" s="1" t="n">
        <f aca="false">SUMIF(entradas26[CODIGO],LG26V[[#This Row],[CODIGO ]],entradas26[CAN BARRAS])</f>
        <v>0</v>
      </c>
      <c r="M27" s="1" t="n">
        <f aca="false">SUMIF(salidas26[[CODIGO ]],LG26V[[#This Row],[CODIGO ]],salidas26[[CANT JUEGOS ]])</f>
        <v>2</v>
      </c>
      <c r="N27" s="1" t="n">
        <f aca="false">SUMIF(salidas26[[CODIGO ]],LG26V[[#This Row],[CODIGO ]],salidas26[CANT BARRAS])</f>
        <v>0</v>
      </c>
      <c r="O27" s="1" t="n">
        <f aca="false">(LG26V[[#This Row],["J"PRECIO COMPRA ]]*LG26V[[#This Row],[STOCK JUEGOS]])</f>
        <v>1872</v>
      </c>
      <c r="P27" s="1" t="n">
        <f aca="false">(LG26V[[#This Row],["J" PRECIO VENTA ]]*LG26V[[#This Row],[STOCK JUEGOS]])</f>
        <v>3240</v>
      </c>
      <c r="Q27" s="1" t="n">
        <f aca="false">(LG26V[[#This Row],["B"PRECIO COMPRA]]*LG26V[[#This Row],[STOCK BARRAS]])</f>
        <v>0</v>
      </c>
      <c r="R27" s="1" t="n">
        <f aca="false">(LG26V[[#This Row],["B"PRECIO VENTA ]]*LG26V[[#This Row],[STOCK BARRAS]])</f>
        <v>0</v>
      </c>
      <c r="S27" s="18" t="n">
        <v>20</v>
      </c>
      <c r="T27" s="18"/>
      <c r="U27" s="1" t="n">
        <v>4.5</v>
      </c>
      <c r="W27" s="1" t="s">
        <v>64</v>
      </c>
    </row>
    <row r="28" customFormat="false" ht="15" hidden="false" customHeight="false" outlineLevel="0" collapsed="false">
      <c r="B28" s="16" t="n">
        <v>1065</v>
      </c>
      <c r="C28" s="16" t="s">
        <v>65</v>
      </c>
      <c r="D28" s="1" t="n">
        <f aca="false">(LG26V[[#This Row],[CANTIDAD INICIAL JUEGO ]]+LG26V[[#This Row],[ENTRADAS JUEGOS ]]-LG26V[[#This Row],[SALIDAS JUEGOS]])</f>
        <v>20</v>
      </c>
      <c r="E28" s="1" t="n">
        <f aca="false">(LG26V[[#This Row],[CANTIDAD INICIAL BARRAS]]+LG26V[[#This Row],[ENTRADAS BARRAS]]-LG26V[[#This Row],[SALIDA BARRAS]])</f>
        <v>0</v>
      </c>
      <c r="F28" s="17" t="n">
        <v>180</v>
      </c>
      <c r="G28" s="1" t="n">
        <v>80</v>
      </c>
      <c r="I28" s="1" t="e">
        <f aca="false">(LG26V[[#This Row],["J" PRECIO VENTA ]]/LG26V[[#This Row],[BARRAS]])</f>
        <v>#DIV/0!</v>
      </c>
      <c r="J28" s="1" t="e">
        <f aca="false">(LG26V[[#This Row],["J"PRECIO COMPRA ]]/LG26V[[#This Row],[BARRAS]])</f>
        <v>#DIV/0!</v>
      </c>
      <c r="K28" s="1" t="n">
        <f aca="false">SUMIF(entradas26[CODIGO],LG26V[[#This Row],[CODIGO ]],entradas26[[CAN JUEGOS ]])</f>
        <v>20</v>
      </c>
      <c r="L28" s="1" t="n">
        <f aca="false">SUMIF(entradas26[CODIGO],LG26V[[#This Row],[CODIGO ]],entradas26[CAN BARRAS])</f>
        <v>0</v>
      </c>
      <c r="M28" s="1" t="n">
        <f aca="false">SUMIF(salidas26[[CODIGO ]],LG26V[[#This Row],[CODIGO ]],salidas26[[CANT JUEGOS ]])</f>
        <v>0</v>
      </c>
      <c r="N28" s="1" t="n">
        <f aca="false">SUMIF(salidas26[[CODIGO ]],LG26V[[#This Row],[CODIGO ]],salidas26[CANT BARRAS])</f>
        <v>0</v>
      </c>
      <c r="O28" s="1" t="n">
        <f aca="false">(LG26V[[#This Row],["J"PRECIO COMPRA ]]*LG26V[[#This Row],[STOCK JUEGOS]])</f>
        <v>1600</v>
      </c>
      <c r="P28" s="1" t="n">
        <f aca="false">(LG26V[[#This Row],["J" PRECIO VENTA ]]*LG26V[[#This Row],[STOCK JUEGOS]])</f>
        <v>3600</v>
      </c>
      <c r="Q28" s="1" t="e">
        <f aca="false">(LG26V[[#This Row],["B"PRECIO COMPRA]]*LG26V[[#This Row],[STOCK BARRAS]])</f>
        <v>#DIV/0!</v>
      </c>
      <c r="R28" s="1" t="e">
        <f aca="false">(LG26V[[#This Row],["B"PRECIO VENTA ]]*LG26V[[#This Row],[STOCK BARRAS]])</f>
        <v>#DIV/0!</v>
      </c>
      <c r="S28" s="18"/>
      <c r="T28" s="18"/>
      <c r="U28" s="1" t="n">
        <v>4.2</v>
      </c>
      <c r="W28" s="1" t="s">
        <v>66</v>
      </c>
    </row>
    <row r="29" customFormat="false" ht="15" hidden="false" customHeight="false" outlineLevel="0" collapsed="false">
      <c r="A29" s="1" t="n">
        <v>25</v>
      </c>
      <c r="B29" s="16" t="n">
        <v>1066</v>
      </c>
      <c r="C29" s="16" t="s">
        <v>67</v>
      </c>
      <c r="D29" s="1" t="n">
        <f aca="false">(LG26V[[#This Row],[CANTIDAD INICIAL JUEGO ]]+LG26V[[#This Row],[ENTRADAS JUEGOS ]]-LG26V[[#This Row],[SALIDAS JUEGOS]])</f>
        <v>8</v>
      </c>
      <c r="E29" s="1" t="n">
        <f aca="false">(LG26V[[#This Row],[CANTIDAD INICIAL BARRAS]]+LG26V[[#This Row],[ENTRADAS BARRAS]]-LG26V[[#This Row],[SALIDA BARRAS]])</f>
        <v>11</v>
      </c>
      <c r="F29" s="17" t="n">
        <v>240</v>
      </c>
      <c r="G29" s="1" t="n">
        <v>138</v>
      </c>
      <c r="H29" s="1" t="n">
        <v>12</v>
      </c>
      <c r="I29" s="1" t="n">
        <f aca="false">(LG26V[[#This Row],["J" PRECIO VENTA ]]/LG26V[[#This Row],[BARRAS]])</f>
        <v>20</v>
      </c>
      <c r="J29" s="1" t="n">
        <f aca="false">(LG26V[[#This Row],["J"PRECIO COMPRA ]]/LG26V[[#This Row],[BARRAS]])</f>
        <v>11.5</v>
      </c>
      <c r="K29" s="1" t="n">
        <f aca="false">SUMIF(entradas26[CODIGO],LG26V[[#This Row],[CODIGO ]],entradas26[[CAN JUEGOS ]])</f>
        <v>0</v>
      </c>
      <c r="L29" s="1" t="n">
        <f aca="false">SUMIF(entradas26[CODIGO],LG26V[[#This Row],[CODIGO ]],entradas26[CAN BARRAS])</f>
        <v>0</v>
      </c>
      <c r="M29" s="1" t="n">
        <f aca="false">SUMIF(salidas26[[CODIGO ]],LG26V[[#This Row],[CODIGO ]],salidas26[[CANT JUEGOS ]])</f>
        <v>3</v>
      </c>
      <c r="N29" s="1" t="n">
        <f aca="false">SUMIF(salidas26[[CODIGO ]],LG26V[[#This Row],[CODIGO ]],salidas26[CANT BARRAS])</f>
        <v>0</v>
      </c>
      <c r="O29" s="1" t="n">
        <f aca="false">(LG26V[[#This Row],["J"PRECIO COMPRA ]]*LG26V[[#This Row],[STOCK JUEGOS]])</f>
        <v>1104</v>
      </c>
      <c r="P29" s="1" t="n">
        <f aca="false">(LG26V[[#This Row],["J" PRECIO VENTA ]]*LG26V[[#This Row],[STOCK JUEGOS]])</f>
        <v>1920</v>
      </c>
      <c r="Q29" s="1" t="n">
        <f aca="false">(LG26V[[#This Row],["B"PRECIO COMPRA]]*LG26V[[#This Row],[STOCK BARRAS]])</f>
        <v>126.5</v>
      </c>
      <c r="R29" s="1" t="n">
        <f aca="false">(LG26V[[#This Row],["B"PRECIO VENTA ]]*LG26V[[#This Row],[STOCK BARRAS]])</f>
        <v>220</v>
      </c>
      <c r="S29" s="21" t="n">
        <v>11</v>
      </c>
      <c r="T29" s="21" t="n">
        <v>11</v>
      </c>
      <c r="U29" s="1" t="n">
        <v>4.6</v>
      </c>
      <c r="W29" s="1" t="s">
        <v>68</v>
      </c>
    </row>
    <row r="30" customFormat="false" ht="15" hidden="false" customHeight="false" outlineLevel="0" collapsed="false">
      <c r="A30" s="1" t="n">
        <v>26</v>
      </c>
      <c r="B30" s="16" t="n">
        <v>1067</v>
      </c>
      <c r="C30" s="16" t="s">
        <v>69</v>
      </c>
      <c r="D30" s="1" t="n">
        <f aca="false">(LG26V[[#This Row],[CANTIDAD INICIAL JUEGO ]]+LG26V[[#This Row],[ENTRADAS JUEGOS ]]-LG26V[[#This Row],[SALIDAS JUEGOS]])</f>
        <v>20</v>
      </c>
      <c r="E30" s="1" t="n">
        <f aca="false">(LG26V[[#This Row],[CANTIDAD INICIAL BARRAS]]+LG26V[[#This Row],[ENTRADAS BARRAS]]-LG26V[[#This Row],[SALIDA BARRAS]])</f>
        <v>0</v>
      </c>
      <c r="F30" s="22" t="n">
        <v>250</v>
      </c>
      <c r="G30" s="1" t="n">
        <v>150</v>
      </c>
      <c r="H30" s="1" t="n">
        <v>2</v>
      </c>
      <c r="I30" s="1" t="n">
        <f aca="false">(LG26V[[#This Row],["J" PRECIO VENTA ]]/LG26V[[#This Row],[BARRAS]])</f>
        <v>125</v>
      </c>
      <c r="J30" s="1" t="n">
        <f aca="false">(LG26V[[#This Row],["J"PRECIO COMPRA ]]/LG26V[[#This Row],[BARRAS]])</f>
        <v>75</v>
      </c>
      <c r="K30" s="1" t="n">
        <f aca="false">SUMIF(entradas26[CODIGO],LG26V[[#This Row],[CODIGO ]],entradas26[[CAN JUEGOS ]])</f>
        <v>20</v>
      </c>
      <c r="L30" s="1" t="n">
        <f aca="false">SUMIF(entradas26[CODIGO],LG26V[[#This Row],[CODIGO ]],entradas26[CAN BARRAS])</f>
        <v>0</v>
      </c>
      <c r="M30" s="1" t="n">
        <f aca="false">SUMIF(salidas26[[CODIGO ]],LG26V[[#This Row],[CODIGO ]],salidas26[[CANT JUEGOS ]])</f>
        <v>2</v>
      </c>
      <c r="N30" s="1" t="n">
        <f aca="false">SUMIF(salidas26[[CODIGO ]],LG26V[[#This Row],[CODIGO ]],salidas26[CANT BARRAS])</f>
        <v>0</v>
      </c>
      <c r="O30" s="1" t="n">
        <f aca="false">(LG26V[[#This Row],["J"PRECIO COMPRA ]]*LG26V[[#This Row],[STOCK JUEGOS]])</f>
        <v>3000</v>
      </c>
      <c r="P30" s="1" t="n">
        <f aca="false">(LG26V[[#This Row],["J" PRECIO VENTA ]]*LG26V[[#This Row],[STOCK JUEGOS]])</f>
        <v>5000</v>
      </c>
      <c r="Q30" s="1" t="n">
        <f aca="false">(LG26V[[#This Row],["B"PRECIO COMPRA]]*LG26V[[#This Row],[STOCK BARRAS]])</f>
        <v>0</v>
      </c>
      <c r="R30" s="1" t="n">
        <f aca="false">(LG26V[[#This Row],["B"PRECIO VENTA ]]*LG26V[[#This Row],[STOCK BARRAS]])</f>
        <v>0</v>
      </c>
      <c r="S30" s="18" t="n">
        <v>2</v>
      </c>
      <c r="T30" s="18"/>
      <c r="U30" s="1" t="n">
        <v>4.6</v>
      </c>
      <c r="W30" s="1" t="s">
        <v>70</v>
      </c>
    </row>
    <row r="31" customFormat="false" ht="15" hidden="false" customHeight="false" outlineLevel="0" collapsed="false">
      <c r="A31" s="1" t="n">
        <v>27</v>
      </c>
      <c r="B31" s="16" t="n">
        <v>1069</v>
      </c>
      <c r="C31" s="16" t="s">
        <v>71</v>
      </c>
      <c r="D31" s="1" t="n">
        <f aca="false">(LG26V[[#This Row],[CANTIDAD INICIAL JUEGO ]]+LG26V[[#This Row],[ENTRADAS JUEGOS ]]-LG26V[[#This Row],[SALIDAS JUEGOS]])</f>
        <v>10</v>
      </c>
      <c r="E31" s="1" t="n">
        <f aca="false">(LG26V[[#This Row],[CANTIDAD INICIAL BARRAS]]+LG26V[[#This Row],[ENTRADAS BARRAS]]-LG26V[[#This Row],[SALIDA BARRAS]])</f>
        <v>11</v>
      </c>
      <c r="F31" s="17" t="n">
        <v>250</v>
      </c>
      <c r="G31" s="1" t="n">
        <v>88</v>
      </c>
      <c r="H31" s="1" t="n">
        <v>8</v>
      </c>
      <c r="I31" s="1" t="n">
        <f aca="false">(LG26V[[#This Row],["J" PRECIO VENTA ]]/LG26V[[#This Row],[BARRAS]])</f>
        <v>31.25</v>
      </c>
      <c r="J31" s="1" t="n">
        <f aca="false">(LG26V[[#This Row],["J"PRECIO COMPRA ]]/LG26V[[#This Row],[BARRAS]])</f>
        <v>11</v>
      </c>
      <c r="K31" s="1" t="n">
        <f aca="false">SUMIF(entradas26[CODIGO],LG26V[[#This Row],[CODIGO ]],entradas26[[CAN JUEGOS ]])</f>
        <v>0</v>
      </c>
      <c r="L31" s="1" t="n">
        <f aca="false">SUMIF(entradas26[CODIGO],LG26V[[#This Row],[CODIGO ]],entradas26[CAN BARRAS])</f>
        <v>0</v>
      </c>
      <c r="M31" s="1" t="n">
        <f aca="false">SUMIF(salidas26[[CODIGO ]],LG26V[[#This Row],[CODIGO ]],salidas26[[CANT JUEGOS ]])</f>
        <v>11</v>
      </c>
      <c r="N31" s="1" t="n">
        <f aca="false">SUMIF(salidas26[[CODIGO ]],LG26V[[#This Row],[CODIGO ]],salidas26[CANT BARRAS])</f>
        <v>0</v>
      </c>
      <c r="O31" s="1" t="n">
        <f aca="false">(LG26V[[#This Row],["J"PRECIO COMPRA ]]*LG26V[[#This Row],[STOCK JUEGOS]])</f>
        <v>880</v>
      </c>
      <c r="P31" s="1" t="n">
        <f aca="false">(LG26V[[#This Row],["J" PRECIO VENTA ]]*LG26V[[#This Row],[STOCK JUEGOS]])</f>
        <v>2500</v>
      </c>
      <c r="Q31" s="1" t="n">
        <f aca="false">(LG26V[[#This Row],["B"PRECIO COMPRA]]*LG26V[[#This Row],[STOCK BARRAS]])</f>
        <v>121</v>
      </c>
      <c r="R31" s="1" t="n">
        <f aca="false">(LG26V[[#This Row],["B"PRECIO VENTA ]]*LG26V[[#This Row],[STOCK BARRAS]])</f>
        <v>343.75</v>
      </c>
      <c r="S31" s="18" t="n">
        <v>21</v>
      </c>
      <c r="T31" s="18" t="n">
        <v>11</v>
      </c>
      <c r="U31" s="1" t="n">
        <v>5.9</v>
      </c>
      <c r="W31" s="1" t="s">
        <v>72</v>
      </c>
    </row>
    <row r="32" customFormat="false" ht="15" hidden="false" customHeight="false" outlineLevel="0" collapsed="false">
      <c r="A32" s="1" t="n">
        <v>28</v>
      </c>
      <c r="B32" s="16" t="n">
        <v>1072</v>
      </c>
      <c r="C32" s="16" t="s">
        <v>73</v>
      </c>
      <c r="D32" s="1" t="n">
        <f aca="false">(LG26V[[#This Row],[CANTIDAD INICIAL JUEGO ]]+LG26V[[#This Row],[ENTRADAS JUEGOS ]]-LG26V[[#This Row],[SALIDAS JUEGOS]])</f>
        <v>18</v>
      </c>
      <c r="E32" s="1" t="n">
        <f aca="false">(LG26V[[#This Row],[CANTIDAD INICIAL BARRAS]]+LG26V[[#This Row],[ENTRADAS BARRAS]]-LG26V[[#This Row],[SALIDA BARRAS]])</f>
        <v>0</v>
      </c>
      <c r="F32" s="17" t="n">
        <v>200</v>
      </c>
      <c r="G32" s="1" t="n">
        <v>103</v>
      </c>
      <c r="H32" s="1" t="n">
        <v>2</v>
      </c>
      <c r="I32" s="1" t="n">
        <f aca="false">(LG26V[[#This Row],["J" PRECIO VENTA ]]/LG26V[[#This Row],[BARRAS]])</f>
        <v>100</v>
      </c>
      <c r="J32" s="1" t="n">
        <f aca="false">(LG26V[[#This Row],["J"PRECIO COMPRA ]]/LG26V[[#This Row],[BARRAS]])</f>
        <v>51.5</v>
      </c>
      <c r="K32" s="1" t="n">
        <f aca="false">SUMIF(entradas26[CODIGO],LG26V[[#This Row],[CODIGO ]],entradas26[[CAN JUEGOS ]])</f>
        <v>0</v>
      </c>
      <c r="L32" s="1" t="n">
        <f aca="false">SUMIF(entradas26[CODIGO],LG26V[[#This Row],[CODIGO ]],entradas26[CAN BARRAS])</f>
        <v>0</v>
      </c>
      <c r="M32" s="1" t="n">
        <f aca="false">SUMIF(salidas26[[CODIGO ]],LG26V[[#This Row],[CODIGO ]],salidas26[[CANT JUEGOS ]])</f>
        <v>0</v>
      </c>
      <c r="N32" s="1" t="n">
        <f aca="false">SUMIF(salidas26[[CODIGO ]],LG26V[[#This Row],[CODIGO ]],salidas26[CANT BARRAS])</f>
        <v>0</v>
      </c>
      <c r="O32" s="1" t="n">
        <f aca="false">(LG26V[[#This Row],["J"PRECIO COMPRA ]]*LG26V[[#This Row],[STOCK JUEGOS]])</f>
        <v>1854</v>
      </c>
      <c r="P32" s="1" t="n">
        <f aca="false">(LG26V[[#This Row],["J" PRECIO VENTA ]]*LG26V[[#This Row],[STOCK JUEGOS]])</f>
        <v>3600</v>
      </c>
      <c r="Q32" s="1" t="n">
        <f aca="false">(LG26V[[#This Row],["B"PRECIO COMPRA]]*LG26V[[#This Row],[STOCK BARRAS]])</f>
        <v>0</v>
      </c>
      <c r="R32" s="1" t="n">
        <f aca="false">(LG26V[[#This Row],["B"PRECIO VENTA ]]*LG26V[[#This Row],[STOCK BARRAS]])</f>
        <v>0</v>
      </c>
      <c r="S32" s="18" t="n">
        <v>18</v>
      </c>
      <c r="T32" s="18"/>
      <c r="W32" s="1" t="s">
        <v>74</v>
      </c>
    </row>
    <row r="33" customFormat="false" ht="15" hidden="false" customHeight="false" outlineLevel="0" collapsed="false">
      <c r="A33" s="1" t="n">
        <v>29</v>
      </c>
      <c r="B33" s="16" t="n">
        <v>1073</v>
      </c>
      <c r="C33" s="16" t="s">
        <v>75</v>
      </c>
      <c r="D33" s="1" t="n">
        <f aca="false">(LG26V[[#This Row],[CANTIDAD INICIAL JUEGO ]]+LG26V[[#This Row],[ENTRADAS JUEGOS ]]-LG26V[[#This Row],[SALIDAS JUEGOS]])</f>
        <v>2</v>
      </c>
      <c r="E33" s="1" t="n">
        <f aca="false">(LG26V[[#This Row],[CANTIDAD INICIAL BARRAS]]+LG26V[[#This Row],[ENTRADAS BARRAS]]-LG26V[[#This Row],[SALIDA BARRAS]])</f>
        <v>0</v>
      </c>
      <c r="F33" s="17" t="n">
        <v>250</v>
      </c>
      <c r="G33" s="1" t="n">
        <v>135</v>
      </c>
      <c r="H33" s="1" t="n">
        <v>2</v>
      </c>
      <c r="I33" s="1" t="n">
        <f aca="false">(LG26V[[#This Row],["J" PRECIO VENTA ]]/LG26V[[#This Row],[BARRAS]])</f>
        <v>125</v>
      </c>
      <c r="J33" s="1" t="n">
        <f aca="false">(LG26V[[#This Row],["J"PRECIO COMPRA ]]/LG26V[[#This Row],[BARRAS]])</f>
        <v>67.5</v>
      </c>
      <c r="K33" s="1" t="n">
        <f aca="false">SUMIF(entradas26[CODIGO],LG26V[[#This Row],[CODIGO ]],entradas26[[CAN JUEGOS ]])</f>
        <v>0</v>
      </c>
      <c r="L33" s="1" t="n">
        <f aca="false">SUMIF(entradas26[CODIGO],LG26V[[#This Row],[CODIGO ]],entradas26[CAN BARRAS])</f>
        <v>0</v>
      </c>
      <c r="M33" s="1" t="n">
        <f aca="false">SUMIF(salidas26[[CODIGO ]],LG26V[[#This Row],[CODIGO ]],salidas26[[CANT JUEGOS ]])</f>
        <v>0</v>
      </c>
      <c r="N33" s="1" t="n">
        <f aca="false">SUMIF(salidas26[[CODIGO ]],LG26V[[#This Row],[CODIGO ]],salidas26[CANT BARRAS])</f>
        <v>0</v>
      </c>
      <c r="O33" s="1" t="n">
        <f aca="false">(LG26V[[#This Row],["J"PRECIO COMPRA ]]*LG26V[[#This Row],[STOCK JUEGOS]])</f>
        <v>270</v>
      </c>
      <c r="P33" s="1" t="n">
        <f aca="false">(LG26V[[#This Row],["J" PRECIO VENTA ]]*LG26V[[#This Row],[STOCK JUEGOS]])</f>
        <v>500</v>
      </c>
      <c r="Q33" s="1" t="n">
        <f aca="false">(LG26V[[#This Row],["B"PRECIO COMPRA]]*LG26V[[#This Row],[STOCK BARRAS]])</f>
        <v>0</v>
      </c>
      <c r="R33" s="1" t="n">
        <f aca="false">(LG26V[[#This Row],["B"PRECIO VENTA ]]*LG26V[[#This Row],[STOCK BARRAS]])</f>
        <v>0</v>
      </c>
      <c r="S33" s="18" t="n">
        <v>2</v>
      </c>
      <c r="T33" s="18"/>
    </row>
    <row r="34" customFormat="false" ht="15" hidden="false" customHeight="false" outlineLevel="0" collapsed="false">
      <c r="A34" s="1" t="n">
        <v>30</v>
      </c>
      <c r="B34" s="16" t="n">
        <v>1075</v>
      </c>
      <c r="C34" s="16" t="s">
        <v>76</v>
      </c>
      <c r="D34" s="1" t="n">
        <f aca="false">(LG26V[[#This Row],[CANTIDAD INICIAL JUEGO ]]+LG26V[[#This Row],[ENTRADAS JUEGOS ]]-LG26V[[#This Row],[SALIDAS JUEGOS]])</f>
        <v>22</v>
      </c>
      <c r="E34" s="1" t="n">
        <f aca="false">(LG26V[[#This Row],[CANTIDAD INICIAL BARRAS]]+LG26V[[#This Row],[ENTRADAS BARRAS]]-LG26V[[#This Row],[SALIDA BARRAS]])</f>
        <v>0</v>
      </c>
      <c r="F34" s="17" t="n">
        <v>240</v>
      </c>
      <c r="G34" s="1" t="n">
        <v>57</v>
      </c>
      <c r="H34" s="1" t="n">
        <v>8</v>
      </c>
      <c r="I34" s="1" t="n">
        <f aca="false">(LG26V[[#This Row],["J" PRECIO VENTA ]]/LG26V[[#This Row],[BARRAS]])</f>
        <v>30</v>
      </c>
      <c r="J34" s="1" t="n">
        <f aca="false">(LG26V[[#This Row],["J"PRECIO COMPRA ]]/LG26V[[#This Row],[BARRAS]])</f>
        <v>7.125</v>
      </c>
      <c r="K34" s="1" t="n">
        <f aca="false">SUMIF(entradas26[CODIGO],LG26V[[#This Row],[CODIGO ]],entradas26[[CAN JUEGOS ]])</f>
        <v>20</v>
      </c>
      <c r="L34" s="1" t="n">
        <f aca="false">SUMIF(entradas26[CODIGO],LG26V[[#This Row],[CODIGO ]],entradas26[CAN BARRAS])</f>
        <v>0</v>
      </c>
      <c r="M34" s="1" t="n">
        <f aca="false">SUMIF(salidas26[[CODIGO ]],LG26V[[#This Row],[CODIGO ]],salidas26[[CANT JUEGOS ]])</f>
        <v>4</v>
      </c>
      <c r="N34" s="1" t="n">
        <f aca="false">SUMIF(salidas26[[CODIGO ]],LG26V[[#This Row],[CODIGO ]],salidas26[CANT BARRAS])</f>
        <v>0</v>
      </c>
      <c r="O34" s="1" t="n">
        <f aca="false">(LG26V[[#This Row],["J"PRECIO COMPRA ]]*LG26V[[#This Row],[STOCK JUEGOS]])</f>
        <v>1254</v>
      </c>
      <c r="P34" s="1" t="n">
        <f aca="false">(LG26V[[#This Row],["J" PRECIO VENTA ]]*LG26V[[#This Row],[STOCK JUEGOS]])</f>
        <v>5280</v>
      </c>
      <c r="Q34" s="1" t="n">
        <f aca="false">(LG26V[[#This Row],["B"PRECIO COMPRA]]*LG26V[[#This Row],[STOCK BARRAS]])</f>
        <v>0</v>
      </c>
      <c r="R34" s="1" t="n">
        <f aca="false">(LG26V[[#This Row],["B"PRECIO VENTA ]]*LG26V[[#This Row],[STOCK BARRAS]])</f>
        <v>0</v>
      </c>
      <c r="S34" s="18" t="n">
        <v>6</v>
      </c>
      <c r="T34" s="18"/>
      <c r="U34" s="1" t="n">
        <v>3</v>
      </c>
      <c r="W34" s="1" t="s">
        <v>77</v>
      </c>
    </row>
    <row r="35" customFormat="false" ht="15" hidden="false" customHeight="false" outlineLevel="0" collapsed="false">
      <c r="A35" s="1" t="n">
        <v>31</v>
      </c>
      <c r="B35" s="16" t="n">
        <v>1076</v>
      </c>
      <c r="C35" s="16" t="s">
        <v>78</v>
      </c>
      <c r="D35" s="1" t="n">
        <f aca="false">(LG26V[[#This Row],[CANTIDAD INICIAL JUEGO ]]+LG26V[[#This Row],[ENTRADAS JUEGOS ]]-LG26V[[#This Row],[SALIDAS JUEGOS]])</f>
        <v>1</v>
      </c>
      <c r="E35" s="1" t="n">
        <f aca="false">(LG26V[[#This Row],[CANTIDAD INICIAL BARRAS]]+LG26V[[#This Row],[ENTRADAS BARRAS]]-LG26V[[#This Row],[SALIDA BARRAS]])</f>
        <v>0</v>
      </c>
      <c r="F35" s="17" t="n">
        <v>250</v>
      </c>
      <c r="G35" s="1" t="n">
        <v>200</v>
      </c>
      <c r="H35" s="1" t="n">
        <v>8</v>
      </c>
      <c r="I35" s="1" t="n">
        <f aca="false">(LG26V[[#This Row],["J" PRECIO VENTA ]]/LG26V[[#This Row],[BARRAS]])</f>
        <v>31.25</v>
      </c>
      <c r="J35" s="1" t="n">
        <f aca="false">(LG26V[[#This Row],["J"PRECIO COMPRA ]]/LG26V[[#This Row],[BARRAS]])</f>
        <v>25</v>
      </c>
      <c r="K35" s="1" t="n">
        <f aca="false">SUMIF(entradas26[CODIGO],LG26V[[#This Row],[CODIGO ]],entradas26[[CAN JUEGOS ]])</f>
        <v>0</v>
      </c>
      <c r="L35" s="1" t="n">
        <f aca="false">SUMIF(entradas26[CODIGO],LG26V[[#This Row],[CODIGO ]],entradas26[CAN BARRAS])</f>
        <v>0</v>
      </c>
      <c r="M35" s="1" t="n">
        <f aca="false">SUMIF(salidas26[[CODIGO ]],LG26V[[#This Row],[CODIGO ]],salidas26[[CANT JUEGOS ]])</f>
        <v>1</v>
      </c>
      <c r="N35" s="1" t="n">
        <f aca="false">SUMIF(salidas26[[CODIGO ]],LG26V[[#This Row],[CODIGO ]],salidas26[CANT BARRAS])</f>
        <v>0</v>
      </c>
      <c r="O35" s="1" t="n">
        <f aca="false">(LG26V[[#This Row],["J"PRECIO COMPRA ]]*LG26V[[#This Row],[STOCK JUEGOS]])</f>
        <v>200</v>
      </c>
      <c r="P35" s="1" t="n">
        <f aca="false">(LG26V[[#This Row],["J" PRECIO VENTA ]]*LG26V[[#This Row],[STOCK JUEGOS]])</f>
        <v>250</v>
      </c>
      <c r="Q35" s="1" t="n">
        <f aca="false">(LG26V[[#This Row],["B"PRECIO COMPRA]]*LG26V[[#This Row],[STOCK BARRAS]])</f>
        <v>0</v>
      </c>
      <c r="R35" s="1" t="n">
        <f aca="false">(LG26V[[#This Row],["B"PRECIO VENTA ]]*LG26V[[#This Row],[STOCK BARRAS]])</f>
        <v>0</v>
      </c>
      <c r="S35" s="18" t="n">
        <v>2</v>
      </c>
      <c r="T35" s="18"/>
    </row>
    <row r="36" customFormat="false" ht="15" hidden="false" customHeight="false" outlineLevel="0" collapsed="false">
      <c r="A36" s="1" t="n">
        <v>32</v>
      </c>
      <c r="B36" s="16" t="n">
        <v>1078</v>
      </c>
      <c r="C36" s="16" t="s">
        <v>79</v>
      </c>
      <c r="D36" s="1" t="n">
        <f aca="false">(LG26V[[#This Row],[CANTIDAD INICIAL JUEGO ]]+LG26V[[#This Row],[ENTRADAS JUEGOS ]]-LG26V[[#This Row],[SALIDAS JUEGOS]])</f>
        <v>6</v>
      </c>
      <c r="E36" s="1" t="n">
        <f aca="false">(LG26V[[#This Row],[CANTIDAD INICIAL BARRAS]]+LG26V[[#This Row],[ENTRADAS BARRAS]]-LG26V[[#This Row],[SALIDA BARRAS]])</f>
        <v>9</v>
      </c>
      <c r="F36" s="17" t="n">
        <v>280</v>
      </c>
      <c r="G36" s="1" t="n">
        <v>183</v>
      </c>
      <c r="H36" s="1" t="n">
        <v>10</v>
      </c>
      <c r="I36" s="1" t="n">
        <f aca="false">(LG26V[[#This Row],["J" PRECIO VENTA ]]/LG26V[[#This Row],[BARRAS]])</f>
        <v>28</v>
      </c>
      <c r="J36" s="1" t="n">
        <f aca="false">(LG26V[[#This Row],["J"PRECIO COMPRA ]]/LG26V[[#This Row],[BARRAS]])</f>
        <v>18.3</v>
      </c>
      <c r="K36" s="1" t="n">
        <f aca="false">SUMIF(entradas26[CODIGO],LG26V[[#This Row],[CODIGO ]],entradas26[[CAN JUEGOS ]])</f>
        <v>0</v>
      </c>
      <c r="L36" s="1" t="n">
        <f aca="false">SUMIF(entradas26[CODIGO],LG26V[[#This Row],[CODIGO ]],entradas26[CAN BARRAS])</f>
        <v>0</v>
      </c>
      <c r="M36" s="1" t="n">
        <f aca="false">SUMIF(salidas26[[CODIGO ]],LG26V[[#This Row],[CODIGO ]],salidas26[[CANT JUEGOS ]])</f>
        <v>8</v>
      </c>
      <c r="N36" s="1" t="n">
        <f aca="false">SUMIF(salidas26[[CODIGO ]],LG26V[[#This Row],[CODIGO ]],salidas26[CANT BARRAS])</f>
        <v>0</v>
      </c>
      <c r="O36" s="1" t="n">
        <f aca="false">(LG26V[[#This Row],["J"PRECIO COMPRA ]]*LG26V[[#This Row],[STOCK JUEGOS]])</f>
        <v>1098</v>
      </c>
      <c r="P36" s="1" t="n">
        <f aca="false">(LG26V[[#This Row],["J" PRECIO VENTA ]]*LG26V[[#This Row],[STOCK JUEGOS]])</f>
        <v>1680</v>
      </c>
      <c r="Q36" s="1" t="n">
        <f aca="false">(LG26V[[#This Row],["B"PRECIO COMPRA]]*LG26V[[#This Row],[STOCK BARRAS]])</f>
        <v>164.7</v>
      </c>
      <c r="R36" s="1" t="n">
        <f aca="false">(LG26V[[#This Row],["B"PRECIO VENTA ]]*LG26V[[#This Row],[STOCK BARRAS]])</f>
        <v>252</v>
      </c>
      <c r="S36" s="18" t="n">
        <v>14</v>
      </c>
      <c r="T36" s="18" t="n">
        <v>9</v>
      </c>
      <c r="U36" s="1" t="n">
        <v>6.15</v>
      </c>
      <c r="W36" s="1" t="s">
        <v>80</v>
      </c>
    </row>
    <row r="37" customFormat="false" ht="15" hidden="false" customHeight="false" outlineLevel="0" collapsed="false">
      <c r="A37" s="1" t="n">
        <v>33</v>
      </c>
      <c r="B37" s="16" t="n">
        <v>1081</v>
      </c>
      <c r="C37" s="16" t="s">
        <v>81</v>
      </c>
      <c r="D37" s="1" t="n">
        <f aca="false">(LG26V[[#This Row],[CANTIDAD INICIAL JUEGO ]]+LG26V[[#This Row],[ENTRADAS JUEGOS ]]-LG26V[[#This Row],[SALIDAS JUEGOS]])</f>
        <v>2</v>
      </c>
      <c r="E37" s="1" t="n">
        <f aca="false">(LG26V[[#This Row],[CANTIDAD INICIAL BARRAS]]+LG26V[[#This Row],[ENTRADAS BARRAS]]-LG26V[[#This Row],[SALIDA BARRAS]])</f>
        <v>0</v>
      </c>
      <c r="F37" s="17" t="n">
        <v>200</v>
      </c>
      <c r="G37" s="1" t="n">
        <v>120</v>
      </c>
      <c r="H37" s="1" t="n">
        <v>2</v>
      </c>
      <c r="I37" s="1" t="n">
        <f aca="false">(LG26V[[#This Row],["J" PRECIO VENTA ]]/LG26V[[#This Row],[BARRAS]])</f>
        <v>100</v>
      </c>
      <c r="J37" s="1" t="n">
        <f aca="false">(LG26V[[#This Row],["J"PRECIO COMPRA ]]/LG26V[[#This Row],[BARRAS]])</f>
        <v>60</v>
      </c>
      <c r="K37" s="1" t="n">
        <f aca="false">SUMIF(entradas26[CODIGO],LG26V[[#This Row],[CODIGO ]],entradas26[[CAN JUEGOS ]])</f>
        <v>0</v>
      </c>
      <c r="L37" s="1" t="n">
        <f aca="false">SUMIF(entradas26[CODIGO],LG26V[[#This Row],[CODIGO ]],entradas26[CAN BARRAS])</f>
        <v>0</v>
      </c>
      <c r="M37" s="1" t="n">
        <f aca="false">SUMIF(salidas26[[CODIGO ]],LG26V[[#This Row],[CODIGO ]],salidas26[[CANT JUEGOS ]])</f>
        <v>2</v>
      </c>
      <c r="N37" s="1" t="n">
        <f aca="false">SUMIF(salidas26[[CODIGO ]],LG26V[[#This Row],[CODIGO ]],salidas26[CANT BARRAS])</f>
        <v>0</v>
      </c>
      <c r="O37" s="1" t="n">
        <f aca="false">(LG26V[[#This Row],["J"PRECIO COMPRA ]]*LG26V[[#This Row],[STOCK JUEGOS]])</f>
        <v>240</v>
      </c>
      <c r="P37" s="1" t="n">
        <f aca="false">(LG26V[[#This Row],["J" PRECIO VENTA ]]*LG26V[[#This Row],[STOCK JUEGOS]])</f>
        <v>400</v>
      </c>
      <c r="Q37" s="1" t="n">
        <f aca="false">(LG26V[[#This Row],["B"PRECIO COMPRA]]*LG26V[[#This Row],[STOCK BARRAS]])</f>
        <v>0</v>
      </c>
      <c r="R37" s="1" t="n">
        <f aca="false">(LG26V[[#This Row],["B"PRECIO VENTA ]]*LG26V[[#This Row],[STOCK BARRAS]])</f>
        <v>0</v>
      </c>
      <c r="S37" s="18" t="n">
        <v>4</v>
      </c>
      <c r="T37" s="18"/>
    </row>
    <row r="38" customFormat="false" ht="15" hidden="false" customHeight="false" outlineLevel="0" collapsed="false">
      <c r="A38" s="1" t="n">
        <v>34</v>
      </c>
      <c r="B38" s="16" t="n">
        <v>1084</v>
      </c>
      <c r="C38" s="16" t="s">
        <v>82</v>
      </c>
      <c r="D38" s="1" t="n">
        <f aca="false">(LG26V[[#This Row],[CANTIDAD INICIAL JUEGO ]]+LG26V[[#This Row],[ENTRADAS JUEGOS ]]-LG26V[[#This Row],[SALIDAS JUEGOS]])</f>
        <v>0</v>
      </c>
      <c r="E38" s="1" t="n">
        <f aca="false">(LG26V[[#This Row],[CANTIDAD INICIAL BARRAS]]+LG26V[[#This Row],[ENTRADAS BARRAS]]-LG26V[[#This Row],[SALIDA BARRAS]])</f>
        <v>6</v>
      </c>
      <c r="F38" s="17" t="n">
        <v>250</v>
      </c>
      <c r="G38" s="1" t="n">
        <v>120</v>
      </c>
      <c r="H38" s="1" t="n">
        <v>8</v>
      </c>
      <c r="I38" s="1" t="n">
        <f aca="false">(LG26V[[#This Row],["J" PRECIO VENTA ]]/LG26V[[#This Row],[BARRAS]])</f>
        <v>31.25</v>
      </c>
      <c r="J38" s="1" t="n">
        <f aca="false">(LG26V[[#This Row],["J"PRECIO COMPRA ]]/LG26V[[#This Row],[BARRAS]])</f>
        <v>15</v>
      </c>
      <c r="K38" s="1" t="n">
        <f aca="false">SUMIF(entradas26[CODIGO],LG26V[[#This Row],[CODIGO ]],entradas26[[CAN JUEGOS ]])</f>
        <v>0</v>
      </c>
      <c r="L38" s="1" t="n">
        <f aca="false">SUMIF(entradas26[CODIGO],LG26V[[#This Row],[CODIGO ]],entradas26[CAN BARRAS])</f>
        <v>0</v>
      </c>
      <c r="M38" s="1" t="n">
        <f aca="false">SUMIF(salidas26[[CODIGO ]],LG26V[[#This Row],[CODIGO ]],salidas26[[CANT JUEGOS ]])</f>
        <v>0</v>
      </c>
      <c r="N38" s="1" t="n">
        <f aca="false">SUMIF(salidas26[[CODIGO ]],LG26V[[#This Row],[CODIGO ]],salidas26[CANT BARRAS])</f>
        <v>0</v>
      </c>
      <c r="O38" s="1" t="n">
        <f aca="false">(LG26V[[#This Row],["J"PRECIO COMPRA ]]*LG26V[[#This Row],[STOCK JUEGOS]])</f>
        <v>0</v>
      </c>
      <c r="P38" s="1" t="n">
        <f aca="false">(LG26V[[#This Row],["J" PRECIO VENTA ]]*LG26V[[#This Row],[STOCK JUEGOS]])</f>
        <v>0</v>
      </c>
      <c r="Q38" s="1" t="n">
        <f aca="false">(LG26V[[#This Row],["B"PRECIO COMPRA]]*LG26V[[#This Row],[STOCK BARRAS]])</f>
        <v>90</v>
      </c>
      <c r="R38" s="1" t="n">
        <f aca="false">(LG26V[[#This Row],["B"PRECIO VENTA ]]*LG26V[[#This Row],[STOCK BARRAS]])</f>
        <v>187.5</v>
      </c>
      <c r="S38" s="18" t="n">
        <v>0</v>
      </c>
      <c r="T38" s="18" t="n">
        <v>6</v>
      </c>
    </row>
    <row r="39" customFormat="false" ht="15" hidden="false" customHeight="false" outlineLevel="0" collapsed="false">
      <c r="A39" s="1" t="n">
        <v>35</v>
      </c>
      <c r="B39" s="16" t="n">
        <v>1087</v>
      </c>
      <c r="C39" s="16" t="s">
        <v>83</v>
      </c>
      <c r="D39" s="1" t="n">
        <f aca="false">(LG26V[[#This Row],[CANTIDAD INICIAL JUEGO ]]+LG26V[[#This Row],[ENTRADAS JUEGOS ]]-LG26V[[#This Row],[SALIDAS JUEGOS]])</f>
        <v>13</v>
      </c>
      <c r="E39" s="1" t="n">
        <f aca="false">(LG26V[[#This Row],[CANTIDAD INICIAL BARRAS]]+LG26V[[#This Row],[ENTRADAS BARRAS]]-LG26V[[#This Row],[SALIDA BARRAS]])</f>
        <v>7</v>
      </c>
      <c r="F39" s="17" t="n">
        <v>220</v>
      </c>
      <c r="G39" s="1" t="n">
        <v>114</v>
      </c>
      <c r="H39" s="1" t="n">
        <v>8</v>
      </c>
      <c r="I39" s="1" t="n">
        <f aca="false">(LG26V[[#This Row],["J" PRECIO VENTA ]]/LG26V[[#This Row],[BARRAS]])</f>
        <v>27.5</v>
      </c>
      <c r="J39" s="1" t="n">
        <f aca="false">(LG26V[[#This Row],["J"PRECIO COMPRA ]]/LG26V[[#This Row],[BARRAS]])</f>
        <v>14.25</v>
      </c>
      <c r="K39" s="1" t="n">
        <f aca="false">SUMIF(entradas26[CODIGO],LG26V[[#This Row],[CODIGO ]],entradas26[[CAN JUEGOS ]])</f>
        <v>0</v>
      </c>
      <c r="L39" s="1" t="n">
        <f aca="false">SUMIF(entradas26[CODIGO],LG26V[[#This Row],[CODIGO ]],entradas26[CAN BARRAS])</f>
        <v>0</v>
      </c>
      <c r="M39" s="1" t="n">
        <f aca="false">SUMIF(salidas26[[CODIGO ]],LG26V[[#This Row],[CODIGO ]],salidas26[[CANT JUEGOS ]])</f>
        <v>3</v>
      </c>
      <c r="N39" s="1" t="n">
        <f aca="false">SUMIF(salidas26[[CODIGO ]],LG26V[[#This Row],[CODIGO ]],salidas26[CANT BARRAS])</f>
        <v>0</v>
      </c>
      <c r="O39" s="1" t="n">
        <f aca="false">(LG26V[[#This Row],["J"PRECIO COMPRA ]]*LG26V[[#This Row],[STOCK JUEGOS]])</f>
        <v>1482</v>
      </c>
      <c r="P39" s="1" t="n">
        <f aca="false">(LG26V[[#This Row],["J" PRECIO VENTA ]]*LG26V[[#This Row],[STOCK JUEGOS]])</f>
        <v>2860</v>
      </c>
      <c r="Q39" s="1" t="n">
        <f aca="false">(LG26V[[#This Row],["B"PRECIO COMPRA]]*LG26V[[#This Row],[STOCK BARRAS]])</f>
        <v>99.75</v>
      </c>
      <c r="R39" s="1" t="n">
        <f aca="false">(LG26V[[#This Row],["B"PRECIO VENTA ]]*LG26V[[#This Row],[STOCK BARRAS]])</f>
        <v>192.5</v>
      </c>
      <c r="S39" s="18" t="n">
        <v>16</v>
      </c>
      <c r="T39" s="18" t="n">
        <v>7</v>
      </c>
      <c r="U39" s="1" t="n">
        <v>5.7</v>
      </c>
      <c r="W39" s="1" t="s">
        <v>84</v>
      </c>
    </row>
    <row r="40" customFormat="false" ht="15" hidden="false" customHeight="false" outlineLevel="0" collapsed="false">
      <c r="A40" s="1" t="n">
        <v>36</v>
      </c>
      <c r="B40" s="16" t="n">
        <v>1090</v>
      </c>
      <c r="C40" s="16" t="s">
        <v>85</v>
      </c>
      <c r="D40" s="1" t="n">
        <f aca="false">(LG26V[[#This Row],[CANTIDAD INICIAL JUEGO ]]+LG26V[[#This Row],[ENTRADAS JUEGOS ]]-LG26V[[#This Row],[SALIDAS JUEGOS]])</f>
        <v>16</v>
      </c>
      <c r="E40" s="1" t="n">
        <f aca="false">(LG26V[[#This Row],[CANTIDAD INICIAL BARRAS]]+LG26V[[#This Row],[ENTRADAS BARRAS]]-LG26V[[#This Row],[SALIDA BARRAS]])</f>
        <v>0</v>
      </c>
      <c r="F40" s="17" t="n">
        <v>250</v>
      </c>
      <c r="G40" s="1" t="n">
        <v>63</v>
      </c>
      <c r="H40" s="1" t="n">
        <v>2</v>
      </c>
      <c r="I40" s="1" t="n">
        <f aca="false">(LG26V[[#This Row],["J" PRECIO VENTA ]]/LG26V[[#This Row],[BARRAS]])</f>
        <v>125</v>
      </c>
      <c r="J40" s="1" t="n">
        <f aca="false">(LG26V[[#This Row],["J"PRECIO COMPRA ]]/LG26V[[#This Row],[BARRAS]])</f>
        <v>31.5</v>
      </c>
      <c r="K40" s="1" t="n">
        <f aca="false">SUMIF(entradas26[CODIGO],LG26V[[#This Row],[CODIGO ]],entradas26[[CAN JUEGOS ]])</f>
        <v>0</v>
      </c>
      <c r="L40" s="1" t="n">
        <f aca="false">SUMIF(entradas26[CODIGO],LG26V[[#This Row],[CODIGO ]],entradas26[CAN BARRAS])</f>
        <v>0</v>
      </c>
      <c r="M40" s="1" t="n">
        <f aca="false">SUMIF(salidas26[[CODIGO ]],LG26V[[#This Row],[CODIGO ]],salidas26[[CANT JUEGOS ]])</f>
        <v>0</v>
      </c>
      <c r="N40" s="1" t="n">
        <f aca="false">SUMIF(salidas26[[CODIGO ]],LG26V[[#This Row],[CODIGO ]],salidas26[CANT BARRAS])</f>
        <v>0</v>
      </c>
      <c r="O40" s="1" t="n">
        <f aca="false">(LG26V[[#This Row],["J"PRECIO COMPRA ]]*LG26V[[#This Row],[STOCK JUEGOS]])</f>
        <v>1008</v>
      </c>
      <c r="P40" s="1" t="n">
        <f aca="false">(LG26V[[#This Row],["J" PRECIO VENTA ]]*LG26V[[#This Row],[STOCK JUEGOS]])</f>
        <v>4000</v>
      </c>
      <c r="Q40" s="1" t="n">
        <f aca="false">(LG26V[[#This Row],["B"PRECIO COMPRA]]*LG26V[[#This Row],[STOCK BARRAS]])</f>
        <v>0</v>
      </c>
      <c r="R40" s="1" t="n">
        <f aca="false">(LG26V[[#This Row],["B"PRECIO VENTA ]]*LG26V[[#This Row],[STOCK BARRAS]])</f>
        <v>0</v>
      </c>
      <c r="S40" s="18" t="n">
        <v>16</v>
      </c>
      <c r="T40" s="18"/>
      <c r="U40" s="1" t="n">
        <v>4.5</v>
      </c>
      <c r="W40" s="1" t="s">
        <v>86</v>
      </c>
    </row>
    <row r="41" customFormat="false" ht="15" hidden="false" customHeight="false" outlineLevel="0" collapsed="false">
      <c r="A41" s="1" t="n">
        <v>37</v>
      </c>
      <c r="B41" s="16" t="n">
        <v>1094</v>
      </c>
      <c r="C41" s="16" t="s">
        <v>87</v>
      </c>
      <c r="D41" s="1" t="n">
        <f aca="false">(LG26V[[#This Row],[CANTIDAD INICIAL JUEGO ]]+LG26V[[#This Row],[ENTRADAS JUEGOS ]]-LG26V[[#This Row],[SALIDAS JUEGOS]])</f>
        <v>13</v>
      </c>
      <c r="E41" s="1" t="n">
        <f aca="false">(LG26V[[#This Row],[CANTIDAD INICIAL BARRAS]]+LG26V[[#This Row],[ENTRADAS BARRAS]]-LG26V[[#This Row],[SALIDA BARRAS]])</f>
        <v>6</v>
      </c>
      <c r="F41" s="23" t="n">
        <v>250</v>
      </c>
      <c r="G41" s="1" t="n">
        <v>96</v>
      </c>
      <c r="H41" s="1" t="n">
        <v>8</v>
      </c>
      <c r="I41" s="1" t="n">
        <f aca="false">(LG26V[[#This Row],["J" PRECIO VENTA ]]/LG26V[[#This Row],[BARRAS]])</f>
        <v>31.25</v>
      </c>
      <c r="J41" s="1" t="n">
        <f aca="false">(LG26V[[#This Row],["J"PRECIO COMPRA ]]/LG26V[[#This Row],[BARRAS]])</f>
        <v>12</v>
      </c>
      <c r="K41" s="1" t="n">
        <f aca="false">SUMIF(entradas26[CODIGO],LG26V[[#This Row],[CODIGO ]],entradas26[[CAN JUEGOS ]])</f>
        <v>0</v>
      </c>
      <c r="L41" s="1" t="n">
        <f aca="false">SUMIF(entradas26[CODIGO],LG26V[[#This Row],[CODIGO ]],entradas26[CAN BARRAS])</f>
        <v>0</v>
      </c>
      <c r="M41" s="1" t="n">
        <f aca="false">SUMIF(salidas26[[CODIGO ]],LG26V[[#This Row],[CODIGO ]],salidas26[[CANT JUEGOS ]])</f>
        <v>1</v>
      </c>
      <c r="N41" s="1" t="n">
        <f aca="false">SUMIF(salidas26[[CODIGO ]],LG26V[[#This Row],[CODIGO ]],salidas26[CANT BARRAS])</f>
        <v>0</v>
      </c>
      <c r="O41" s="1" t="n">
        <f aca="false">(LG26V[[#This Row],["J"PRECIO COMPRA ]]*LG26V[[#This Row],[STOCK JUEGOS]])</f>
        <v>1248</v>
      </c>
      <c r="P41" s="1" t="n">
        <f aca="false">(LG26V[[#This Row],["J" PRECIO VENTA ]]*LG26V[[#This Row],[STOCK JUEGOS]])</f>
        <v>3250</v>
      </c>
      <c r="Q41" s="1" t="n">
        <f aca="false">(LG26V[[#This Row],["B"PRECIO COMPRA]]*LG26V[[#This Row],[STOCK BARRAS]])</f>
        <v>72</v>
      </c>
      <c r="R41" s="1" t="n">
        <f aca="false">(LG26V[[#This Row],["B"PRECIO VENTA ]]*LG26V[[#This Row],[STOCK BARRAS]])</f>
        <v>187.5</v>
      </c>
      <c r="S41" s="24" t="n">
        <v>14</v>
      </c>
      <c r="T41" s="24" t="n">
        <v>6</v>
      </c>
      <c r="U41" s="1" t="n">
        <v>4.36</v>
      </c>
      <c r="W41" s="1" t="s">
        <v>88</v>
      </c>
    </row>
    <row r="42" customFormat="false" ht="15" hidden="false" customHeight="false" outlineLevel="0" collapsed="false">
      <c r="A42" s="1" t="n">
        <v>38</v>
      </c>
      <c r="B42" s="16" t="n">
        <v>1096</v>
      </c>
      <c r="C42" s="16" t="s">
        <v>89</v>
      </c>
      <c r="D42" s="1" t="n">
        <f aca="false">(LG26V[[#This Row],[CANTIDAD INICIAL JUEGO ]]+LG26V[[#This Row],[ENTRADAS JUEGOS ]]-LG26V[[#This Row],[SALIDAS JUEGOS]])</f>
        <v>12</v>
      </c>
      <c r="E42" s="1" t="n">
        <f aca="false">(LG26V[[#This Row],[CANTIDAD INICIAL BARRAS]]+LG26V[[#This Row],[ENTRADAS BARRAS]]-LG26V[[#This Row],[SALIDA BARRAS]])</f>
        <v>0</v>
      </c>
      <c r="F42" s="17" t="n">
        <v>260</v>
      </c>
      <c r="G42" s="1" t="n">
        <v>112</v>
      </c>
      <c r="H42" s="1" t="n">
        <v>8</v>
      </c>
      <c r="I42" s="1" t="n">
        <f aca="false">(LG26V[[#This Row],["J" PRECIO VENTA ]]/LG26V[[#This Row],[BARRAS]])</f>
        <v>32.5</v>
      </c>
      <c r="J42" s="1" t="n">
        <f aca="false">(LG26V[[#This Row],["J"PRECIO COMPRA ]]/LG26V[[#This Row],[BARRAS]])</f>
        <v>14</v>
      </c>
      <c r="K42" s="1" t="n">
        <f aca="false">SUMIF(entradas26[CODIGO],LG26V[[#This Row],[CODIGO ]],entradas26[[CAN JUEGOS ]])</f>
        <v>0</v>
      </c>
      <c r="L42" s="1" t="n">
        <f aca="false">SUMIF(entradas26[CODIGO],LG26V[[#This Row],[CODIGO ]],entradas26[CAN BARRAS])</f>
        <v>0</v>
      </c>
      <c r="M42" s="1" t="n">
        <f aca="false">SUMIF(salidas26[[CODIGO ]],LG26V[[#This Row],[CODIGO ]],salidas26[[CANT JUEGOS ]])</f>
        <v>1</v>
      </c>
      <c r="N42" s="1" t="n">
        <f aca="false">SUMIF(salidas26[[CODIGO ]],LG26V[[#This Row],[CODIGO ]],salidas26[CANT BARRAS])</f>
        <v>0</v>
      </c>
      <c r="O42" s="1" t="n">
        <f aca="false">(LG26V[[#This Row],["J"PRECIO COMPRA ]]*LG26V[[#This Row],[STOCK JUEGOS]])</f>
        <v>1344</v>
      </c>
      <c r="P42" s="1" t="n">
        <f aca="false">(LG26V[[#This Row],["J" PRECIO VENTA ]]*LG26V[[#This Row],[STOCK JUEGOS]])</f>
        <v>3120</v>
      </c>
      <c r="Q42" s="1" t="n">
        <f aca="false">(LG26V[[#This Row],["B"PRECIO COMPRA]]*LG26V[[#This Row],[STOCK BARRAS]])</f>
        <v>0</v>
      </c>
      <c r="R42" s="1" t="n">
        <f aca="false">(LG26V[[#This Row],["B"PRECIO VENTA ]]*LG26V[[#This Row],[STOCK BARRAS]])</f>
        <v>0</v>
      </c>
      <c r="S42" s="18" t="n">
        <v>13</v>
      </c>
      <c r="T42" s="18"/>
    </row>
    <row r="43" customFormat="false" ht="15" hidden="false" customHeight="false" outlineLevel="0" collapsed="false">
      <c r="A43" s="1" t="n">
        <v>39</v>
      </c>
      <c r="B43" s="16" t="n">
        <v>1099</v>
      </c>
      <c r="C43" s="16" t="s">
        <v>90</v>
      </c>
      <c r="D43" s="1" t="n">
        <f aca="false">(LG26V[[#This Row],[CANTIDAD INICIAL JUEGO ]]+LG26V[[#This Row],[ENTRADAS JUEGOS ]]-LG26V[[#This Row],[SALIDAS JUEGOS]])</f>
        <v>7</v>
      </c>
      <c r="E43" s="1" t="n">
        <f aca="false">(LG26V[[#This Row],[CANTIDAD INICIAL BARRAS]]+LG26V[[#This Row],[ENTRADAS BARRAS]]-LG26V[[#This Row],[SALIDA BARRAS]])</f>
        <v>3</v>
      </c>
      <c r="F43" s="17" t="n">
        <v>220</v>
      </c>
      <c r="G43" s="1" t="n">
        <v>92</v>
      </c>
      <c r="H43" s="1" t="n">
        <v>4</v>
      </c>
      <c r="I43" s="1" t="n">
        <f aca="false">(LG26V[[#This Row],["J" PRECIO VENTA ]]/LG26V[[#This Row],[BARRAS]])</f>
        <v>55</v>
      </c>
      <c r="J43" s="1" t="n">
        <f aca="false">(LG26V[[#This Row],["J"PRECIO COMPRA ]]/LG26V[[#This Row],[BARRAS]])</f>
        <v>23</v>
      </c>
      <c r="K43" s="1" t="n">
        <f aca="false">SUMIF(entradas26[CODIGO],LG26V[[#This Row],[CODIGO ]],entradas26[[CAN JUEGOS ]])</f>
        <v>0</v>
      </c>
      <c r="L43" s="1" t="n">
        <f aca="false">SUMIF(entradas26[CODIGO],LG26V[[#This Row],[CODIGO ]],entradas26[CAN BARRAS])</f>
        <v>0</v>
      </c>
      <c r="M43" s="1" t="n">
        <f aca="false">SUMIF(salidas26[[CODIGO ]],LG26V[[#This Row],[CODIGO ]],salidas26[[CANT JUEGOS ]])</f>
        <v>2</v>
      </c>
      <c r="N43" s="1" t="n">
        <f aca="false">SUMIF(salidas26[[CODIGO ]],LG26V[[#This Row],[CODIGO ]],salidas26[CANT BARRAS])</f>
        <v>0</v>
      </c>
      <c r="O43" s="1" t="n">
        <f aca="false">(LG26V[[#This Row],["J"PRECIO COMPRA ]]*LG26V[[#This Row],[STOCK JUEGOS]])</f>
        <v>644</v>
      </c>
      <c r="P43" s="1" t="n">
        <f aca="false">(LG26V[[#This Row],["J" PRECIO VENTA ]]*LG26V[[#This Row],[STOCK JUEGOS]])</f>
        <v>1540</v>
      </c>
      <c r="Q43" s="1" t="n">
        <f aca="false">(LG26V[[#This Row],["B"PRECIO COMPRA]]*LG26V[[#This Row],[STOCK BARRAS]])</f>
        <v>69</v>
      </c>
      <c r="R43" s="1" t="n">
        <f aca="false">(LG26V[[#This Row],["B"PRECIO VENTA ]]*LG26V[[#This Row],[STOCK BARRAS]])</f>
        <v>165</v>
      </c>
      <c r="S43" s="18" t="n">
        <v>9</v>
      </c>
      <c r="T43" s="18" t="n">
        <v>3</v>
      </c>
      <c r="U43" s="1" t="n">
        <v>4.2</v>
      </c>
      <c r="W43" s="1" t="s">
        <v>91</v>
      </c>
    </row>
    <row r="44" customFormat="false" ht="15" hidden="false" customHeight="false" outlineLevel="0" collapsed="false">
      <c r="A44" s="1" t="n">
        <v>40</v>
      </c>
      <c r="B44" s="16" t="n">
        <v>1102</v>
      </c>
      <c r="C44" s="16" t="s">
        <v>92</v>
      </c>
      <c r="D44" s="1" t="n">
        <f aca="false">(LG26V[[#This Row],[CANTIDAD INICIAL JUEGO ]]+LG26V[[#This Row],[ENTRADAS JUEGOS ]]-LG26V[[#This Row],[SALIDAS JUEGOS]])</f>
        <v>18</v>
      </c>
      <c r="E44" s="1" t="n">
        <f aca="false">(LG26V[[#This Row],[CANTIDAD INICIAL BARRAS]]+LG26V[[#This Row],[ENTRADAS BARRAS]]-LG26V[[#This Row],[SALIDA BARRAS]])</f>
        <v>2</v>
      </c>
      <c r="F44" s="17" t="n">
        <v>280</v>
      </c>
      <c r="G44" s="1" t="n">
        <v>116</v>
      </c>
      <c r="H44" s="1" t="n">
        <v>12</v>
      </c>
      <c r="I44" s="1" t="n">
        <f aca="false">(LG26V[[#This Row],["J" PRECIO VENTA ]]/LG26V[[#This Row],[BARRAS]])</f>
        <v>23.3333333333333</v>
      </c>
      <c r="J44" s="1" t="n">
        <f aca="false">(LG26V[[#This Row],["J"PRECIO COMPRA ]]/LG26V[[#This Row],[BARRAS]])</f>
        <v>9.66666666666667</v>
      </c>
      <c r="K44" s="1" t="n">
        <f aca="false">SUMIF(entradas26[CODIGO],LG26V[[#This Row],[CODIGO ]],entradas26[[CAN JUEGOS ]])</f>
        <v>20</v>
      </c>
      <c r="L44" s="1" t="n">
        <f aca="false">SUMIF(entradas26[CODIGO],LG26V[[#This Row],[CODIGO ]],entradas26[CAN BARRAS])</f>
        <v>0</v>
      </c>
      <c r="M44" s="1" t="n">
        <f aca="false">SUMIF(salidas26[[CODIGO ]],LG26V[[#This Row],[CODIGO ]],salidas26[[CANT JUEGOS ]])</f>
        <v>6</v>
      </c>
      <c r="N44" s="1" t="n">
        <f aca="false">SUMIF(salidas26[[CODIGO ]],LG26V[[#This Row],[CODIGO ]],salidas26[CANT BARRAS])</f>
        <v>0</v>
      </c>
      <c r="O44" s="1" t="n">
        <f aca="false">(LG26V[[#This Row],["J"PRECIO COMPRA ]]*LG26V[[#This Row],[STOCK JUEGOS]])</f>
        <v>2088</v>
      </c>
      <c r="P44" s="1" t="n">
        <f aca="false">(LG26V[[#This Row],["J" PRECIO VENTA ]]*LG26V[[#This Row],[STOCK JUEGOS]])</f>
        <v>5040</v>
      </c>
      <c r="Q44" s="1" t="n">
        <f aca="false">(LG26V[[#This Row],["B"PRECIO COMPRA]]*LG26V[[#This Row],[STOCK BARRAS]])</f>
        <v>19.3333333333333</v>
      </c>
      <c r="R44" s="1" t="n">
        <f aca="false">(LG26V[[#This Row],["B"PRECIO VENTA ]]*LG26V[[#This Row],[STOCK BARRAS]])</f>
        <v>46.6666666666667</v>
      </c>
      <c r="S44" s="18" t="n">
        <v>4</v>
      </c>
      <c r="T44" s="18" t="n">
        <v>2</v>
      </c>
      <c r="U44" s="1" t="n">
        <v>6.1</v>
      </c>
      <c r="W44" s="1" t="s">
        <v>93</v>
      </c>
    </row>
    <row r="45" customFormat="false" ht="15" hidden="false" customHeight="false" outlineLevel="0" collapsed="false">
      <c r="A45" s="1" t="n">
        <v>41</v>
      </c>
      <c r="B45" s="16" t="n">
        <v>1105</v>
      </c>
      <c r="C45" s="25" t="s">
        <v>94</v>
      </c>
      <c r="D45" s="1" t="n">
        <f aca="false">(LG26V[[#This Row],[CANTIDAD INICIAL JUEGO ]]+LG26V[[#This Row],[ENTRADAS JUEGOS ]]-LG26V[[#This Row],[SALIDAS JUEGOS]])</f>
        <v>23</v>
      </c>
      <c r="E45" s="1" t="n">
        <f aca="false">(LG26V[[#This Row],[CANTIDAD INICIAL BARRAS]]+LG26V[[#This Row],[ENTRADAS BARRAS]]-LG26V[[#This Row],[SALIDA BARRAS]])</f>
        <v>0</v>
      </c>
      <c r="F45" s="17" t="n">
        <v>300</v>
      </c>
      <c r="G45" s="1" t="n">
        <v>177</v>
      </c>
      <c r="H45" s="1" t="n">
        <v>10</v>
      </c>
      <c r="I45" s="1" t="n">
        <f aca="false">(LG26V[[#This Row],["J" PRECIO VENTA ]]/LG26V[[#This Row],[BARRAS]])</f>
        <v>30</v>
      </c>
      <c r="J45" s="1" t="n">
        <f aca="false">(LG26V[[#This Row],["J"PRECIO COMPRA ]]/LG26V[[#This Row],[BARRAS]])</f>
        <v>17.7</v>
      </c>
      <c r="K45" s="1" t="n">
        <f aca="false">SUMIF(entradas26[CODIGO],LG26V[[#This Row],[CODIGO ]],entradas26[[CAN JUEGOS ]])</f>
        <v>0</v>
      </c>
      <c r="L45" s="1" t="n">
        <f aca="false">SUMIF(entradas26[CODIGO],LG26V[[#This Row],[CODIGO ]],entradas26[CAN BARRAS])</f>
        <v>0</v>
      </c>
      <c r="M45" s="1" t="n">
        <f aca="false">SUMIF(salidas26[[CODIGO ]],LG26V[[#This Row],[CODIGO ]],salidas26[[CANT JUEGOS ]])</f>
        <v>2</v>
      </c>
      <c r="N45" s="1" t="n">
        <f aca="false">SUMIF(salidas26[[CODIGO ]],LG26V[[#This Row],[CODIGO ]],salidas26[CANT BARRAS])</f>
        <v>0</v>
      </c>
      <c r="O45" s="1" t="n">
        <f aca="false">(LG26V[[#This Row],["J"PRECIO COMPRA ]]*LG26V[[#This Row],[STOCK JUEGOS]])</f>
        <v>4071</v>
      </c>
      <c r="P45" s="1" t="n">
        <f aca="false">(LG26V[[#This Row],["J" PRECIO VENTA ]]*LG26V[[#This Row],[STOCK JUEGOS]])</f>
        <v>6900</v>
      </c>
      <c r="Q45" s="1" t="n">
        <f aca="false">(LG26V[[#This Row],["B"PRECIO COMPRA]]*LG26V[[#This Row],[STOCK BARRAS]])</f>
        <v>0</v>
      </c>
      <c r="R45" s="1" t="n">
        <f aca="false">(LG26V[[#This Row],["B"PRECIO VENTA ]]*LG26V[[#This Row],[STOCK BARRAS]])</f>
        <v>0</v>
      </c>
      <c r="S45" s="18" t="n">
        <v>25</v>
      </c>
      <c r="T45" s="18"/>
      <c r="U45" s="1" t="n">
        <v>7.7</v>
      </c>
      <c r="W45" s="1" t="s">
        <v>95</v>
      </c>
    </row>
    <row r="46" customFormat="false" ht="15" hidden="false" customHeight="false" outlineLevel="0" collapsed="false">
      <c r="A46" s="1" t="n">
        <v>42</v>
      </c>
      <c r="B46" s="16" t="n">
        <v>1108</v>
      </c>
      <c r="C46" s="16" t="s">
        <v>96</v>
      </c>
      <c r="D46" s="1" t="n">
        <f aca="false">(LG26V[[#This Row],[CANTIDAD INICIAL JUEGO ]]+LG26V[[#This Row],[ENTRADAS JUEGOS ]]-LG26V[[#This Row],[SALIDAS JUEGOS]])</f>
        <v>25</v>
      </c>
      <c r="E46" s="1" t="n">
        <f aca="false">(LG26V[[#This Row],[CANTIDAD INICIAL BARRAS]]+LG26V[[#This Row],[ENTRADAS BARRAS]]-LG26V[[#This Row],[SALIDA BARRAS]])</f>
        <v>0</v>
      </c>
      <c r="F46" s="17" t="n">
        <v>300</v>
      </c>
      <c r="G46" s="1" t="n">
        <v>65</v>
      </c>
      <c r="H46" s="1" t="n">
        <v>3</v>
      </c>
      <c r="I46" s="1" t="n">
        <f aca="false">(LG26V[[#This Row],["J" PRECIO VENTA ]]/LG26V[[#This Row],[BARRAS]])</f>
        <v>100</v>
      </c>
      <c r="J46" s="1" t="n">
        <f aca="false">(LG26V[[#This Row],["J"PRECIO COMPRA ]]/LG26V[[#This Row],[BARRAS]])</f>
        <v>21.6666666666667</v>
      </c>
      <c r="K46" s="1" t="n">
        <f aca="false">SUMIF(entradas26[CODIGO],LG26V[[#This Row],[CODIGO ]],entradas26[[CAN JUEGOS ]])</f>
        <v>20</v>
      </c>
      <c r="L46" s="1" t="n">
        <f aca="false">SUMIF(entradas26[CODIGO],LG26V[[#This Row],[CODIGO ]],entradas26[CAN BARRAS])</f>
        <v>0</v>
      </c>
      <c r="M46" s="1" t="n">
        <f aca="false">SUMIF(salidas26[[CODIGO ]],LG26V[[#This Row],[CODIGO ]],salidas26[[CANT JUEGOS ]])</f>
        <v>1</v>
      </c>
      <c r="N46" s="1" t="n">
        <f aca="false">SUMIF(salidas26[[CODIGO ]],LG26V[[#This Row],[CODIGO ]],salidas26[CANT BARRAS])</f>
        <v>0</v>
      </c>
      <c r="O46" s="1" t="n">
        <f aca="false">(LG26V[[#This Row],["J"PRECIO COMPRA ]]*LG26V[[#This Row],[STOCK JUEGOS]])</f>
        <v>1625</v>
      </c>
      <c r="P46" s="1" t="n">
        <f aca="false">(LG26V[[#This Row],["J" PRECIO VENTA ]]*LG26V[[#This Row],[STOCK JUEGOS]])</f>
        <v>7500</v>
      </c>
      <c r="Q46" s="1" t="n">
        <f aca="false">(LG26V[[#This Row],["B"PRECIO COMPRA]]*LG26V[[#This Row],[STOCK BARRAS]])</f>
        <v>0</v>
      </c>
      <c r="R46" s="1" t="n">
        <f aca="false">(LG26V[[#This Row],["B"PRECIO VENTA ]]*LG26V[[#This Row],[STOCK BARRAS]])</f>
        <v>0</v>
      </c>
      <c r="S46" s="18" t="n">
        <v>6</v>
      </c>
      <c r="T46" s="18"/>
      <c r="U46" s="1" t="n">
        <v>5.8</v>
      </c>
      <c r="W46" s="1" t="s">
        <v>97</v>
      </c>
    </row>
    <row r="47" customFormat="false" ht="15" hidden="false" customHeight="false" outlineLevel="0" collapsed="false">
      <c r="A47" s="1" t="n">
        <v>43</v>
      </c>
      <c r="B47" s="16" t="n">
        <v>1111</v>
      </c>
      <c r="C47" s="16" t="s">
        <v>98</v>
      </c>
      <c r="D47" s="1" t="n">
        <f aca="false">(LG26V[[#This Row],[CANTIDAD INICIAL JUEGO ]]+LG26V[[#This Row],[ENTRADAS JUEGOS ]]-LG26V[[#This Row],[SALIDAS JUEGOS]])</f>
        <v>10</v>
      </c>
      <c r="E47" s="1" t="n">
        <f aca="false">(LG26V[[#This Row],[CANTIDAD INICIAL BARRAS]]+LG26V[[#This Row],[ENTRADAS BARRAS]]-LG26V[[#This Row],[SALIDA BARRAS]])</f>
        <v>2</v>
      </c>
      <c r="F47" s="17" t="n">
        <v>280</v>
      </c>
      <c r="G47" s="1" t="n">
        <v>69</v>
      </c>
      <c r="H47" s="1" t="n">
        <v>3</v>
      </c>
      <c r="I47" s="1" t="n">
        <f aca="false">(LG26V[[#This Row],["J" PRECIO VENTA ]]/LG26V[[#This Row],[BARRAS]])</f>
        <v>93.3333333333333</v>
      </c>
      <c r="J47" s="1" t="n">
        <f aca="false">(LG26V[[#This Row],["J"PRECIO COMPRA ]]/LG26V[[#This Row],[BARRAS]])</f>
        <v>23</v>
      </c>
      <c r="K47" s="1" t="n">
        <f aca="false">SUMIF(entradas26[CODIGO],LG26V[[#This Row],[CODIGO ]],entradas26[[CAN JUEGOS ]])</f>
        <v>0</v>
      </c>
      <c r="L47" s="1" t="n">
        <f aca="false">SUMIF(entradas26[CODIGO],LG26V[[#This Row],[CODIGO ]],entradas26[CAN BARRAS])</f>
        <v>0</v>
      </c>
      <c r="M47" s="1" t="n">
        <f aca="false">SUMIF(salidas26[[CODIGO ]],LG26V[[#This Row],[CODIGO ]],salidas26[[CANT JUEGOS ]])</f>
        <v>2</v>
      </c>
      <c r="N47" s="1" t="n">
        <f aca="false">SUMIF(salidas26[[CODIGO ]],LG26V[[#This Row],[CODIGO ]],salidas26[CANT BARRAS])</f>
        <v>0</v>
      </c>
      <c r="O47" s="1" t="n">
        <f aca="false">(LG26V[[#This Row],["J"PRECIO COMPRA ]]*LG26V[[#This Row],[STOCK JUEGOS]])</f>
        <v>690</v>
      </c>
      <c r="P47" s="1" t="n">
        <f aca="false">(LG26V[[#This Row],["J" PRECIO VENTA ]]*LG26V[[#This Row],[STOCK JUEGOS]])</f>
        <v>2800</v>
      </c>
      <c r="Q47" s="1" t="n">
        <f aca="false">(LG26V[[#This Row],["B"PRECIO COMPRA]]*LG26V[[#This Row],[STOCK BARRAS]])</f>
        <v>46</v>
      </c>
      <c r="R47" s="1" t="n">
        <f aca="false">(LG26V[[#This Row],["B"PRECIO VENTA ]]*LG26V[[#This Row],[STOCK BARRAS]])</f>
        <v>186.666666666667</v>
      </c>
      <c r="S47" s="18" t="n">
        <v>12</v>
      </c>
      <c r="T47" s="18" t="n">
        <v>2</v>
      </c>
      <c r="U47" s="1" t="n">
        <v>6.2</v>
      </c>
      <c r="W47" s="1" t="s">
        <v>99</v>
      </c>
    </row>
    <row r="48" customFormat="false" ht="15" hidden="false" customHeight="false" outlineLevel="0" collapsed="false">
      <c r="A48" s="1" t="n">
        <v>44</v>
      </c>
      <c r="B48" s="16" t="n">
        <v>1112</v>
      </c>
      <c r="C48" s="16" t="s">
        <v>100</v>
      </c>
      <c r="D48" s="1" t="n">
        <f aca="false">(LG26V[[#This Row],[CANTIDAD INICIAL JUEGO ]]+LG26V[[#This Row],[ENTRADAS JUEGOS ]]-LG26V[[#This Row],[SALIDAS JUEGOS]])</f>
        <v>6</v>
      </c>
      <c r="E48" s="1" t="n">
        <f aca="false">(LG26V[[#This Row],[CANTIDAD INICIAL BARRAS]]+LG26V[[#This Row],[ENTRADAS BARRAS]]-LG26V[[#This Row],[SALIDA BARRAS]])</f>
        <v>1</v>
      </c>
      <c r="F48" s="17" t="n">
        <v>400</v>
      </c>
      <c r="G48" s="1" t="n">
        <v>180</v>
      </c>
      <c r="H48" s="1" t="n">
        <v>2</v>
      </c>
      <c r="I48" s="1" t="n">
        <f aca="false">(LG26V[[#This Row],["J" PRECIO VENTA ]]/LG26V[[#This Row],[BARRAS]])</f>
        <v>200</v>
      </c>
      <c r="J48" s="1" t="n">
        <f aca="false">(LG26V[[#This Row],["J"PRECIO COMPRA ]]/LG26V[[#This Row],[BARRAS]])</f>
        <v>90</v>
      </c>
      <c r="K48" s="1" t="n">
        <f aca="false">SUMIF(entradas26[CODIGO],LG26V[[#This Row],[CODIGO ]],entradas26[[CAN JUEGOS ]])</f>
        <v>0</v>
      </c>
      <c r="L48" s="1" t="n">
        <f aca="false">SUMIF(entradas26[CODIGO],LG26V[[#This Row],[CODIGO ]],entradas26[CAN BARRAS])</f>
        <v>0</v>
      </c>
      <c r="M48" s="1" t="n">
        <f aca="false">SUMIF(salidas26[[CODIGO ]],LG26V[[#This Row],[CODIGO ]],salidas26[[CANT JUEGOS ]])</f>
        <v>0</v>
      </c>
      <c r="N48" s="1" t="n">
        <f aca="false">SUMIF(salidas26[[CODIGO ]],LG26V[[#This Row],[CODIGO ]],salidas26[CANT BARRAS])</f>
        <v>0</v>
      </c>
      <c r="O48" s="1" t="n">
        <f aca="false">(LG26V[[#This Row],["J"PRECIO COMPRA ]]*LG26V[[#This Row],[STOCK JUEGOS]])</f>
        <v>1080</v>
      </c>
      <c r="P48" s="1" t="n">
        <f aca="false">(LG26V[[#This Row],["J" PRECIO VENTA ]]*LG26V[[#This Row],[STOCK JUEGOS]])</f>
        <v>2400</v>
      </c>
      <c r="Q48" s="1" t="n">
        <f aca="false">(LG26V[[#This Row],["B"PRECIO COMPRA]]*LG26V[[#This Row],[STOCK BARRAS]])</f>
        <v>90</v>
      </c>
      <c r="R48" s="1" t="n">
        <f aca="false">(LG26V[[#This Row],["B"PRECIO VENTA ]]*LG26V[[#This Row],[STOCK BARRAS]])</f>
        <v>200</v>
      </c>
      <c r="S48" s="18" t="n">
        <v>6</v>
      </c>
      <c r="T48" s="18" t="n">
        <v>1</v>
      </c>
      <c r="U48" s="1" t="n">
        <v>8.5</v>
      </c>
      <c r="W48" s="1" t="s">
        <v>101</v>
      </c>
    </row>
    <row r="49" customFormat="false" ht="15" hidden="false" customHeight="false" outlineLevel="0" collapsed="false">
      <c r="A49" s="1" t="n">
        <v>45</v>
      </c>
      <c r="B49" s="16" t="n">
        <v>1114</v>
      </c>
      <c r="C49" s="25" t="s">
        <v>102</v>
      </c>
      <c r="D49" s="1" t="n">
        <f aca="false">(LG26V[[#This Row],[CANTIDAD INICIAL JUEGO ]]+LG26V[[#This Row],[ENTRADAS JUEGOS ]]-LG26V[[#This Row],[SALIDAS JUEGOS]])</f>
        <v>16</v>
      </c>
      <c r="E49" s="1" t="n">
        <f aca="false">(LG26V[[#This Row],[CANTIDAD INICIAL BARRAS]]+LG26V[[#This Row],[ENTRADAS BARRAS]]-LG26V[[#This Row],[SALIDA BARRAS]])</f>
        <v>0</v>
      </c>
      <c r="F49" s="17" t="n">
        <v>280</v>
      </c>
      <c r="G49" s="1" t="n">
        <v>53</v>
      </c>
      <c r="H49" s="1" t="n">
        <v>2</v>
      </c>
      <c r="I49" s="1" t="n">
        <f aca="false">(LG26V[[#This Row],["J" PRECIO VENTA ]]/LG26V[[#This Row],[BARRAS]])</f>
        <v>140</v>
      </c>
      <c r="J49" s="1" t="n">
        <f aca="false">(LG26V[[#This Row],["J"PRECIO COMPRA ]]/LG26V[[#This Row],[BARRAS]])</f>
        <v>26.5</v>
      </c>
      <c r="K49" s="1" t="n">
        <f aca="false">SUMIF(entradas26[CODIGO],LG26V[[#This Row],[CODIGO ]],entradas26[[CAN JUEGOS ]])</f>
        <v>0</v>
      </c>
      <c r="L49" s="1" t="n">
        <f aca="false">SUMIF(entradas26[CODIGO],LG26V[[#This Row],[CODIGO ]],entradas26[CAN BARRAS])</f>
        <v>0</v>
      </c>
      <c r="M49" s="1" t="n">
        <f aca="false">SUMIF(salidas26[[CODIGO ]],LG26V[[#This Row],[CODIGO ]],salidas26[[CANT JUEGOS ]])</f>
        <v>1</v>
      </c>
      <c r="N49" s="1" t="n">
        <f aca="false">SUMIF(salidas26[[CODIGO ]],LG26V[[#This Row],[CODIGO ]],salidas26[CANT BARRAS])</f>
        <v>0</v>
      </c>
      <c r="O49" s="1" t="n">
        <f aca="false">(LG26V[[#This Row],["J"PRECIO COMPRA ]]*LG26V[[#This Row],[STOCK JUEGOS]])</f>
        <v>848</v>
      </c>
      <c r="P49" s="1" t="n">
        <f aca="false">(LG26V[[#This Row],["J" PRECIO VENTA ]]*LG26V[[#This Row],[STOCK JUEGOS]])</f>
        <v>4480</v>
      </c>
      <c r="Q49" s="1" t="n">
        <f aca="false">(LG26V[[#This Row],["B"PRECIO COMPRA]]*LG26V[[#This Row],[STOCK BARRAS]])</f>
        <v>0</v>
      </c>
      <c r="R49" s="1" t="n">
        <f aca="false">(LG26V[[#This Row],["B"PRECIO VENTA ]]*LG26V[[#This Row],[STOCK BARRAS]])</f>
        <v>0</v>
      </c>
      <c r="S49" s="18" t="n">
        <v>17</v>
      </c>
      <c r="T49" s="18"/>
      <c r="U49" s="1" t="n">
        <v>5.35</v>
      </c>
      <c r="W49" s="1" t="s">
        <v>103</v>
      </c>
    </row>
    <row r="50" customFormat="false" ht="15" hidden="false" customHeight="false" outlineLevel="0" collapsed="false">
      <c r="A50" s="1" t="n">
        <v>46</v>
      </c>
      <c r="B50" s="16" t="n">
        <v>1117</v>
      </c>
      <c r="C50" s="25" t="s">
        <v>104</v>
      </c>
      <c r="D50" s="1" t="n">
        <f aca="false">(LG26V[[#This Row],[CANTIDAD INICIAL JUEGO ]]+LG26V[[#This Row],[ENTRADAS JUEGOS ]]-LG26V[[#This Row],[SALIDAS JUEGOS]])</f>
        <v>21</v>
      </c>
      <c r="E50" s="1" t="n">
        <f aca="false">(LG26V[[#This Row],[CANTIDAD INICIAL BARRAS]]+LG26V[[#This Row],[ENTRADAS BARRAS]]-LG26V[[#This Row],[SALIDA BARRAS]])</f>
        <v>0</v>
      </c>
      <c r="F50" s="17" t="n">
        <v>350</v>
      </c>
      <c r="G50" s="1" t="n">
        <v>263</v>
      </c>
      <c r="H50" s="1" t="n">
        <v>10</v>
      </c>
      <c r="I50" s="1" t="n">
        <f aca="false">(LG26V[[#This Row],["J" PRECIO VENTA ]]/LG26V[[#This Row],[BARRAS]])</f>
        <v>35</v>
      </c>
      <c r="J50" s="1" t="n">
        <f aca="false">(LG26V[[#This Row],["J"PRECIO COMPRA ]]/LG26V[[#This Row],[BARRAS]])</f>
        <v>26.3</v>
      </c>
      <c r="K50" s="1" t="n">
        <f aca="false">SUMIF(entradas26[CODIGO],LG26V[[#This Row],[CODIGO ]],entradas26[[CAN JUEGOS ]])</f>
        <v>20</v>
      </c>
      <c r="L50" s="1" t="n">
        <f aca="false">SUMIF(entradas26[CODIGO],LG26V[[#This Row],[CODIGO ]],entradas26[CAN BARRAS])</f>
        <v>0</v>
      </c>
      <c r="M50" s="1" t="n">
        <f aca="false">SUMIF(salidas26[[CODIGO ]],LG26V[[#This Row],[CODIGO ]],salidas26[[CANT JUEGOS ]])</f>
        <v>5</v>
      </c>
      <c r="N50" s="1" t="n">
        <f aca="false">SUMIF(salidas26[[CODIGO ]],LG26V[[#This Row],[CODIGO ]],salidas26[CANT BARRAS])</f>
        <v>0</v>
      </c>
      <c r="O50" s="1" t="n">
        <f aca="false">(LG26V[[#This Row],["J"PRECIO COMPRA ]]*LG26V[[#This Row],[STOCK JUEGOS]])</f>
        <v>5523</v>
      </c>
      <c r="P50" s="1" t="n">
        <f aca="false">(LG26V[[#This Row],["J" PRECIO VENTA ]]*LG26V[[#This Row],[STOCK JUEGOS]])</f>
        <v>7350</v>
      </c>
      <c r="Q50" s="1" t="n">
        <f aca="false">(LG26V[[#This Row],["B"PRECIO COMPRA]]*LG26V[[#This Row],[STOCK BARRAS]])</f>
        <v>0</v>
      </c>
      <c r="R50" s="1" t="n">
        <f aca="false">(LG26V[[#This Row],["B"PRECIO VENTA ]]*LG26V[[#This Row],[STOCK BARRAS]])</f>
        <v>0</v>
      </c>
      <c r="S50" s="18" t="n">
        <v>6</v>
      </c>
      <c r="T50" s="18"/>
      <c r="U50" s="1" t="n">
        <v>9.45</v>
      </c>
      <c r="W50" s="1" t="s">
        <v>105</v>
      </c>
    </row>
    <row r="51" customFormat="false" ht="15" hidden="false" customHeight="false" outlineLevel="0" collapsed="false">
      <c r="A51" s="1" t="n">
        <v>47</v>
      </c>
      <c r="B51" s="16" t="n">
        <v>1120</v>
      </c>
      <c r="C51" s="25" t="s">
        <v>106</v>
      </c>
      <c r="D51" s="1" t="n">
        <f aca="false">(LG26V[[#This Row],[CANTIDAD INICIAL JUEGO ]]+LG26V[[#This Row],[ENTRADAS JUEGOS ]]-LG26V[[#This Row],[SALIDAS JUEGOS]])</f>
        <v>15</v>
      </c>
      <c r="E51" s="1" t="n">
        <f aca="false">(LG26V[[#This Row],[CANTIDAD INICIAL BARRAS]]+LG26V[[#This Row],[ENTRADAS BARRAS]]-LG26V[[#This Row],[SALIDA BARRAS]])</f>
        <v>1</v>
      </c>
      <c r="F51" s="17" t="n">
        <v>220</v>
      </c>
      <c r="G51" s="1" t="n">
        <v>84</v>
      </c>
      <c r="H51" s="1" t="n">
        <v>2</v>
      </c>
      <c r="I51" s="1" t="n">
        <f aca="false">(LG26V[[#This Row],["J" PRECIO VENTA ]]/LG26V[[#This Row],[BARRAS]])</f>
        <v>110</v>
      </c>
      <c r="J51" s="1" t="n">
        <f aca="false">(LG26V[[#This Row],["J"PRECIO COMPRA ]]/LG26V[[#This Row],[BARRAS]])</f>
        <v>42</v>
      </c>
      <c r="K51" s="1" t="n">
        <f aca="false">SUMIF(entradas26[CODIGO],LG26V[[#This Row],[CODIGO ]],entradas26[[CAN JUEGOS ]])</f>
        <v>0</v>
      </c>
      <c r="L51" s="1" t="n">
        <f aca="false">SUMIF(entradas26[CODIGO],LG26V[[#This Row],[CODIGO ]],entradas26[CAN BARRAS])</f>
        <v>0</v>
      </c>
      <c r="M51" s="1" t="n">
        <f aca="false">SUMIF(salidas26[[CODIGO ]],LG26V[[#This Row],[CODIGO ]],salidas26[[CANT JUEGOS ]])</f>
        <v>2</v>
      </c>
      <c r="N51" s="1" t="n">
        <f aca="false">SUMIF(salidas26[[CODIGO ]],LG26V[[#This Row],[CODIGO ]],salidas26[CANT BARRAS])</f>
        <v>0</v>
      </c>
      <c r="O51" s="1" t="n">
        <f aca="false">(LG26V[[#This Row],["J"PRECIO COMPRA ]]*LG26V[[#This Row],[STOCK JUEGOS]])</f>
        <v>1260</v>
      </c>
      <c r="P51" s="1" t="n">
        <f aca="false">(LG26V[[#This Row],["J" PRECIO VENTA ]]*LG26V[[#This Row],[STOCK JUEGOS]])</f>
        <v>3300</v>
      </c>
      <c r="Q51" s="1" t="n">
        <f aca="false">(LG26V[[#This Row],["B"PRECIO COMPRA]]*LG26V[[#This Row],[STOCK BARRAS]])</f>
        <v>42</v>
      </c>
      <c r="R51" s="1" t="n">
        <f aca="false">(LG26V[[#This Row],["B"PRECIO VENTA ]]*LG26V[[#This Row],[STOCK BARRAS]])</f>
        <v>110</v>
      </c>
      <c r="S51" s="18" t="n">
        <v>17</v>
      </c>
      <c r="T51" s="18" t="n">
        <v>1</v>
      </c>
      <c r="U51" s="1" t="n">
        <v>3.8</v>
      </c>
      <c r="W51" s="1" t="s">
        <v>107</v>
      </c>
    </row>
    <row r="52" customFormat="false" ht="15" hidden="false" customHeight="false" outlineLevel="0" collapsed="false">
      <c r="A52" s="1" t="n">
        <v>48</v>
      </c>
      <c r="B52" s="16" t="n">
        <v>1121</v>
      </c>
      <c r="C52" s="25" t="s">
        <v>108</v>
      </c>
      <c r="D52" s="1" t="n">
        <f aca="false">(LG26V[[#This Row],[CANTIDAD INICIAL JUEGO ]]+LG26V[[#This Row],[ENTRADAS JUEGOS ]]-LG26V[[#This Row],[SALIDAS JUEGOS]])</f>
        <v>16</v>
      </c>
      <c r="E52" s="1" t="n">
        <f aca="false">(LG26V[[#This Row],[CANTIDAD INICIAL BARRAS]]+LG26V[[#This Row],[ENTRADAS BARRAS]]-LG26V[[#This Row],[SALIDA BARRAS]])</f>
        <v>0</v>
      </c>
      <c r="F52" s="17" t="n">
        <v>300</v>
      </c>
      <c r="G52" s="1" t="n">
        <v>117</v>
      </c>
      <c r="H52" s="1" t="n">
        <v>2</v>
      </c>
      <c r="I52" s="1" t="n">
        <f aca="false">(LG26V[[#This Row],["J" PRECIO VENTA ]]/LG26V[[#This Row],[BARRAS]])</f>
        <v>150</v>
      </c>
      <c r="J52" s="1" t="n">
        <f aca="false">(LG26V[[#This Row],["J"PRECIO COMPRA ]]/LG26V[[#This Row],[BARRAS]])</f>
        <v>58.5</v>
      </c>
      <c r="K52" s="1" t="n">
        <f aca="false">SUMIF(entradas26[CODIGO],LG26V[[#This Row],[CODIGO ]],entradas26[[CAN JUEGOS ]])</f>
        <v>0</v>
      </c>
      <c r="L52" s="1" t="n">
        <f aca="false">SUMIF(entradas26[CODIGO],LG26V[[#This Row],[CODIGO ]],entradas26[CAN BARRAS])</f>
        <v>0</v>
      </c>
      <c r="M52" s="1" t="n">
        <f aca="false">SUMIF(salidas26[[CODIGO ]],LG26V[[#This Row],[CODIGO ]],salidas26[[CANT JUEGOS ]])</f>
        <v>3</v>
      </c>
      <c r="N52" s="1" t="n">
        <f aca="false">SUMIF(salidas26[[CODIGO ]],LG26V[[#This Row],[CODIGO ]],salidas26[CANT BARRAS])</f>
        <v>0</v>
      </c>
      <c r="O52" s="1" t="n">
        <f aca="false">(LG26V[[#This Row],["J"PRECIO COMPRA ]]*LG26V[[#This Row],[STOCK JUEGOS]])</f>
        <v>1872</v>
      </c>
      <c r="P52" s="1" t="n">
        <f aca="false">(LG26V[[#This Row],["J" PRECIO VENTA ]]*LG26V[[#This Row],[STOCK JUEGOS]])</f>
        <v>4800</v>
      </c>
      <c r="Q52" s="1" t="n">
        <f aca="false">(LG26V[[#This Row],["B"PRECIO COMPRA]]*LG26V[[#This Row],[STOCK BARRAS]])</f>
        <v>0</v>
      </c>
      <c r="R52" s="1" t="n">
        <f aca="false">(LG26V[[#This Row],["B"PRECIO VENTA ]]*LG26V[[#This Row],[STOCK BARRAS]])</f>
        <v>0</v>
      </c>
      <c r="S52" s="18" t="n">
        <v>19</v>
      </c>
      <c r="T52" s="18"/>
      <c r="U52" s="1" t="n">
        <v>5.3</v>
      </c>
    </row>
    <row r="53" customFormat="false" ht="15" hidden="false" customHeight="false" outlineLevel="0" collapsed="false">
      <c r="A53" s="1" t="n">
        <v>49</v>
      </c>
      <c r="B53" s="16" t="n">
        <v>1123</v>
      </c>
      <c r="C53" s="26" t="s">
        <v>109</v>
      </c>
      <c r="D53" s="1" t="n">
        <f aca="false">(LG26V[[#This Row],[CANTIDAD INICIAL JUEGO ]]+LG26V[[#This Row],[ENTRADAS JUEGOS ]]-LG26V[[#This Row],[SALIDAS JUEGOS]])</f>
        <v>16</v>
      </c>
      <c r="E53" s="1" t="n">
        <f aca="false">(LG26V[[#This Row],[CANTIDAD INICIAL BARRAS]]+LG26V[[#This Row],[ENTRADAS BARRAS]]-LG26V[[#This Row],[SALIDA BARRAS]])</f>
        <v>0</v>
      </c>
      <c r="F53" s="17" t="n">
        <v>320</v>
      </c>
      <c r="G53" s="1" t="n">
        <v>69</v>
      </c>
      <c r="H53" s="1" t="n">
        <v>2</v>
      </c>
      <c r="I53" s="1" t="n">
        <f aca="false">(LG26V[[#This Row],["J" PRECIO VENTA ]]/LG26V[[#This Row],[BARRAS]])</f>
        <v>160</v>
      </c>
      <c r="J53" s="1" t="n">
        <f aca="false">(LG26V[[#This Row],["J"PRECIO COMPRA ]]/LG26V[[#This Row],[BARRAS]])</f>
        <v>34.5</v>
      </c>
      <c r="K53" s="1" t="n">
        <f aca="false">SUMIF(entradas26[CODIGO],LG26V[[#This Row],[CODIGO ]],entradas26[[CAN JUEGOS ]])</f>
        <v>0</v>
      </c>
      <c r="L53" s="1" t="n">
        <f aca="false">SUMIF(entradas26[CODIGO],LG26V[[#This Row],[CODIGO ]],entradas26[CAN BARRAS])</f>
        <v>0</v>
      </c>
      <c r="M53" s="1" t="n">
        <f aca="false">SUMIF(salidas26[[CODIGO ]],LG26V[[#This Row],[CODIGO ]],salidas26[[CANT JUEGOS ]])</f>
        <v>3</v>
      </c>
      <c r="N53" s="1" t="n">
        <f aca="false">SUMIF(salidas26[[CODIGO ]],LG26V[[#This Row],[CODIGO ]],salidas26[CANT BARRAS])</f>
        <v>0</v>
      </c>
      <c r="O53" s="1" t="n">
        <f aca="false">(LG26V[[#This Row],["J"PRECIO COMPRA ]]*LG26V[[#This Row],[STOCK JUEGOS]])</f>
        <v>1104</v>
      </c>
      <c r="P53" s="1" t="n">
        <f aca="false">(LG26V[[#This Row],["J" PRECIO VENTA ]]*LG26V[[#This Row],[STOCK JUEGOS]])</f>
        <v>5120</v>
      </c>
      <c r="Q53" s="1" t="n">
        <f aca="false">(LG26V[[#This Row],["B"PRECIO COMPRA]]*LG26V[[#This Row],[STOCK BARRAS]])</f>
        <v>0</v>
      </c>
      <c r="R53" s="1" t="n">
        <f aca="false">(LG26V[[#This Row],["B"PRECIO VENTA ]]*LG26V[[#This Row],[STOCK BARRAS]])</f>
        <v>0</v>
      </c>
      <c r="S53" s="18" t="n">
        <v>19</v>
      </c>
      <c r="T53" s="18"/>
      <c r="U53" s="1" t="n">
        <v>4.9</v>
      </c>
    </row>
    <row r="54" customFormat="false" ht="15" hidden="false" customHeight="false" outlineLevel="0" collapsed="false">
      <c r="A54" s="1" t="n">
        <v>50</v>
      </c>
      <c r="B54" s="16" t="n">
        <v>1126</v>
      </c>
      <c r="C54" s="26" t="s">
        <v>110</v>
      </c>
      <c r="D54" s="1" t="n">
        <f aca="false">(LG26V[[#This Row],[CANTIDAD INICIAL JUEGO ]]+LG26V[[#This Row],[ENTRADAS JUEGOS ]]-LG26V[[#This Row],[SALIDAS JUEGOS]])</f>
        <v>21</v>
      </c>
      <c r="E54" s="1" t="n">
        <f aca="false">(LG26V[[#This Row],[CANTIDAD INICIAL BARRAS]]+LG26V[[#This Row],[ENTRADAS BARRAS]]-LG26V[[#This Row],[SALIDA BARRAS]])</f>
        <v>0</v>
      </c>
      <c r="F54" s="17" t="n">
        <v>260</v>
      </c>
      <c r="G54" s="1" t="n">
        <v>70</v>
      </c>
      <c r="H54" s="1" t="n">
        <v>2</v>
      </c>
      <c r="I54" s="1" t="n">
        <f aca="false">(LG26V[[#This Row],["J" PRECIO VENTA ]]/LG26V[[#This Row],[BARRAS]])</f>
        <v>130</v>
      </c>
      <c r="J54" s="1" t="n">
        <f aca="false">(LG26V[[#This Row],["J"PRECIO COMPRA ]]/LG26V[[#This Row],[BARRAS]])</f>
        <v>35</v>
      </c>
      <c r="K54" s="1" t="n">
        <f aca="false">SUMIF(entradas26[CODIGO],LG26V[[#This Row],[CODIGO ]],entradas26[[CAN JUEGOS ]])</f>
        <v>20</v>
      </c>
      <c r="L54" s="1" t="n">
        <f aca="false">SUMIF(entradas26[CODIGO],LG26V[[#This Row],[CODIGO ]],entradas26[CAN BARRAS])</f>
        <v>0</v>
      </c>
      <c r="M54" s="1" t="n">
        <f aca="false">SUMIF(salidas26[[CODIGO ]],LG26V[[#This Row],[CODIGO ]],salidas26[[CANT JUEGOS ]])</f>
        <v>2</v>
      </c>
      <c r="N54" s="1" t="n">
        <f aca="false">SUMIF(salidas26[[CODIGO ]],LG26V[[#This Row],[CODIGO ]],salidas26[CANT BARRAS])</f>
        <v>0</v>
      </c>
      <c r="O54" s="1" t="n">
        <f aca="false">(LG26V[[#This Row],["J"PRECIO COMPRA ]]*LG26V[[#This Row],[STOCK JUEGOS]])</f>
        <v>1470</v>
      </c>
      <c r="P54" s="1" t="n">
        <f aca="false">(LG26V[[#This Row],["J" PRECIO VENTA ]]*LG26V[[#This Row],[STOCK JUEGOS]])</f>
        <v>5460</v>
      </c>
      <c r="Q54" s="1" t="n">
        <f aca="false">(LG26V[[#This Row],["B"PRECIO COMPRA]]*LG26V[[#This Row],[STOCK BARRAS]])</f>
        <v>0</v>
      </c>
      <c r="R54" s="1" t="n">
        <f aca="false">(LG26V[[#This Row],["B"PRECIO VENTA ]]*LG26V[[#This Row],[STOCK BARRAS]])</f>
        <v>0</v>
      </c>
      <c r="S54" s="18" t="n">
        <v>3</v>
      </c>
      <c r="T54" s="18"/>
      <c r="U54" s="1" t="n">
        <v>304</v>
      </c>
      <c r="W54" s="1" t="s">
        <v>111</v>
      </c>
    </row>
    <row r="55" customFormat="false" ht="15" hidden="false" customHeight="false" outlineLevel="0" collapsed="false">
      <c r="A55" s="1" t="n">
        <v>51</v>
      </c>
      <c r="B55" s="16" t="n">
        <v>1129</v>
      </c>
      <c r="C55" s="26" t="s">
        <v>112</v>
      </c>
      <c r="D55" s="1" t="n">
        <f aca="false">(LG26V[[#This Row],[CANTIDAD INICIAL JUEGO ]]+LG26V[[#This Row],[ENTRADAS JUEGOS ]]-LG26V[[#This Row],[SALIDAS JUEGOS]])</f>
        <v>18</v>
      </c>
      <c r="E55" s="1" t="n">
        <f aca="false">(LG26V[[#This Row],[CANTIDAD INICIAL BARRAS]]+LG26V[[#This Row],[ENTRADAS BARRAS]]-LG26V[[#This Row],[SALIDA BARRAS]])</f>
        <v>0</v>
      </c>
      <c r="F55" s="17" t="n">
        <v>260</v>
      </c>
      <c r="G55" s="1" t="n">
        <v>42</v>
      </c>
      <c r="H55" s="1" t="n">
        <v>2</v>
      </c>
      <c r="I55" s="1" t="n">
        <f aca="false">(LG26V[[#This Row],["J" PRECIO VENTA ]]/LG26V[[#This Row],[BARRAS]])</f>
        <v>130</v>
      </c>
      <c r="J55" s="1" t="n">
        <f aca="false">(LG26V[[#This Row],["J"PRECIO COMPRA ]]/LG26V[[#This Row],[BARRAS]])</f>
        <v>21</v>
      </c>
      <c r="K55" s="1" t="n">
        <f aca="false">SUMIF(entradas26[CODIGO],LG26V[[#This Row],[CODIGO ]],entradas26[[CAN JUEGOS ]])</f>
        <v>0</v>
      </c>
      <c r="L55" s="1" t="n">
        <f aca="false">SUMIF(entradas26[CODIGO],LG26V[[#This Row],[CODIGO ]],entradas26[CAN BARRAS])</f>
        <v>0</v>
      </c>
      <c r="M55" s="1" t="n">
        <f aca="false">SUMIF(salidas26[[CODIGO ]],LG26V[[#This Row],[CODIGO ]],salidas26[[CANT JUEGOS ]])</f>
        <v>1</v>
      </c>
      <c r="N55" s="1" t="n">
        <f aca="false">SUMIF(salidas26[[CODIGO ]],LG26V[[#This Row],[CODIGO ]],salidas26[CANT BARRAS])</f>
        <v>0</v>
      </c>
      <c r="O55" s="1" t="n">
        <f aca="false">(LG26V[[#This Row],["J"PRECIO COMPRA ]]*LG26V[[#This Row],[STOCK JUEGOS]])</f>
        <v>756</v>
      </c>
      <c r="P55" s="1" t="n">
        <f aca="false">(LG26V[[#This Row],["J" PRECIO VENTA ]]*LG26V[[#This Row],[STOCK JUEGOS]])</f>
        <v>4680</v>
      </c>
      <c r="Q55" s="1" t="n">
        <f aca="false">(LG26V[[#This Row],["B"PRECIO COMPRA]]*LG26V[[#This Row],[STOCK BARRAS]])</f>
        <v>0</v>
      </c>
      <c r="R55" s="1" t="n">
        <f aca="false">(LG26V[[#This Row],["B"PRECIO VENTA ]]*LG26V[[#This Row],[STOCK BARRAS]])</f>
        <v>0</v>
      </c>
      <c r="S55" s="18" t="n">
        <v>19</v>
      </c>
      <c r="T55" s="18"/>
      <c r="U55" s="1" t="n">
        <v>4.25</v>
      </c>
      <c r="W55" s="1" t="s">
        <v>113</v>
      </c>
    </row>
    <row r="56" customFormat="false" ht="13.5" hidden="false" customHeight="true" outlineLevel="0" collapsed="false">
      <c r="A56" s="1" t="n">
        <v>52</v>
      </c>
      <c r="B56" s="16" t="n">
        <v>1132</v>
      </c>
      <c r="C56" s="26" t="s">
        <v>114</v>
      </c>
      <c r="D56" s="1" t="n">
        <f aca="false">(LG26V[[#This Row],[CANTIDAD INICIAL JUEGO ]]+LG26V[[#This Row],[ENTRADAS JUEGOS ]]-LG26V[[#This Row],[SALIDAS JUEGOS]])</f>
        <v>20</v>
      </c>
      <c r="E56" s="1" t="n">
        <f aca="false">(LG26V[[#This Row],[CANTIDAD INICIAL BARRAS]]+LG26V[[#This Row],[ENTRADAS BARRAS]]-LG26V[[#This Row],[SALIDA BARRAS]])</f>
        <v>0</v>
      </c>
      <c r="F56" s="17" t="n">
        <v>260</v>
      </c>
      <c r="G56" s="1" t="n">
        <v>124</v>
      </c>
      <c r="H56" s="1" t="n">
        <v>2</v>
      </c>
      <c r="I56" s="1" t="n">
        <f aca="false">(LG26V[[#This Row],["J" PRECIO VENTA ]]/LG26V[[#This Row],[BARRAS]])</f>
        <v>130</v>
      </c>
      <c r="J56" s="1" t="n">
        <f aca="false">(LG26V[[#This Row],["J"PRECIO COMPRA ]]/LG26V[[#This Row],[BARRAS]])</f>
        <v>62</v>
      </c>
      <c r="K56" s="1" t="n">
        <f aca="false">SUMIF(entradas26[CODIGO],LG26V[[#This Row],[CODIGO ]],entradas26[[CAN JUEGOS ]])</f>
        <v>0</v>
      </c>
      <c r="L56" s="1" t="n">
        <f aca="false">SUMIF(entradas26[CODIGO],LG26V[[#This Row],[CODIGO ]],entradas26[CAN BARRAS])</f>
        <v>0</v>
      </c>
      <c r="M56" s="1" t="n">
        <f aca="false">SUMIF(salidas26[[CODIGO ]],LG26V[[#This Row],[CODIGO ]],salidas26[[CANT JUEGOS ]])</f>
        <v>6</v>
      </c>
      <c r="N56" s="1" t="n">
        <f aca="false">SUMIF(salidas26[[CODIGO ]],LG26V[[#This Row],[CODIGO ]],salidas26[CANT BARRAS])</f>
        <v>0</v>
      </c>
      <c r="O56" s="1" t="n">
        <f aca="false">(LG26V[[#This Row],["J"PRECIO COMPRA ]]*LG26V[[#This Row],[STOCK JUEGOS]])</f>
        <v>2480</v>
      </c>
      <c r="P56" s="1" t="n">
        <f aca="false">(LG26V[[#This Row],["J" PRECIO VENTA ]]*LG26V[[#This Row],[STOCK JUEGOS]])</f>
        <v>5200</v>
      </c>
      <c r="Q56" s="1" t="n">
        <f aca="false">(LG26V[[#This Row],["B"PRECIO COMPRA]]*LG26V[[#This Row],[STOCK BARRAS]])</f>
        <v>0</v>
      </c>
      <c r="R56" s="1" t="n">
        <f aca="false">(LG26V[[#This Row],["B"PRECIO VENTA ]]*LG26V[[#This Row],[STOCK BARRAS]])</f>
        <v>0</v>
      </c>
      <c r="S56" s="18" t="n">
        <v>26</v>
      </c>
      <c r="T56" s="18"/>
      <c r="U56" s="1" t="n">
        <v>6.2</v>
      </c>
      <c r="W56" s="1" t="s">
        <v>115</v>
      </c>
    </row>
    <row r="57" customFormat="false" ht="15" hidden="false" customHeight="false" outlineLevel="0" collapsed="false">
      <c r="A57" s="1" t="n">
        <v>53</v>
      </c>
      <c r="B57" s="16" t="n">
        <v>1135</v>
      </c>
      <c r="C57" s="16" t="s">
        <v>116</v>
      </c>
      <c r="D57" s="1" t="n">
        <f aca="false">(LG26V[[#This Row],[CANTIDAD INICIAL JUEGO ]]+LG26V[[#This Row],[ENTRADAS JUEGOS ]]-LG26V[[#This Row],[SALIDAS JUEGOS]])</f>
        <v>23</v>
      </c>
      <c r="E57" s="1" t="n">
        <f aca="false">(LG26V[[#This Row],[CANTIDAD INICIAL BARRAS]]+LG26V[[#This Row],[ENTRADAS BARRAS]]-LG26V[[#This Row],[SALIDA BARRAS]])</f>
        <v>0</v>
      </c>
      <c r="F57" s="17" t="n">
        <v>380</v>
      </c>
      <c r="G57" s="1" t="n">
        <v>261</v>
      </c>
      <c r="H57" s="1" t="n">
        <v>14</v>
      </c>
      <c r="I57" s="1" t="n">
        <f aca="false">(LG26V[[#This Row],["J" PRECIO VENTA ]]/LG26V[[#This Row],[BARRAS]])</f>
        <v>27.1428571428571</v>
      </c>
      <c r="J57" s="1" t="n">
        <f aca="false">(LG26V[[#This Row],["J"PRECIO COMPRA ]]/LG26V[[#This Row],[BARRAS]])</f>
        <v>18.6428571428571</v>
      </c>
      <c r="K57" s="1" t="n">
        <f aca="false">SUMIF(entradas26[CODIGO],LG26V[[#This Row],[CODIGO ]],entradas26[[CAN JUEGOS ]])</f>
        <v>0</v>
      </c>
      <c r="L57" s="1" t="n">
        <f aca="false">SUMIF(entradas26[CODIGO],LG26V[[#This Row],[CODIGO ]],entradas26[CAN BARRAS])</f>
        <v>0</v>
      </c>
      <c r="M57" s="1" t="n">
        <f aca="false">SUMIF(salidas26[[CODIGO ]],LG26V[[#This Row],[CODIGO ]],salidas26[[CANT JUEGOS ]])</f>
        <v>0</v>
      </c>
      <c r="N57" s="1" t="n">
        <f aca="false">SUMIF(salidas26[[CODIGO ]],LG26V[[#This Row],[CODIGO ]],salidas26[CANT BARRAS])</f>
        <v>0</v>
      </c>
      <c r="O57" s="1" t="n">
        <f aca="false">(LG26V[[#This Row],["J"PRECIO COMPRA ]]*LG26V[[#This Row],[STOCK JUEGOS]])</f>
        <v>6003</v>
      </c>
      <c r="P57" s="1" t="n">
        <f aca="false">(LG26V[[#This Row],["J" PRECIO VENTA ]]*LG26V[[#This Row],[STOCK JUEGOS]])</f>
        <v>8740</v>
      </c>
      <c r="Q57" s="1" t="n">
        <f aca="false">(LG26V[[#This Row],["B"PRECIO COMPRA]]*LG26V[[#This Row],[STOCK BARRAS]])</f>
        <v>0</v>
      </c>
      <c r="R57" s="1" t="n">
        <f aca="false">(LG26V[[#This Row],["B"PRECIO VENTA ]]*LG26V[[#This Row],[STOCK BARRAS]])</f>
        <v>0</v>
      </c>
      <c r="S57" s="18" t="n">
        <v>23</v>
      </c>
      <c r="T57" s="18"/>
      <c r="U57" s="1" t="n">
        <v>12</v>
      </c>
      <c r="W57" s="1" t="s">
        <v>117</v>
      </c>
    </row>
    <row r="58" customFormat="false" ht="15" hidden="false" customHeight="false" outlineLevel="0" collapsed="false">
      <c r="A58" s="1" t="n">
        <v>54</v>
      </c>
      <c r="B58" s="16" t="n">
        <v>1138</v>
      </c>
      <c r="C58" s="16" t="s">
        <v>118</v>
      </c>
      <c r="D58" s="1" t="n">
        <f aca="false">(LG26V[[#This Row],[CANTIDAD INICIAL JUEGO ]]+LG26V[[#This Row],[ENTRADAS JUEGOS ]]-LG26V[[#This Row],[SALIDAS JUEGOS]])</f>
        <v>13</v>
      </c>
      <c r="E58" s="1" t="n">
        <f aca="false">(LG26V[[#This Row],[CANTIDAD INICIAL BARRAS]]+LG26V[[#This Row],[ENTRADAS BARRAS]]-LG26V[[#This Row],[SALIDA BARRAS]])</f>
        <v>0</v>
      </c>
      <c r="F58" s="17" t="n">
        <v>280</v>
      </c>
      <c r="G58" s="1" t="n">
        <v>196</v>
      </c>
      <c r="H58" s="1" t="n">
        <v>10</v>
      </c>
      <c r="I58" s="1" t="n">
        <f aca="false">(LG26V[[#This Row],["J" PRECIO VENTA ]]/LG26V[[#This Row],[BARRAS]])</f>
        <v>28</v>
      </c>
      <c r="J58" s="1" t="n">
        <f aca="false">(LG26V[[#This Row],["J"PRECIO COMPRA ]]/LG26V[[#This Row],[BARRAS]])</f>
        <v>19.6</v>
      </c>
      <c r="K58" s="1" t="n">
        <f aca="false">SUMIF(entradas26[CODIGO],LG26V[[#This Row],[CODIGO ]],entradas26[[CAN JUEGOS ]])</f>
        <v>0</v>
      </c>
      <c r="L58" s="1" t="n">
        <f aca="false">SUMIF(entradas26[CODIGO],LG26V[[#This Row],[CODIGO ]],entradas26[CAN BARRAS])</f>
        <v>0</v>
      </c>
      <c r="M58" s="1" t="n">
        <f aca="false">SUMIF(salidas26[[CODIGO ]],LG26V[[#This Row],[CODIGO ]],salidas26[[CANT JUEGOS ]])</f>
        <v>4</v>
      </c>
      <c r="N58" s="1" t="n">
        <f aca="false">SUMIF(salidas26[[CODIGO ]],LG26V[[#This Row],[CODIGO ]],salidas26[CANT BARRAS])</f>
        <v>0</v>
      </c>
      <c r="O58" s="1" t="n">
        <f aca="false">(LG26V[[#This Row],["J"PRECIO COMPRA ]]*LG26V[[#This Row],[STOCK JUEGOS]])</f>
        <v>2548</v>
      </c>
      <c r="P58" s="1" t="n">
        <f aca="false">(LG26V[[#This Row],["J" PRECIO VENTA ]]*LG26V[[#This Row],[STOCK JUEGOS]])</f>
        <v>3640</v>
      </c>
      <c r="Q58" s="1" t="n">
        <f aca="false">(LG26V[[#This Row],["B"PRECIO COMPRA]]*LG26V[[#This Row],[STOCK BARRAS]])</f>
        <v>0</v>
      </c>
      <c r="R58" s="1" t="n">
        <f aca="false">(LG26V[[#This Row],["B"PRECIO VENTA ]]*LG26V[[#This Row],[STOCK BARRAS]])</f>
        <v>0</v>
      </c>
      <c r="S58" s="18" t="n">
        <v>17</v>
      </c>
      <c r="T58" s="18"/>
      <c r="U58" s="1" t="n">
        <v>6.3</v>
      </c>
      <c r="W58" s="1" t="s">
        <v>119</v>
      </c>
    </row>
    <row r="59" customFormat="false" ht="15" hidden="false" customHeight="false" outlineLevel="0" collapsed="false">
      <c r="A59" s="1" t="n">
        <v>55</v>
      </c>
      <c r="B59" s="16" t="n">
        <v>1139</v>
      </c>
      <c r="C59" s="16" t="s">
        <v>120</v>
      </c>
      <c r="D59" s="1" t="n">
        <f aca="false">(LG26V[[#This Row],[CANTIDAD INICIAL JUEGO ]]+LG26V[[#This Row],[ENTRADAS JUEGOS ]]-LG26V[[#This Row],[SALIDAS JUEGOS]])</f>
        <v>12</v>
      </c>
      <c r="E59" s="1" t="n">
        <f aca="false">(LG26V[[#This Row],[CANTIDAD INICIAL BARRAS]]+LG26V[[#This Row],[ENTRADAS BARRAS]]-LG26V[[#This Row],[SALIDA BARRAS]])</f>
        <v>0</v>
      </c>
      <c r="F59" s="17" t="n">
        <v>320</v>
      </c>
      <c r="G59" s="1" t="n">
        <v>151</v>
      </c>
      <c r="H59" s="1" t="n">
        <v>4</v>
      </c>
      <c r="I59" s="1" t="n">
        <f aca="false">(LG26V[[#This Row],["J" PRECIO VENTA ]]/LG26V[[#This Row],[BARRAS]])</f>
        <v>80</v>
      </c>
      <c r="J59" s="1" t="n">
        <f aca="false">(LG26V[[#This Row],["J"PRECIO COMPRA ]]/LG26V[[#This Row],[BARRAS]])</f>
        <v>37.75</v>
      </c>
      <c r="K59" s="1" t="n">
        <f aca="false">SUMIF(entradas26[CODIGO],LG26V[[#This Row],[CODIGO ]],entradas26[[CAN JUEGOS ]])</f>
        <v>0</v>
      </c>
      <c r="L59" s="1" t="n">
        <f aca="false">SUMIF(entradas26[CODIGO],LG26V[[#This Row],[CODIGO ]],entradas26[CAN BARRAS])</f>
        <v>0</v>
      </c>
      <c r="M59" s="1" t="n">
        <f aca="false">SUMIF(salidas26[[CODIGO ]],LG26V[[#This Row],[CODIGO ]],salidas26[[CANT JUEGOS ]])</f>
        <v>3</v>
      </c>
      <c r="N59" s="1" t="n">
        <f aca="false">SUMIF(salidas26[[CODIGO ]],LG26V[[#This Row],[CODIGO ]],salidas26[CANT BARRAS])</f>
        <v>0</v>
      </c>
      <c r="O59" s="1" t="n">
        <f aca="false">(LG26V[[#This Row],["J"PRECIO COMPRA ]]*LG26V[[#This Row],[STOCK JUEGOS]])</f>
        <v>1812</v>
      </c>
      <c r="P59" s="1" t="n">
        <f aca="false">(LG26V[[#This Row],["J" PRECIO VENTA ]]*LG26V[[#This Row],[STOCK JUEGOS]])</f>
        <v>3840</v>
      </c>
      <c r="Q59" s="1" t="n">
        <f aca="false">(LG26V[[#This Row],["B"PRECIO COMPRA]]*LG26V[[#This Row],[STOCK BARRAS]])</f>
        <v>0</v>
      </c>
      <c r="R59" s="1" t="n">
        <f aca="false">(LG26V[[#This Row],["B"PRECIO VENTA ]]*LG26V[[#This Row],[STOCK BARRAS]])</f>
        <v>0</v>
      </c>
      <c r="S59" s="18" t="n">
        <v>15</v>
      </c>
      <c r="T59" s="18"/>
      <c r="U59" s="1" t="n">
        <v>6.85</v>
      </c>
      <c r="W59" s="1" t="s">
        <v>121</v>
      </c>
    </row>
    <row r="60" customFormat="false" ht="15" hidden="false" customHeight="false" outlineLevel="0" collapsed="false">
      <c r="A60" s="1" t="n">
        <v>56</v>
      </c>
      <c r="B60" s="16" t="n">
        <v>1141</v>
      </c>
      <c r="C60" s="16" t="s">
        <v>122</v>
      </c>
      <c r="D60" s="1" t="n">
        <f aca="false">(LG26V[[#This Row],[CANTIDAD INICIAL JUEGO ]]+LG26V[[#This Row],[ENTRADAS JUEGOS ]]-LG26V[[#This Row],[SALIDAS JUEGOS]])</f>
        <v>2</v>
      </c>
      <c r="E60" s="1" t="n">
        <f aca="false">(LG26V[[#This Row],[CANTIDAD INICIAL BARRAS]]+LG26V[[#This Row],[ENTRADAS BARRAS]]-LG26V[[#This Row],[SALIDA BARRAS]])</f>
        <v>11</v>
      </c>
      <c r="F60" s="17" t="n">
        <v>450</v>
      </c>
      <c r="G60" s="1" t="n">
        <v>244</v>
      </c>
      <c r="H60" s="1" t="n">
        <v>12</v>
      </c>
      <c r="I60" s="1" t="n">
        <f aca="false">(LG26V[[#This Row],["J" PRECIO VENTA ]]/LG26V[[#This Row],[BARRAS]])</f>
        <v>37.5</v>
      </c>
      <c r="J60" s="1" t="n">
        <f aca="false">(LG26V[[#This Row],["J"PRECIO COMPRA ]]/LG26V[[#This Row],[BARRAS]])</f>
        <v>20.3333333333333</v>
      </c>
      <c r="K60" s="1" t="n">
        <f aca="false">SUMIF(entradas26[CODIGO],LG26V[[#This Row],[CODIGO ]],entradas26[[CAN JUEGOS ]])</f>
        <v>0</v>
      </c>
      <c r="L60" s="1" t="n">
        <f aca="false">SUMIF(entradas26[CODIGO],LG26V[[#This Row],[CODIGO ]],entradas26[CAN BARRAS])</f>
        <v>0</v>
      </c>
      <c r="M60" s="1" t="n">
        <f aca="false">SUMIF(salidas26[[CODIGO ]],LG26V[[#This Row],[CODIGO ]],salidas26[[CANT JUEGOS ]])</f>
        <v>3</v>
      </c>
      <c r="N60" s="1" t="n">
        <f aca="false">SUMIF(salidas26[[CODIGO ]],LG26V[[#This Row],[CODIGO ]],salidas26[CANT BARRAS])</f>
        <v>0</v>
      </c>
      <c r="O60" s="1" t="n">
        <f aca="false">(LG26V[[#This Row],["J"PRECIO COMPRA ]]*LG26V[[#This Row],[STOCK JUEGOS]])</f>
        <v>488</v>
      </c>
      <c r="P60" s="1" t="n">
        <f aca="false">(LG26V[[#This Row],["J" PRECIO VENTA ]]*LG26V[[#This Row],[STOCK JUEGOS]])</f>
        <v>900</v>
      </c>
      <c r="Q60" s="1" t="n">
        <f aca="false">(LG26V[[#This Row],["B"PRECIO COMPRA]]*LG26V[[#This Row],[STOCK BARRAS]])</f>
        <v>223.666666666667</v>
      </c>
      <c r="R60" s="1" t="n">
        <f aca="false">(LG26V[[#This Row],["B"PRECIO VENTA ]]*LG26V[[#This Row],[STOCK BARRAS]])</f>
        <v>412.5</v>
      </c>
      <c r="S60" s="18" t="n">
        <v>5</v>
      </c>
      <c r="T60" s="18" t="n">
        <v>11</v>
      </c>
      <c r="U60" s="1" t="n">
        <v>10.6</v>
      </c>
      <c r="W60" s="1" t="s">
        <v>123</v>
      </c>
    </row>
    <row r="61" customFormat="false" ht="15" hidden="false" customHeight="false" outlineLevel="0" collapsed="false">
      <c r="A61" s="1" t="n">
        <v>57</v>
      </c>
      <c r="B61" s="16" t="n">
        <v>1144</v>
      </c>
      <c r="C61" s="16" t="s">
        <v>124</v>
      </c>
      <c r="D61" s="1" t="n">
        <f aca="false">(LG26V[[#This Row],[CANTIDAD INICIAL JUEGO ]]+LG26V[[#This Row],[ENTRADAS JUEGOS ]]-LG26V[[#This Row],[SALIDAS JUEGOS]])</f>
        <v>17</v>
      </c>
      <c r="E61" s="1" t="n">
        <f aca="false">(LG26V[[#This Row],[CANTIDAD INICIAL BARRAS]]+LG26V[[#This Row],[ENTRADAS BARRAS]]-LG26V[[#This Row],[SALIDA BARRAS]])</f>
        <v>0</v>
      </c>
      <c r="F61" s="17" t="n">
        <v>400</v>
      </c>
      <c r="G61" s="1" t="n">
        <v>188</v>
      </c>
      <c r="H61" s="1" t="n">
        <v>10</v>
      </c>
      <c r="I61" s="1" t="n">
        <f aca="false">(LG26V[[#This Row],["J" PRECIO VENTA ]]/LG26V[[#This Row],[BARRAS]])</f>
        <v>40</v>
      </c>
      <c r="J61" s="1" t="n">
        <f aca="false">(LG26V[[#This Row],["J"PRECIO COMPRA ]]/LG26V[[#This Row],[BARRAS]])</f>
        <v>18.8</v>
      </c>
      <c r="K61" s="1" t="n">
        <f aca="false">SUMIF(entradas26[CODIGO],LG26V[[#This Row],[CODIGO ]],entradas26[[CAN JUEGOS ]])</f>
        <v>0</v>
      </c>
      <c r="L61" s="1" t="n">
        <f aca="false">SUMIF(entradas26[CODIGO],LG26V[[#This Row],[CODIGO ]],entradas26[CAN BARRAS])</f>
        <v>0</v>
      </c>
      <c r="M61" s="1" t="n">
        <f aca="false">SUMIF(salidas26[[CODIGO ]],LG26V[[#This Row],[CODIGO ]],salidas26[[CANT JUEGOS ]])</f>
        <v>1</v>
      </c>
      <c r="N61" s="1" t="n">
        <f aca="false">SUMIF(salidas26[[CODIGO ]],LG26V[[#This Row],[CODIGO ]],salidas26[CANT BARRAS])</f>
        <v>0</v>
      </c>
      <c r="O61" s="1" t="n">
        <f aca="false">(LG26V[[#This Row],["J"PRECIO COMPRA ]]*LG26V[[#This Row],[STOCK JUEGOS]])</f>
        <v>3196</v>
      </c>
      <c r="P61" s="1" t="n">
        <f aca="false">(LG26V[[#This Row],["J" PRECIO VENTA ]]*LG26V[[#This Row],[STOCK JUEGOS]])</f>
        <v>6800</v>
      </c>
      <c r="Q61" s="1" t="n">
        <f aca="false">(LG26V[[#This Row],["B"PRECIO COMPRA]]*LG26V[[#This Row],[STOCK BARRAS]])</f>
        <v>0</v>
      </c>
      <c r="R61" s="1" t="n">
        <f aca="false">(LG26V[[#This Row],["B"PRECIO VENTA ]]*LG26V[[#This Row],[STOCK BARRAS]])</f>
        <v>0</v>
      </c>
      <c r="S61" s="18" t="n">
        <v>18</v>
      </c>
      <c r="T61" s="18"/>
      <c r="U61" s="1" t="n">
        <v>8.6</v>
      </c>
      <c r="W61" s="1" t="s">
        <v>125</v>
      </c>
    </row>
    <row r="62" customFormat="false" ht="15" hidden="false" customHeight="false" outlineLevel="0" collapsed="false">
      <c r="A62" s="1" t="n">
        <v>58</v>
      </c>
      <c r="B62" s="16" t="n">
        <v>1147</v>
      </c>
      <c r="C62" s="16" t="s">
        <v>126</v>
      </c>
      <c r="D62" s="1" t="n">
        <f aca="false">(LG26V[[#This Row],[CANTIDAD INICIAL JUEGO ]]+LG26V[[#This Row],[ENTRADAS JUEGOS ]]-LG26V[[#This Row],[SALIDAS JUEGOS]])</f>
        <v>10</v>
      </c>
      <c r="E62" s="1" t="n">
        <f aca="false">(LG26V[[#This Row],[CANTIDAD INICIAL BARRAS]]+LG26V[[#This Row],[ENTRADAS BARRAS]]-LG26V[[#This Row],[SALIDA BARRAS]])</f>
        <v>11</v>
      </c>
      <c r="F62" s="17" t="n">
        <v>420</v>
      </c>
      <c r="G62" s="1" t="n">
        <v>222</v>
      </c>
      <c r="H62" s="1" t="n">
        <v>12</v>
      </c>
      <c r="I62" s="1" t="n">
        <f aca="false">(LG26V[[#This Row],["J" PRECIO VENTA ]]/LG26V[[#This Row],[BARRAS]])</f>
        <v>35</v>
      </c>
      <c r="J62" s="1" t="n">
        <f aca="false">(LG26V[[#This Row],["J"PRECIO COMPRA ]]/LG26V[[#This Row],[BARRAS]])</f>
        <v>18.5</v>
      </c>
      <c r="K62" s="1" t="n">
        <f aca="false">SUMIF(entradas26[CODIGO],LG26V[[#This Row],[CODIGO ]],entradas26[[CAN JUEGOS ]])</f>
        <v>0</v>
      </c>
      <c r="L62" s="1" t="n">
        <f aca="false">SUMIF(entradas26[CODIGO],LG26V[[#This Row],[CODIGO ]],entradas26[CAN BARRAS])</f>
        <v>0</v>
      </c>
      <c r="M62" s="1" t="n">
        <f aca="false">SUMIF(salidas26[[CODIGO ]],LG26V[[#This Row],[CODIGO ]],salidas26[[CANT JUEGOS ]])</f>
        <v>0</v>
      </c>
      <c r="N62" s="1" t="n">
        <f aca="false">SUMIF(salidas26[[CODIGO ]],LG26V[[#This Row],[CODIGO ]],salidas26[CANT BARRAS])</f>
        <v>0</v>
      </c>
      <c r="O62" s="1" t="n">
        <f aca="false">(LG26V[[#This Row],["J"PRECIO COMPRA ]]*LG26V[[#This Row],[STOCK JUEGOS]])</f>
        <v>2220</v>
      </c>
      <c r="P62" s="1" t="n">
        <f aca="false">(LG26V[[#This Row],["J" PRECIO VENTA ]]*LG26V[[#This Row],[STOCK JUEGOS]])</f>
        <v>4200</v>
      </c>
      <c r="Q62" s="1" t="n">
        <f aca="false">(LG26V[[#This Row],["B"PRECIO COMPRA]]*LG26V[[#This Row],[STOCK BARRAS]])</f>
        <v>203.5</v>
      </c>
      <c r="R62" s="1" t="n">
        <f aca="false">(LG26V[[#This Row],["B"PRECIO VENTA ]]*LG26V[[#This Row],[STOCK BARRAS]])</f>
        <v>385</v>
      </c>
      <c r="S62" s="18" t="n">
        <v>10</v>
      </c>
      <c r="T62" s="18" t="n">
        <v>11</v>
      </c>
      <c r="U62" s="1" t="n">
        <v>9.5</v>
      </c>
      <c r="W62" s="1" t="s">
        <v>127</v>
      </c>
    </row>
    <row r="63" customFormat="false" ht="15" hidden="false" customHeight="false" outlineLevel="0" collapsed="false">
      <c r="A63" s="1" t="n">
        <v>59</v>
      </c>
      <c r="B63" s="16" t="n">
        <v>1148</v>
      </c>
      <c r="C63" s="16" t="s">
        <v>128</v>
      </c>
      <c r="D63" s="1" t="n">
        <f aca="false">(LG26V[[#This Row],[CANTIDAD INICIAL JUEGO ]]+LG26V[[#This Row],[ENTRADAS JUEGOS ]]-LG26V[[#This Row],[SALIDAS JUEGOS]])</f>
        <v>9</v>
      </c>
      <c r="E63" s="1" t="n">
        <f aca="false">(LG26V[[#This Row],[CANTIDAD INICIAL BARRAS]]+LG26V[[#This Row],[ENTRADAS BARRAS]]-LG26V[[#This Row],[SALIDA BARRAS]])</f>
        <v>0</v>
      </c>
      <c r="F63" s="17" t="n">
        <v>500</v>
      </c>
      <c r="G63" s="1" t="n">
        <v>187</v>
      </c>
      <c r="H63" s="1" t="n">
        <v>2</v>
      </c>
      <c r="I63" s="1" t="n">
        <f aca="false">(LG26V[[#This Row],["J" PRECIO VENTA ]]/LG26V[[#This Row],[BARRAS]])</f>
        <v>250</v>
      </c>
      <c r="J63" s="1" t="n">
        <f aca="false">(LG26V[[#This Row],["J"PRECIO COMPRA ]]/LG26V[[#This Row],[BARRAS]])</f>
        <v>93.5</v>
      </c>
      <c r="K63" s="1" t="n">
        <f aca="false">SUMIF(entradas26[CODIGO],LG26V[[#This Row],[CODIGO ]],entradas26[[CAN JUEGOS ]])</f>
        <v>0</v>
      </c>
      <c r="L63" s="1" t="n">
        <f aca="false">SUMIF(entradas26[CODIGO],LG26V[[#This Row],[CODIGO ]],entradas26[CAN BARRAS])</f>
        <v>0</v>
      </c>
      <c r="M63" s="1" t="n">
        <f aca="false">SUMIF(salidas26[[CODIGO ]],LG26V[[#This Row],[CODIGO ]],salidas26[[CANT JUEGOS ]])</f>
        <v>0</v>
      </c>
      <c r="N63" s="1" t="n">
        <f aca="false">SUMIF(salidas26[[CODIGO ]],LG26V[[#This Row],[CODIGO ]],salidas26[CANT BARRAS])</f>
        <v>0</v>
      </c>
      <c r="O63" s="1" t="n">
        <f aca="false">(LG26V[[#This Row],["J"PRECIO COMPRA ]]*LG26V[[#This Row],[STOCK JUEGOS]])</f>
        <v>1683</v>
      </c>
      <c r="P63" s="1" t="n">
        <f aca="false">(LG26V[[#This Row],["J" PRECIO VENTA ]]*LG26V[[#This Row],[STOCK JUEGOS]])</f>
        <v>4500</v>
      </c>
      <c r="Q63" s="1" t="n">
        <f aca="false">(LG26V[[#This Row],["B"PRECIO COMPRA]]*LG26V[[#This Row],[STOCK BARRAS]])</f>
        <v>0</v>
      </c>
      <c r="R63" s="1" t="n">
        <f aca="false">(LG26V[[#This Row],["B"PRECIO VENTA ]]*LG26V[[#This Row],[STOCK BARRAS]])</f>
        <v>0</v>
      </c>
      <c r="S63" s="18" t="n">
        <v>9</v>
      </c>
      <c r="T63" s="18"/>
      <c r="U63" s="1" t="n">
        <v>8.85</v>
      </c>
      <c r="W63" s="1" t="s">
        <v>129</v>
      </c>
    </row>
    <row r="64" customFormat="false" ht="15" hidden="false" customHeight="false" outlineLevel="0" collapsed="false">
      <c r="A64" s="1" t="n">
        <v>60</v>
      </c>
      <c r="B64" s="16" t="n">
        <v>1149</v>
      </c>
      <c r="C64" s="16" t="s">
        <v>130</v>
      </c>
      <c r="D64" s="1" t="n">
        <f aca="false">(LG26V[[#This Row],[CANTIDAD INICIAL JUEGO ]]+LG26V[[#This Row],[ENTRADAS JUEGOS ]]-LG26V[[#This Row],[SALIDAS JUEGOS]])</f>
        <v>2</v>
      </c>
      <c r="E64" s="1" t="n">
        <f aca="false">(LG26V[[#This Row],[CANTIDAD INICIAL BARRAS]]+LG26V[[#This Row],[ENTRADAS BARRAS]]-LG26V[[#This Row],[SALIDA BARRAS]])</f>
        <v>0</v>
      </c>
      <c r="F64" s="27" t="n">
        <v>500</v>
      </c>
      <c r="G64" s="1" t="n">
        <v>350</v>
      </c>
      <c r="H64" s="1" t="n">
        <v>2</v>
      </c>
      <c r="I64" s="1" t="n">
        <f aca="false">(LG26V[[#This Row],["J" PRECIO VENTA ]]/LG26V[[#This Row],[BARRAS]])</f>
        <v>250</v>
      </c>
      <c r="J64" s="1" t="n">
        <f aca="false">(LG26V[[#This Row],["J"PRECIO COMPRA ]]/LG26V[[#This Row],[BARRAS]])</f>
        <v>175</v>
      </c>
      <c r="K64" s="1" t="n">
        <f aca="false">SUMIF(entradas26[CODIGO],LG26V[[#This Row],[CODIGO ]],entradas26[[CAN JUEGOS ]])</f>
        <v>0</v>
      </c>
      <c r="L64" s="1" t="n">
        <f aca="false">SUMIF(entradas26[CODIGO],LG26V[[#This Row],[CODIGO ]],entradas26[CAN BARRAS])</f>
        <v>0</v>
      </c>
      <c r="M64" s="1" t="n">
        <f aca="false">SUMIF(salidas26[[CODIGO ]],LG26V[[#This Row],[CODIGO ]],salidas26[[CANT JUEGOS ]])</f>
        <v>0</v>
      </c>
      <c r="N64" s="1" t="n">
        <f aca="false">SUMIF(salidas26[[CODIGO ]],LG26V[[#This Row],[CODIGO ]],salidas26[CANT BARRAS])</f>
        <v>0</v>
      </c>
      <c r="O64" s="1" t="n">
        <f aca="false">(LG26V[[#This Row],["J"PRECIO COMPRA ]]*LG26V[[#This Row],[STOCK JUEGOS]])</f>
        <v>700</v>
      </c>
      <c r="P64" s="1" t="n">
        <f aca="false">(LG26V[[#This Row],["J" PRECIO VENTA ]]*LG26V[[#This Row],[STOCK JUEGOS]])</f>
        <v>1000</v>
      </c>
      <c r="Q64" s="1" t="n">
        <f aca="false">(LG26V[[#This Row],["B"PRECIO COMPRA]]*LG26V[[#This Row],[STOCK BARRAS]])</f>
        <v>0</v>
      </c>
      <c r="R64" s="1" t="n">
        <f aca="false">(LG26V[[#This Row],["B"PRECIO VENTA ]]*LG26V[[#This Row],[STOCK BARRAS]])</f>
        <v>0</v>
      </c>
      <c r="S64" s="18" t="n">
        <v>2</v>
      </c>
      <c r="T64" s="18"/>
    </row>
    <row r="65" customFormat="false" ht="15" hidden="false" customHeight="false" outlineLevel="0" collapsed="false">
      <c r="A65" s="1" t="n">
        <v>61</v>
      </c>
      <c r="B65" s="16" t="n">
        <v>1150</v>
      </c>
      <c r="C65" s="16" t="s">
        <v>131</v>
      </c>
      <c r="D65" s="1" t="n">
        <f aca="false">(LG26V[[#This Row],[CANTIDAD INICIAL JUEGO ]]+LG26V[[#This Row],[ENTRADAS JUEGOS ]]-LG26V[[#This Row],[SALIDAS JUEGOS]])</f>
        <v>10</v>
      </c>
      <c r="E65" s="1" t="n">
        <f aca="false">(LG26V[[#This Row],[CANTIDAD INICIAL BARRAS]]+LG26V[[#This Row],[ENTRADAS BARRAS]]-LG26V[[#This Row],[SALIDA BARRAS]])</f>
        <v>3</v>
      </c>
      <c r="F65" s="17" t="n">
        <v>450</v>
      </c>
      <c r="G65" s="28" t="n">
        <v>155</v>
      </c>
      <c r="H65" s="1" t="n">
        <v>4</v>
      </c>
      <c r="I65" s="1" t="n">
        <f aca="false">(LG26V[[#This Row],["J" PRECIO VENTA ]]/LG26V[[#This Row],[BARRAS]])</f>
        <v>112.5</v>
      </c>
      <c r="J65" s="1" t="n">
        <f aca="false">(LG26V[[#This Row],["J"PRECIO COMPRA ]]/LG26V[[#This Row],[BARRAS]])</f>
        <v>38.75</v>
      </c>
      <c r="K65" s="1" t="n">
        <f aca="false">SUMIF(entradas26[CODIGO],LG26V[[#This Row],[CODIGO ]],entradas26[[CAN JUEGOS ]])</f>
        <v>0</v>
      </c>
      <c r="L65" s="1" t="n">
        <f aca="false">SUMIF(entradas26[CODIGO],LG26V[[#This Row],[CODIGO ]],entradas26[CAN BARRAS])</f>
        <v>0</v>
      </c>
      <c r="M65" s="1" t="n">
        <f aca="false">SUMIF(salidas26[[CODIGO ]],LG26V[[#This Row],[CODIGO ]],salidas26[[CANT JUEGOS ]])</f>
        <v>0</v>
      </c>
      <c r="N65" s="1" t="n">
        <f aca="false">SUMIF(salidas26[[CODIGO ]],LG26V[[#This Row],[CODIGO ]],salidas26[CANT BARRAS])</f>
        <v>0</v>
      </c>
      <c r="O65" s="1" t="n">
        <f aca="false">(LG26V[[#This Row],["J"PRECIO COMPRA ]]*LG26V[[#This Row],[STOCK JUEGOS]])</f>
        <v>1550</v>
      </c>
      <c r="P65" s="1" t="n">
        <f aca="false">(LG26V[[#This Row],["J" PRECIO VENTA ]]*LG26V[[#This Row],[STOCK JUEGOS]])</f>
        <v>4500</v>
      </c>
      <c r="Q65" s="1" t="n">
        <f aca="false">(LG26V[[#This Row],["B"PRECIO COMPRA]]*LG26V[[#This Row],[STOCK BARRAS]])</f>
        <v>116.25</v>
      </c>
      <c r="R65" s="1" t="n">
        <f aca="false">(LG26V[[#This Row],["B"PRECIO VENTA ]]*LG26V[[#This Row],[STOCK BARRAS]])</f>
        <v>337.5</v>
      </c>
      <c r="S65" s="18" t="n">
        <v>10</v>
      </c>
      <c r="T65" s="18" t="n">
        <v>3</v>
      </c>
      <c r="U65" s="1" t="n">
        <v>5.9</v>
      </c>
      <c r="W65" s="1" t="s">
        <v>132</v>
      </c>
    </row>
    <row r="66" customFormat="false" ht="15" hidden="false" customHeight="false" outlineLevel="0" collapsed="false">
      <c r="A66" s="1" t="n">
        <v>62</v>
      </c>
      <c r="B66" s="16" t="n">
        <v>1153</v>
      </c>
      <c r="C66" s="16" t="s">
        <v>133</v>
      </c>
      <c r="D66" s="1" t="n">
        <f aca="false">(LG26V[[#This Row],[CANTIDAD INICIAL JUEGO ]]+LG26V[[#This Row],[ENTRADAS JUEGOS ]]-LG26V[[#This Row],[SALIDAS JUEGOS]])</f>
        <v>4</v>
      </c>
      <c r="E66" s="1" t="n">
        <f aca="false">(LG26V[[#This Row],[CANTIDAD INICIAL BARRAS]]+LG26V[[#This Row],[ENTRADAS BARRAS]]-LG26V[[#This Row],[SALIDA BARRAS]])</f>
        <v>0</v>
      </c>
      <c r="F66" s="17" t="n">
        <v>1200</v>
      </c>
      <c r="G66" s="1" t="n">
        <v>439</v>
      </c>
      <c r="H66" s="1" t="n">
        <v>24</v>
      </c>
      <c r="I66" s="1" t="n">
        <f aca="false">(LG26V[[#This Row],["J" PRECIO VENTA ]]/LG26V[[#This Row],[BARRAS]])</f>
        <v>50</v>
      </c>
      <c r="J66" s="1" t="n">
        <f aca="false">(LG26V[[#This Row],["J"PRECIO COMPRA ]]/LG26V[[#This Row],[BARRAS]])</f>
        <v>18.2916666666667</v>
      </c>
      <c r="K66" s="1" t="n">
        <f aca="false">SUMIF(entradas26[CODIGO],LG26V[[#This Row],[CODIGO ]],entradas26[[CAN JUEGOS ]])</f>
        <v>0</v>
      </c>
      <c r="L66" s="1" t="n">
        <f aca="false">SUMIF(entradas26[CODIGO],LG26V[[#This Row],[CODIGO ]],entradas26[CAN BARRAS])</f>
        <v>0</v>
      </c>
      <c r="M66" s="1" t="n">
        <f aca="false">SUMIF(salidas26[[CODIGO ]],LG26V[[#This Row],[CODIGO ]],salidas26[[CANT JUEGOS ]])</f>
        <v>0</v>
      </c>
      <c r="N66" s="1" t="n">
        <f aca="false">SUMIF(salidas26[[CODIGO ]],LG26V[[#This Row],[CODIGO ]],salidas26[CANT BARRAS])</f>
        <v>0</v>
      </c>
      <c r="O66" s="1" t="n">
        <f aca="false">(LG26V[[#This Row],["J"PRECIO COMPRA ]]*LG26V[[#This Row],[STOCK JUEGOS]])</f>
        <v>1756</v>
      </c>
      <c r="P66" s="1" t="n">
        <f aca="false">(LG26V[[#This Row],["J" PRECIO VENTA ]]*LG26V[[#This Row],[STOCK JUEGOS]])</f>
        <v>4800</v>
      </c>
      <c r="Q66" s="1" t="n">
        <f aca="false">(LG26V[[#This Row],["B"PRECIO COMPRA]]*LG26V[[#This Row],[STOCK BARRAS]])</f>
        <v>0</v>
      </c>
      <c r="R66" s="1" t="n">
        <f aca="false">(LG26V[[#This Row],["B"PRECIO VENTA ]]*LG26V[[#This Row],[STOCK BARRAS]])</f>
        <v>0</v>
      </c>
      <c r="S66" s="18" t="n">
        <v>4</v>
      </c>
      <c r="T66" s="18"/>
      <c r="U66" s="1" t="n">
        <v>31.34</v>
      </c>
    </row>
    <row r="67" customFormat="false" ht="15" hidden="false" customHeight="false" outlineLevel="0" collapsed="false">
      <c r="B67" s="1" t="n">
        <v>1154</v>
      </c>
      <c r="C67" s="1" t="s">
        <v>134</v>
      </c>
      <c r="D67" s="1" t="n">
        <f aca="false">(LG26V[[#This Row],[CANTIDAD INICIAL JUEGO ]]+LG26V[[#This Row],[ENTRADAS JUEGOS ]]-LG26V[[#This Row],[SALIDAS JUEGOS]])</f>
        <v>5</v>
      </c>
      <c r="E67" s="1" t="n">
        <f aca="false">(LG26V[[#This Row],[CANTIDAD INICIAL BARRAS]]+LG26V[[#This Row],[ENTRADAS BARRAS]]-LG26V[[#This Row],[SALIDA BARRAS]])</f>
        <v>0</v>
      </c>
      <c r="F67" s="17" t="n">
        <v>1500</v>
      </c>
      <c r="G67" s="1" t="n">
        <v>551</v>
      </c>
      <c r="I67" s="1" t="e">
        <f aca="false">(LG26V[[#This Row],["J" PRECIO VENTA ]]/LG26V[[#This Row],[BARRAS]])</f>
        <v>#DIV/0!</v>
      </c>
      <c r="J67" s="1" t="e">
        <f aca="false">(LG26V[[#This Row],["J"PRECIO COMPRA ]]/LG26V[[#This Row],[BARRAS]])</f>
        <v>#DIV/0!</v>
      </c>
      <c r="K67" s="1" t="n">
        <f aca="false">SUMIF(entradas26[CODIGO],LG26V[[#This Row],[CODIGO ]],entradas26[[CAN JUEGOS ]])</f>
        <v>5</v>
      </c>
      <c r="L67" s="1" t="n">
        <f aca="false">SUMIF(entradas26[CODIGO],LG26V[[#This Row],[CODIGO ]],entradas26[CAN BARRAS])</f>
        <v>0</v>
      </c>
      <c r="M67" s="1" t="n">
        <f aca="false">SUMIF(salidas26[[CODIGO ]],LG26V[[#This Row],[CODIGO ]],salidas26[[CANT JUEGOS ]])</f>
        <v>0</v>
      </c>
      <c r="N67" s="1" t="n">
        <f aca="false">SUMIF(salidas26[[CODIGO ]],LG26V[[#This Row],[CODIGO ]],salidas26[CANT BARRAS])</f>
        <v>0</v>
      </c>
      <c r="O67" s="1" t="n">
        <f aca="false">(LG26V[[#This Row],["J"PRECIO COMPRA ]]*LG26V[[#This Row],[STOCK JUEGOS]])</f>
        <v>2755</v>
      </c>
      <c r="P67" s="1" t="n">
        <f aca="false">(LG26V[[#This Row],["J" PRECIO VENTA ]]*LG26V[[#This Row],[STOCK JUEGOS]])</f>
        <v>7500</v>
      </c>
      <c r="Q67" s="1" t="e">
        <f aca="false">(LG26V[[#This Row],["B"PRECIO COMPRA]]*LG26V[[#This Row],[STOCK BARRAS]])</f>
        <v>#DIV/0!</v>
      </c>
      <c r="R67" s="1" t="e">
        <f aca="false">(LG26V[[#This Row],["B"PRECIO VENTA ]]*LG26V[[#This Row],[STOCK BARRAS]])</f>
        <v>#DIV/0!</v>
      </c>
      <c r="S67" s="1" t="n">
        <v>0</v>
      </c>
      <c r="U67" s="1" t="n">
        <v>29</v>
      </c>
      <c r="W67" s="1" t="s">
        <v>135</v>
      </c>
    </row>
  </sheetData>
  <mergeCells count="1">
    <mergeCell ref="B2:V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X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15"/>
    <col collapsed="false" customWidth="true" hidden="false" outlineLevel="0" max="3" min="3" style="1" width="43"/>
    <col collapsed="false" customWidth="true" hidden="false" outlineLevel="0" max="4" min="4" style="1" width="10.79"/>
    <col collapsed="false" customWidth="true" hidden="false" outlineLevel="0" max="5" min="5" style="1" width="13.6"/>
    <col collapsed="false" customWidth="true" hidden="false" outlineLevel="0" max="6" min="6" style="1" width="12.99"/>
    <col collapsed="false" customWidth="true" hidden="false" outlineLevel="0" max="7" min="7" style="1" width="15.44"/>
    <col collapsed="false" customWidth="true" hidden="false" outlineLevel="0" max="8" min="8" style="1" width="10.79"/>
    <col collapsed="false" customWidth="true" hidden="true" outlineLevel="0" max="20" min="9" style="1" width="6.43"/>
    <col collapsed="false" customWidth="true" hidden="false" outlineLevel="0" max="21" min="21" style="1" width="18.13"/>
    <col collapsed="false" customWidth="true" hidden="false" outlineLevel="0" max="22" min="22" style="1" width="14.2"/>
    <col collapsed="false" customWidth="true" hidden="false" outlineLevel="0" max="23" min="23" style="1" width="18"/>
  </cols>
  <sheetData>
    <row r="2" customFormat="false" ht="15" hidden="false" customHeight="false" outlineLevel="0" collapsed="false">
      <c r="B2" s="2" t="s">
        <v>136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5" hidden="false" customHeight="fals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25.5" hidden="false" customHeight="true" outlineLevel="0" collapsed="false">
      <c r="B4" s="3" t="s">
        <v>1</v>
      </c>
      <c r="C4" s="3" t="s">
        <v>2</v>
      </c>
      <c r="D4" s="4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9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8" t="s">
        <v>14</v>
      </c>
      <c r="P4" s="11" t="s">
        <v>15</v>
      </c>
      <c r="Q4" s="8" t="s">
        <v>16</v>
      </c>
      <c r="R4" s="8" t="s">
        <v>17</v>
      </c>
      <c r="S4" s="11" t="s">
        <v>18</v>
      </c>
      <c r="T4" s="12" t="s">
        <v>19</v>
      </c>
      <c r="U4" s="13" t="s">
        <v>20</v>
      </c>
      <c r="V4" s="14" t="s">
        <v>21</v>
      </c>
      <c r="W4" s="15" t="s">
        <v>22</v>
      </c>
      <c r="X4" s="15" t="s">
        <v>137</v>
      </c>
    </row>
    <row r="5" customFormat="false" ht="15" hidden="false" customHeight="false" outlineLevel="0" collapsed="false">
      <c r="A5" s="1" t="n">
        <v>1</v>
      </c>
      <c r="B5" s="1" t="n">
        <v>2000</v>
      </c>
      <c r="C5" s="29" t="s">
        <v>138</v>
      </c>
      <c r="D5" s="1" t="n">
        <f aca="false">(samgung26[[#This Row],[CANTIDAD INICIAL JUEGO ]]+samgung26[[#This Row],[ENTRADAS JUEGOS ]]-samgung26[[#This Row],[SALIDAS JUEGOS]])</f>
        <v>4</v>
      </c>
      <c r="E5" s="1" t="n">
        <f aca="false">(samgung26[[#This Row],[CANTIDAD INICIAL BARRAS]]+samgung26[[#This Row],[ENTRADAS BARRAS]]-samgung26[[#This Row],[SALIDA BARRAS]])</f>
        <v>1</v>
      </c>
      <c r="F5" s="23" t="n">
        <v>80</v>
      </c>
      <c r="G5" s="1" t="n">
        <v>37</v>
      </c>
      <c r="H5" s="1" t="n">
        <v>2</v>
      </c>
      <c r="I5" s="1" t="n">
        <f aca="false">(samgung26[[#This Row],["J" PRECIO VENTA ]]/samgung26[[#This Row],[BARRAS]])</f>
        <v>40</v>
      </c>
      <c r="J5" s="1" t="n">
        <f aca="false">(samgung26[[#This Row],["J"PRECIO COMPRA ]]/samgung26[[#This Row],[BARRAS]])</f>
        <v>18.5</v>
      </c>
      <c r="K5" s="1" t="n">
        <f aca="false">SUMIF(entradas26[CODIGO],samgung26[[#This Row],[CODIGO ]],entradas26[[CAN JUEGOS ]])</f>
        <v>0</v>
      </c>
      <c r="L5" s="1" t="n">
        <f aca="false">SUMIF(entradas26[CODIGO],samgung26[[#This Row],[CODIGO ]],entradas26[CAN BARRAS])</f>
        <v>0</v>
      </c>
      <c r="M5" s="1" t="n">
        <f aca="false">SUMIF(salidas26[[CODIGO ]],samgung26[[#This Row],[CODIGO ]],salidas26[[CANT JUEGOS ]])</f>
        <v>28</v>
      </c>
      <c r="N5" s="1" t="n">
        <f aca="false">SUMIF(salidas26[[CODIGO ]],samgung26[[#This Row],[CODIGO ]],salidas26[CANT BARRAS])</f>
        <v>0</v>
      </c>
      <c r="O5" s="1" t="n">
        <f aca="false">(samgung26[[#This Row],["J"PRECIO COMPRA ]]*samgung26[[#This Row],[STOCK JUEGOS]])</f>
        <v>148</v>
      </c>
      <c r="P5" s="1" t="n">
        <f aca="false">(samgung26[[#This Row],["J" PRECIO VENTA ]]*samgung26[[#This Row],[STOCK JUEGOS]])</f>
        <v>320</v>
      </c>
      <c r="Q5" s="1" t="n">
        <f aca="false">(samgung26[[#This Row],["B"PRECIO COMPRA]]*samgung26[[#This Row],[STOCK BARRAS]])</f>
        <v>18.5</v>
      </c>
      <c r="R5" s="1" t="n">
        <f aca="false">(samgung26[[#This Row],["B"PRECIO VENTA ]]*samgung26[[#This Row],[STOCK BARRAS]])</f>
        <v>40</v>
      </c>
      <c r="S5" s="24" t="n">
        <v>32</v>
      </c>
      <c r="T5" s="24" t="n">
        <v>1</v>
      </c>
      <c r="U5" s="1" t="n">
        <v>1.55</v>
      </c>
      <c r="W5" s="1" t="s">
        <v>139</v>
      </c>
      <c r="X5" s="0" t="s">
        <v>140</v>
      </c>
    </row>
    <row r="6" customFormat="false" ht="15" hidden="false" customHeight="false" outlineLevel="0" collapsed="false">
      <c r="A6" s="1" t="n">
        <v>2</v>
      </c>
      <c r="B6" s="1" t="n">
        <v>2001</v>
      </c>
      <c r="C6" s="29" t="s">
        <v>141</v>
      </c>
      <c r="D6" s="1" t="n">
        <f aca="false">(samgung26[[#This Row],[CANTIDAD INICIAL JUEGO ]]+samgung26[[#This Row],[ENTRADAS JUEGOS ]]-samgung26[[#This Row],[SALIDAS JUEGOS]])</f>
        <v>2</v>
      </c>
      <c r="E6" s="1" t="n">
        <f aca="false">(samgung26[[#This Row],[CANTIDAD INICIAL BARRAS]]+samgung26[[#This Row],[ENTRADAS BARRAS]]-samgung26[[#This Row],[SALIDA BARRAS]])</f>
        <v>0</v>
      </c>
      <c r="F6" s="23" t="n">
        <v>150</v>
      </c>
      <c r="G6" s="1" t="n">
        <v>100</v>
      </c>
      <c r="H6" s="1" t="n">
        <v>4</v>
      </c>
      <c r="I6" s="1" t="n">
        <f aca="false">(samgung26[[#This Row],["J" PRECIO VENTA ]]/samgung26[[#This Row],[BARRAS]])</f>
        <v>37.5</v>
      </c>
      <c r="J6" s="1" t="n">
        <f aca="false">(samgung26[[#This Row],["J"PRECIO COMPRA ]]/samgung26[[#This Row],[BARRAS]])</f>
        <v>25</v>
      </c>
      <c r="K6" s="1" t="n">
        <f aca="false">SUMIF(entradas26[CODIGO],samgung26[[#This Row],[CODIGO ]],entradas26[[CAN JUEGOS ]])</f>
        <v>0</v>
      </c>
      <c r="L6" s="1" t="n">
        <f aca="false">SUMIF(entradas26[CODIGO],samgung26[[#This Row],[CODIGO ]],entradas26[CAN BARRAS])</f>
        <v>0</v>
      </c>
      <c r="M6" s="1" t="n">
        <f aca="false">SUMIF(salidas26[[CODIGO ]],samgung26[[#This Row],[CODIGO ]],salidas26[[CANT JUEGOS ]])</f>
        <v>1</v>
      </c>
      <c r="N6" s="1" t="n">
        <f aca="false">SUMIF(salidas26[[CODIGO ]],samgung26[[#This Row],[CODIGO ]],salidas26[CANT BARRAS])</f>
        <v>0</v>
      </c>
      <c r="O6" s="1" t="n">
        <f aca="false">(samgung26[[#This Row],["J"PRECIO COMPRA ]]*samgung26[[#This Row],[STOCK JUEGOS]])</f>
        <v>200</v>
      </c>
      <c r="P6" s="1" t="n">
        <f aca="false">(samgung26[[#This Row],["J" PRECIO VENTA ]]*samgung26[[#This Row],[STOCK JUEGOS]])</f>
        <v>300</v>
      </c>
      <c r="Q6" s="1" t="n">
        <f aca="false">(samgung26[[#This Row],["B"PRECIO COMPRA]]*samgung26[[#This Row],[STOCK BARRAS]])</f>
        <v>0</v>
      </c>
      <c r="R6" s="1" t="n">
        <f aca="false">(samgung26[[#This Row],["B"PRECIO VENTA ]]*samgung26[[#This Row],[STOCK BARRAS]])</f>
        <v>0</v>
      </c>
      <c r="S6" s="18" t="n">
        <v>3</v>
      </c>
      <c r="T6" s="18"/>
    </row>
    <row r="7" customFormat="false" ht="15" hidden="false" customHeight="false" outlineLevel="0" collapsed="false">
      <c r="A7" s="1" t="n">
        <v>3</v>
      </c>
      <c r="B7" s="1" t="n">
        <v>2003</v>
      </c>
      <c r="C7" s="29" t="s">
        <v>142</v>
      </c>
      <c r="D7" s="1" t="n">
        <f aca="false">(samgung26[[#This Row],[CANTIDAD INICIAL JUEGO ]]+samgung26[[#This Row],[ENTRADAS JUEGOS ]]-samgung26[[#This Row],[SALIDAS JUEGOS]])</f>
        <v>25</v>
      </c>
      <c r="E7" s="1" t="n">
        <f aca="false">(samgung26[[#This Row],[CANTIDAD INICIAL BARRAS]]+samgung26[[#This Row],[ENTRADAS BARRAS]]-samgung26[[#This Row],[SALIDA BARRAS]])</f>
        <v>3</v>
      </c>
      <c r="F7" s="23" t="n">
        <v>130</v>
      </c>
      <c r="G7" s="1" t="n">
        <v>74</v>
      </c>
      <c r="H7" s="1" t="n">
        <v>5</v>
      </c>
      <c r="I7" s="1" t="n">
        <f aca="false">(samgung26[[#This Row],["J" PRECIO VENTA ]]/samgung26[[#This Row],[BARRAS]])</f>
        <v>26</v>
      </c>
      <c r="J7" s="1" t="n">
        <f aca="false">(samgung26[[#This Row],["J"PRECIO COMPRA ]]/samgung26[[#This Row],[BARRAS]])</f>
        <v>14.8</v>
      </c>
      <c r="K7" s="1" t="n">
        <f aca="false">SUMIF(entradas26[CODIGO],samgung26[[#This Row],[CODIGO ]],entradas26[[CAN JUEGOS ]])</f>
        <v>20</v>
      </c>
      <c r="L7" s="1" t="n">
        <f aca="false">SUMIF(entradas26[CODIGO],samgung26[[#This Row],[CODIGO ]],entradas26[CAN BARRAS])</f>
        <v>15</v>
      </c>
      <c r="M7" s="1" t="n">
        <f aca="false">SUMIF(salidas26[[CODIGO ]],samgung26[[#This Row],[CODIGO ]],salidas26[[CANT JUEGOS ]])</f>
        <v>8</v>
      </c>
      <c r="N7" s="1" t="n">
        <f aca="false">SUMIF(salidas26[[CODIGO ]],samgung26[[#This Row],[CODIGO ]],salidas26[CANT BARRAS])</f>
        <v>14</v>
      </c>
      <c r="O7" s="1" t="n">
        <f aca="false">(samgung26[[#This Row],["J"PRECIO COMPRA ]]*samgung26[[#This Row],[STOCK JUEGOS]])</f>
        <v>1850</v>
      </c>
      <c r="P7" s="1" t="n">
        <f aca="false">(samgung26[[#This Row],["J" PRECIO VENTA ]]*samgung26[[#This Row],[STOCK JUEGOS]])</f>
        <v>3250</v>
      </c>
      <c r="Q7" s="1" t="n">
        <f aca="false">(samgung26[[#This Row],["B"PRECIO COMPRA]]*samgung26[[#This Row],[STOCK BARRAS]])</f>
        <v>44.4</v>
      </c>
      <c r="R7" s="1" t="n">
        <f aca="false">(samgung26[[#This Row],["B"PRECIO VENTA ]]*samgung26[[#This Row],[STOCK BARRAS]])</f>
        <v>78</v>
      </c>
      <c r="S7" s="18" t="n">
        <v>13</v>
      </c>
      <c r="T7" s="18" t="n">
        <v>2</v>
      </c>
      <c r="U7" s="1" t="n">
        <v>3.9</v>
      </c>
      <c r="V7" s="1" t="s">
        <v>143</v>
      </c>
      <c r="W7" s="1" t="s">
        <v>144</v>
      </c>
    </row>
    <row r="8" customFormat="false" ht="15" hidden="false" customHeight="false" outlineLevel="0" collapsed="false">
      <c r="A8" s="1" t="n">
        <v>4</v>
      </c>
      <c r="B8" s="1" t="n">
        <v>2006</v>
      </c>
      <c r="C8" s="29" t="s">
        <v>145</v>
      </c>
      <c r="D8" s="1" t="n">
        <f aca="false">(samgung26[[#This Row],[CANTIDAD INICIAL JUEGO ]]+samgung26[[#This Row],[ENTRADAS JUEGOS ]]-samgung26[[#This Row],[SALIDAS JUEGOS]])</f>
        <v>18</v>
      </c>
      <c r="E8" s="1" t="n">
        <f aca="false">(samgung26[[#This Row],[CANTIDAD INICIAL BARRAS]]+samgung26[[#This Row],[ENTRADAS BARRAS]]-samgung26[[#This Row],[SALIDA BARRAS]])</f>
        <v>1</v>
      </c>
      <c r="F8" s="23" t="n">
        <v>90</v>
      </c>
      <c r="G8" s="1" t="n">
        <v>38</v>
      </c>
      <c r="H8" s="1" t="n">
        <v>2</v>
      </c>
      <c r="I8" s="1" t="n">
        <f aca="false">(samgung26[[#This Row],["J" PRECIO VENTA ]]/samgung26[[#This Row],[BARRAS]])</f>
        <v>45</v>
      </c>
      <c r="J8" s="1" t="n">
        <f aca="false">(samgung26[[#This Row],["J"PRECIO COMPRA ]]/samgung26[[#This Row],[BARRAS]])</f>
        <v>19</v>
      </c>
      <c r="K8" s="1" t="n">
        <f aca="false">SUMIF(entradas26[CODIGO],samgung26[[#This Row],[CODIGO ]],entradas26[[CAN JUEGOS ]])</f>
        <v>0</v>
      </c>
      <c r="L8" s="1" t="n">
        <f aca="false">SUMIF(entradas26[CODIGO],samgung26[[#This Row],[CODIGO ]],entradas26[CAN BARRAS])</f>
        <v>0</v>
      </c>
      <c r="M8" s="1" t="n">
        <f aca="false">SUMIF(salidas26[[CODIGO ]],samgung26[[#This Row],[CODIGO ]],salidas26[[CANT JUEGOS ]])</f>
        <v>3</v>
      </c>
      <c r="N8" s="1" t="n">
        <f aca="false">SUMIF(salidas26[[CODIGO ]],samgung26[[#This Row],[CODIGO ]],salidas26[CANT BARRAS])</f>
        <v>0</v>
      </c>
      <c r="O8" s="1" t="n">
        <f aca="false">(samgung26[[#This Row],["J"PRECIO COMPRA ]]*samgung26[[#This Row],[STOCK JUEGOS]])</f>
        <v>684</v>
      </c>
      <c r="P8" s="1" t="n">
        <f aca="false">(samgung26[[#This Row],["J" PRECIO VENTA ]]*samgung26[[#This Row],[STOCK JUEGOS]])</f>
        <v>1620</v>
      </c>
      <c r="Q8" s="1" t="n">
        <f aca="false">(samgung26[[#This Row],["B"PRECIO COMPRA]]*samgung26[[#This Row],[STOCK BARRAS]])</f>
        <v>19</v>
      </c>
      <c r="R8" s="1" t="n">
        <f aca="false">(samgung26[[#This Row],["B"PRECIO VENTA ]]*samgung26[[#This Row],[STOCK BARRAS]])</f>
        <v>45</v>
      </c>
      <c r="S8" s="18" t="n">
        <v>21</v>
      </c>
      <c r="T8" s="18" t="n">
        <v>1</v>
      </c>
      <c r="U8" s="1" t="n">
        <v>1.6</v>
      </c>
      <c r="W8" s="1" t="s">
        <v>146</v>
      </c>
    </row>
    <row r="9" customFormat="false" ht="15" hidden="false" customHeight="false" outlineLevel="0" collapsed="false">
      <c r="A9" s="1" t="n">
        <v>5</v>
      </c>
      <c r="B9" s="1" t="n">
        <v>2009</v>
      </c>
      <c r="C9" s="29" t="s">
        <v>147</v>
      </c>
      <c r="D9" s="1" t="n">
        <f aca="false">(samgung26[[#This Row],[CANTIDAD INICIAL JUEGO ]]+samgung26[[#This Row],[ENTRADAS JUEGOS ]]-samgung26[[#This Row],[SALIDAS JUEGOS]])</f>
        <v>19</v>
      </c>
      <c r="E9" s="1" t="n">
        <f aca="false">(samgung26[[#This Row],[CANTIDAD INICIAL BARRAS]]+samgung26[[#This Row],[ENTRADAS BARRAS]]-samgung26[[#This Row],[SALIDA BARRAS]])</f>
        <v>0</v>
      </c>
      <c r="F9" s="23" t="n">
        <v>180</v>
      </c>
      <c r="G9" s="1" t="n">
        <v>75</v>
      </c>
      <c r="H9" s="1" t="n">
        <v>2</v>
      </c>
      <c r="I9" s="1" t="n">
        <f aca="false">(samgung26[[#This Row],["J" PRECIO VENTA ]]/samgung26[[#This Row],[BARRAS]])</f>
        <v>90</v>
      </c>
      <c r="J9" s="1" t="n">
        <f aca="false">(samgung26[[#This Row],["J"PRECIO COMPRA ]]/samgung26[[#This Row],[BARRAS]])</f>
        <v>37.5</v>
      </c>
      <c r="K9" s="1" t="n">
        <f aca="false">SUMIF(entradas26[CODIGO],samgung26[[#This Row],[CODIGO ]],entradas26[[CAN JUEGOS ]])</f>
        <v>0</v>
      </c>
      <c r="L9" s="1" t="n">
        <f aca="false">SUMIF(entradas26[CODIGO],samgung26[[#This Row],[CODIGO ]],entradas26[CAN BARRAS])</f>
        <v>0</v>
      </c>
      <c r="M9" s="1" t="n">
        <f aca="false">SUMIF(salidas26[[CODIGO ]],samgung26[[#This Row],[CODIGO ]],salidas26[[CANT JUEGOS ]])</f>
        <v>0</v>
      </c>
      <c r="N9" s="1" t="n">
        <f aca="false">SUMIF(salidas26[[CODIGO ]],samgung26[[#This Row],[CODIGO ]],salidas26[CANT BARRAS])</f>
        <v>0</v>
      </c>
      <c r="O9" s="1" t="n">
        <f aca="false">(samgung26[[#This Row],["J"PRECIO COMPRA ]]*samgung26[[#This Row],[STOCK JUEGOS]])</f>
        <v>1425</v>
      </c>
      <c r="P9" s="1" t="n">
        <f aca="false">(samgung26[[#This Row],["J" PRECIO VENTA ]]*samgung26[[#This Row],[STOCK JUEGOS]])</f>
        <v>3420</v>
      </c>
      <c r="Q9" s="1" t="n">
        <f aca="false">(samgung26[[#This Row],["B"PRECIO COMPRA]]*samgung26[[#This Row],[STOCK BARRAS]])</f>
        <v>0</v>
      </c>
      <c r="R9" s="1" t="n">
        <f aca="false">(samgung26[[#This Row],["B"PRECIO VENTA ]]*samgung26[[#This Row],[STOCK BARRAS]])</f>
        <v>0</v>
      </c>
      <c r="S9" s="18" t="n">
        <v>19</v>
      </c>
      <c r="T9" s="18"/>
      <c r="U9" s="1" t="n">
        <v>3.55</v>
      </c>
      <c r="W9" s="1" t="s">
        <v>148</v>
      </c>
    </row>
    <row r="10" customFormat="false" ht="15" hidden="false" customHeight="false" outlineLevel="0" collapsed="false">
      <c r="B10" s="1" t="n">
        <v>2008</v>
      </c>
      <c r="C10" s="29" t="s">
        <v>149</v>
      </c>
      <c r="D10" s="1" t="n">
        <f aca="false">(samgung26[[#This Row],[CANTIDAD INICIAL JUEGO ]]+samgung26[[#This Row],[ENTRADAS JUEGOS ]]-samgung26[[#This Row],[SALIDAS JUEGOS]])</f>
        <v>10</v>
      </c>
      <c r="E10" s="1" t="n">
        <f aca="false">(samgung26[[#This Row],[CANTIDAD INICIAL BARRAS]]+samgung26[[#This Row],[ENTRADAS BARRAS]]-samgung26[[#This Row],[SALIDA BARRAS]])</f>
        <v>0</v>
      </c>
      <c r="F10" s="23" t="n">
        <v>200</v>
      </c>
      <c r="G10" s="1" t="n">
        <v>103</v>
      </c>
      <c r="I10" s="1" t="e">
        <f aca="false">(samgung26[[#This Row],["J" PRECIO VENTA ]]/samgung26[[#This Row],[BARRAS]])</f>
        <v>#DIV/0!</v>
      </c>
      <c r="J10" s="1" t="e">
        <f aca="false">(samgung26[[#This Row],["J"PRECIO COMPRA ]]/samgung26[[#This Row],[BARRAS]])</f>
        <v>#DIV/0!</v>
      </c>
      <c r="K10" s="1" t="n">
        <f aca="false">SUMIF(entradas26[CODIGO],samgung26[[#This Row],[CODIGO ]],entradas26[[CAN JUEGOS ]])</f>
        <v>10</v>
      </c>
      <c r="L10" s="1" t="n">
        <f aca="false">SUMIF(entradas26[CODIGO],samgung26[[#This Row],[CODIGO ]],entradas26[CAN BARRAS])</f>
        <v>0</v>
      </c>
      <c r="M10" s="1" t="n">
        <f aca="false">SUMIF(salidas26[[CODIGO ]],samgung26[[#This Row],[CODIGO ]],salidas26[[CANT JUEGOS ]])</f>
        <v>0</v>
      </c>
      <c r="N10" s="1" t="n">
        <f aca="false">SUMIF(salidas26[[CODIGO ]],samgung26[[#This Row],[CODIGO ]],salidas26[CANT BARRAS])</f>
        <v>0</v>
      </c>
      <c r="O10" s="1" t="n">
        <f aca="false">(samgung26[[#This Row],["J"PRECIO COMPRA ]]*samgung26[[#This Row],[STOCK JUEGOS]])</f>
        <v>1030</v>
      </c>
      <c r="P10" s="1" t="n">
        <f aca="false">(samgung26[[#This Row],["J" PRECIO VENTA ]]*samgung26[[#This Row],[STOCK JUEGOS]])</f>
        <v>2000</v>
      </c>
      <c r="Q10" s="1" t="e">
        <f aca="false">(samgung26[[#This Row],["B"PRECIO COMPRA]]*samgung26[[#This Row],[STOCK BARRAS]])</f>
        <v>#DIV/0!</v>
      </c>
      <c r="R10" s="1" t="e">
        <f aca="false">(samgung26[[#This Row],["B"PRECIO VENTA ]]*samgung26[[#This Row],[STOCK BARRAS]])</f>
        <v>#DIV/0!</v>
      </c>
      <c r="S10" s="18"/>
      <c r="T10" s="18"/>
      <c r="U10" s="1" t="n">
        <v>5.4</v>
      </c>
      <c r="W10" s="1" t="s">
        <v>150</v>
      </c>
    </row>
    <row r="11" customFormat="false" ht="15" hidden="false" customHeight="false" outlineLevel="0" collapsed="false">
      <c r="A11" s="1" t="n">
        <v>6</v>
      </c>
      <c r="B11" s="1" t="n">
        <v>2012</v>
      </c>
      <c r="C11" s="30" t="s">
        <v>151</v>
      </c>
      <c r="D11" s="1" t="n">
        <f aca="false">(samgung26[[#This Row],[CANTIDAD INICIAL JUEGO ]]+samgung26[[#This Row],[ENTRADAS JUEGOS ]]-samgung26[[#This Row],[SALIDAS JUEGOS]])</f>
        <v>14</v>
      </c>
      <c r="E11" s="1" t="n">
        <f aca="false">(samgung26[[#This Row],[CANTIDAD INICIAL BARRAS]]+samgung26[[#This Row],[ENTRADAS BARRAS]]-samgung26[[#This Row],[SALIDA BARRAS]])</f>
        <v>0</v>
      </c>
      <c r="F11" s="23" t="n">
        <v>160</v>
      </c>
      <c r="G11" s="1" t="n">
        <v>62</v>
      </c>
      <c r="H11" s="1" t="n">
        <v>3</v>
      </c>
      <c r="I11" s="1" t="n">
        <f aca="false">(samgung26[[#This Row],["J" PRECIO VENTA ]]/samgung26[[#This Row],[BARRAS]])</f>
        <v>53.3333333333333</v>
      </c>
      <c r="J11" s="1" t="n">
        <f aca="false">(samgung26[[#This Row],["J"PRECIO COMPRA ]]/samgung26[[#This Row],[BARRAS]])</f>
        <v>20.6666666666667</v>
      </c>
      <c r="K11" s="1" t="n">
        <f aca="false">SUMIF(entradas26[CODIGO],samgung26[[#This Row],[CODIGO ]],entradas26[[CAN JUEGOS ]])</f>
        <v>0</v>
      </c>
      <c r="L11" s="1" t="n">
        <f aca="false">SUMIF(entradas26[CODIGO],samgung26[[#This Row],[CODIGO ]],entradas26[CAN BARRAS])</f>
        <v>0</v>
      </c>
      <c r="M11" s="1" t="n">
        <f aca="false">SUMIF(salidas26[[CODIGO ]],samgung26[[#This Row],[CODIGO ]],salidas26[[CANT JUEGOS ]])</f>
        <v>10</v>
      </c>
      <c r="N11" s="1" t="n">
        <f aca="false">SUMIF(salidas26[[CODIGO ]],samgung26[[#This Row],[CODIGO ]],salidas26[CANT BARRAS])</f>
        <v>0</v>
      </c>
      <c r="O11" s="1" t="n">
        <f aca="false">(samgung26[[#This Row],["J"PRECIO COMPRA ]]*samgung26[[#This Row],[STOCK JUEGOS]])</f>
        <v>868</v>
      </c>
      <c r="P11" s="1" t="n">
        <f aca="false">(samgung26[[#This Row],["J" PRECIO VENTA ]]*samgung26[[#This Row],[STOCK JUEGOS]])</f>
        <v>2240</v>
      </c>
      <c r="Q11" s="1" t="n">
        <f aca="false">(samgung26[[#This Row],["B"PRECIO COMPRA]]*samgung26[[#This Row],[STOCK BARRAS]])</f>
        <v>0</v>
      </c>
      <c r="R11" s="1" t="n">
        <f aca="false">(samgung26[[#This Row],["B"PRECIO VENTA ]]*samgung26[[#This Row],[STOCK BARRAS]])</f>
        <v>0</v>
      </c>
      <c r="S11" s="18" t="n">
        <v>24</v>
      </c>
      <c r="T11" s="18"/>
      <c r="U11" s="1" t="n">
        <v>3.4</v>
      </c>
      <c r="W11" s="1" t="s">
        <v>152</v>
      </c>
    </row>
    <row r="12" customFormat="false" ht="15" hidden="false" customHeight="false" outlineLevel="0" collapsed="false">
      <c r="B12" s="1" t="n">
        <v>2013</v>
      </c>
      <c r="C12" s="31" t="s">
        <v>153</v>
      </c>
      <c r="D12" s="1" t="n">
        <f aca="false">(samgung26[[#This Row],[CANTIDAD INICIAL JUEGO ]]+samgung26[[#This Row],[ENTRADAS JUEGOS ]]-samgung26[[#This Row],[SALIDAS JUEGOS]])</f>
        <v>10</v>
      </c>
      <c r="E12" s="1" t="n">
        <f aca="false">(samgung26[[#This Row],[CANTIDAD INICIAL BARRAS]]+samgung26[[#This Row],[ENTRADAS BARRAS]]-samgung26[[#This Row],[SALIDA BARRAS]])</f>
        <v>0</v>
      </c>
      <c r="F12" s="23" t="n">
        <v>250</v>
      </c>
      <c r="H12" s="1" t="n">
        <v>10</v>
      </c>
      <c r="I12" s="1" t="n">
        <f aca="false">(samgung26[[#This Row],["J" PRECIO VENTA ]]/samgung26[[#This Row],[BARRAS]])</f>
        <v>25</v>
      </c>
      <c r="J12" s="1" t="n">
        <f aca="false">(samgung26[[#This Row],["J"PRECIO COMPRA ]]/samgung26[[#This Row],[BARRAS]])</f>
        <v>0</v>
      </c>
      <c r="K12" s="1" t="n">
        <f aca="false">SUMIF(entradas26[CODIGO],samgung26[[#This Row],[CODIGO ]],entradas26[[CAN JUEGOS ]])</f>
        <v>10</v>
      </c>
      <c r="L12" s="1" t="n">
        <f aca="false">SUMIF(entradas26[CODIGO],samgung26[[#This Row],[CODIGO ]],entradas26[CAN BARRAS])</f>
        <v>0</v>
      </c>
      <c r="M12" s="1" t="n">
        <f aca="false">SUMIF(salidas26[[CODIGO ]],samgung26[[#This Row],[CODIGO ]],salidas26[[CANT JUEGOS ]])</f>
        <v>0</v>
      </c>
      <c r="N12" s="1" t="n">
        <f aca="false">SUMIF(salidas26[[CODIGO ]],samgung26[[#This Row],[CODIGO ]],salidas26[CANT BARRAS])</f>
        <v>0</v>
      </c>
      <c r="O12" s="1" t="n">
        <f aca="false">(samgung26[[#This Row],["J"PRECIO COMPRA ]]*samgung26[[#This Row],[STOCK JUEGOS]])</f>
        <v>0</v>
      </c>
      <c r="P12" s="1" t="n">
        <f aca="false">(samgung26[[#This Row],["J" PRECIO VENTA ]]*samgung26[[#This Row],[STOCK JUEGOS]])</f>
        <v>2500</v>
      </c>
      <c r="Q12" s="1" t="n">
        <f aca="false">(samgung26[[#This Row],["B"PRECIO COMPRA]]*samgung26[[#This Row],[STOCK BARRAS]])</f>
        <v>0</v>
      </c>
      <c r="R12" s="1" t="n">
        <f aca="false">(samgung26[[#This Row],["B"PRECIO VENTA ]]*samgung26[[#This Row],[STOCK BARRAS]])</f>
        <v>0</v>
      </c>
      <c r="S12" s="18"/>
      <c r="T12" s="18"/>
      <c r="W12" s="1" t="s">
        <v>154</v>
      </c>
    </row>
    <row r="13" customFormat="false" ht="15" hidden="false" customHeight="false" outlineLevel="0" collapsed="false">
      <c r="A13" s="1" t="n">
        <v>7</v>
      </c>
      <c r="B13" s="1" t="n">
        <v>2015</v>
      </c>
      <c r="C13" s="29" t="s">
        <v>155</v>
      </c>
      <c r="D13" s="1" t="n">
        <f aca="false">(samgung26[[#This Row],[CANTIDAD INICIAL JUEGO ]]+samgung26[[#This Row],[ENTRADAS JUEGOS ]]-samgung26[[#This Row],[SALIDAS JUEGOS]])</f>
        <v>10</v>
      </c>
      <c r="E13" s="1" t="n">
        <f aca="false">(samgung26[[#This Row],[CANTIDAD INICIAL BARRAS]]+samgung26[[#This Row],[ENTRADAS BARRAS]]-samgung26[[#This Row],[SALIDA BARRAS]])</f>
        <v>3</v>
      </c>
      <c r="F13" s="32" t="n">
        <v>160</v>
      </c>
      <c r="G13" s="1" t="n">
        <v>99</v>
      </c>
      <c r="H13" s="1" t="n">
        <v>3</v>
      </c>
      <c r="I13" s="1" t="n">
        <f aca="false">(samgung26[[#This Row],["J" PRECIO VENTA ]]/samgung26[[#This Row],[BARRAS]])</f>
        <v>53.3333333333333</v>
      </c>
      <c r="J13" s="1" t="n">
        <f aca="false">(samgung26[[#This Row],["J"PRECIO COMPRA ]]/samgung26[[#This Row],[BARRAS]])</f>
        <v>33</v>
      </c>
      <c r="K13" s="1" t="n">
        <f aca="false">SUMIF(entradas26[CODIGO],samgung26[[#This Row],[CODIGO ]],entradas26[[CAN JUEGOS ]])</f>
        <v>0</v>
      </c>
      <c r="L13" s="1" t="n">
        <f aca="false">SUMIF(entradas26[CODIGO],samgung26[[#This Row],[CODIGO ]],entradas26[CAN BARRAS])</f>
        <v>0</v>
      </c>
      <c r="M13" s="1" t="n">
        <f aca="false">SUMIF(salidas26[[CODIGO ]],samgung26[[#This Row],[CODIGO ]],salidas26[[CANT JUEGOS ]])</f>
        <v>3</v>
      </c>
      <c r="N13" s="1" t="n">
        <f aca="false">SUMIF(salidas26[[CODIGO ]],samgung26[[#This Row],[CODIGO ]],salidas26[CANT BARRAS])</f>
        <v>0</v>
      </c>
      <c r="O13" s="1" t="n">
        <f aca="false">(samgung26[[#This Row],["J"PRECIO COMPRA ]]*samgung26[[#This Row],[STOCK JUEGOS]])</f>
        <v>990</v>
      </c>
      <c r="P13" s="1" t="n">
        <f aca="false">(samgung26[[#This Row],["J" PRECIO VENTA ]]*samgung26[[#This Row],[STOCK JUEGOS]])</f>
        <v>1600</v>
      </c>
      <c r="Q13" s="1" t="n">
        <f aca="false">(samgung26[[#This Row],["B"PRECIO COMPRA]]*samgung26[[#This Row],[STOCK BARRAS]])</f>
        <v>99</v>
      </c>
      <c r="R13" s="1" t="n">
        <f aca="false">(samgung26[[#This Row],["B"PRECIO VENTA ]]*samgung26[[#This Row],[STOCK BARRAS]])</f>
        <v>160</v>
      </c>
      <c r="S13" s="18" t="n">
        <v>13</v>
      </c>
      <c r="T13" s="18" t="n">
        <v>3</v>
      </c>
      <c r="U13" s="1" t="n">
        <v>3.8</v>
      </c>
      <c r="W13" s="1" t="s">
        <v>156</v>
      </c>
      <c r="X13" s="0" t="s">
        <v>157</v>
      </c>
    </row>
    <row r="14" customFormat="false" ht="15" hidden="false" customHeight="false" outlineLevel="0" collapsed="false">
      <c r="A14" s="1" t="n">
        <v>8</v>
      </c>
      <c r="B14" s="1" t="n">
        <v>2018</v>
      </c>
      <c r="C14" s="29" t="s">
        <v>158</v>
      </c>
      <c r="D14" s="1" t="n">
        <f aca="false">(samgung26[[#This Row],[CANTIDAD INICIAL JUEGO ]]+samgung26[[#This Row],[ENTRADAS JUEGOS ]]-samgung26[[#This Row],[SALIDAS JUEGOS]])</f>
        <v>16</v>
      </c>
      <c r="E14" s="1" t="n">
        <f aca="false">(samgung26[[#This Row],[CANTIDAD INICIAL BARRAS]]+samgung26[[#This Row],[ENTRADAS BARRAS]]-samgung26[[#This Row],[SALIDA BARRAS]])</f>
        <v>0</v>
      </c>
      <c r="F14" s="23" t="n">
        <v>160</v>
      </c>
      <c r="G14" s="1" t="n">
        <v>102</v>
      </c>
      <c r="H14" s="1" t="n">
        <v>3</v>
      </c>
      <c r="I14" s="1" t="n">
        <f aca="false">(samgung26[[#This Row],["J" PRECIO VENTA ]]/samgung26[[#This Row],[BARRAS]])</f>
        <v>53.3333333333333</v>
      </c>
      <c r="J14" s="1" t="n">
        <f aca="false">(samgung26[[#This Row],["J"PRECIO COMPRA ]]/samgung26[[#This Row],[BARRAS]])</f>
        <v>34</v>
      </c>
      <c r="K14" s="1" t="n">
        <f aca="false">SUMIF(entradas26[CODIGO],samgung26[[#This Row],[CODIGO ]],entradas26[[CAN JUEGOS ]])</f>
        <v>0</v>
      </c>
      <c r="L14" s="1" t="n">
        <f aca="false">SUMIF(entradas26[CODIGO],samgung26[[#This Row],[CODIGO ]],entradas26[CAN BARRAS])</f>
        <v>0</v>
      </c>
      <c r="M14" s="1" t="n">
        <f aca="false">SUMIF(salidas26[[CODIGO ]],samgung26[[#This Row],[CODIGO ]],salidas26[[CANT JUEGOS ]])</f>
        <v>3</v>
      </c>
      <c r="N14" s="1" t="n">
        <f aca="false">SUMIF(salidas26[[CODIGO ]],samgung26[[#This Row],[CODIGO ]],salidas26[CANT BARRAS])</f>
        <v>0</v>
      </c>
      <c r="O14" s="1" t="n">
        <f aca="false">(samgung26[[#This Row],["J"PRECIO COMPRA ]]*samgung26[[#This Row],[STOCK JUEGOS]])</f>
        <v>1632</v>
      </c>
      <c r="P14" s="1" t="n">
        <f aca="false">(samgung26[[#This Row],["J" PRECIO VENTA ]]*samgung26[[#This Row],[STOCK JUEGOS]])</f>
        <v>2560</v>
      </c>
      <c r="Q14" s="1" t="n">
        <f aca="false">(samgung26[[#This Row],["B"PRECIO COMPRA]]*samgung26[[#This Row],[STOCK BARRAS]])</f>
        <v>0</v>
      </c>
      <c r="R14" s="1" t="n">
        <f aca="false">(samgung26[[#This Row],["B"PRECIO VENTA ]]*samgung26[[#This Row],[STOCK BARRAS]])</f>
        <v>0</v>
      </c>
      <c r="S14" s="18" t="n">
        <v>19</v>
      </c>
      <c r="T14" s="18"/>
      <c r="U14" s="1" t="n">
        <v>2.71</v>
      </c>
      <c r="W14" s="1" t="s">
        <v>159</v>
      </c>
      <c r="X14" s="0" t="s">
        <v>160</v>
      </c>
    </row>
    <row r="15" customFormat="false" ht="15" hidden="false" customHeight="false" outlineLevel="0" collapsed="false">
      <c r="A15" s="1" t="n">
        <v>9</v>
      </c>
      <c r="B15" s="1" t="n">
        <v>2021</v>
      </c>
      <c r="C15" s="29" t="s">
        <v>161</v>
      </c>
      <c r="D15" s="1" t="n">
        <f aca="false">(samgung26[[#This Row],[CANTIDAD INICIAL JUEGO ]]+samgung26[[#This Row],[ENTRADAS JUEGOS ]]-samgung26[[#This Row],[SALIDAS JUEGOS]])</f>
        <v>5</v>
      </c>
      <c r="E15" s="1" t="n">
        <f aca="false">(samgung26[[#This Row],[CANTIDAD INICIAL BARRAS]]+samgung26[[#This Row],[ENTRADAS BARRAS]]-samgung26[[#This Row],[SALIDA BARRAS]])</f>
        <v>7</v>
      </c>
      <c r="F15" s="23" t="n">
        <v>260</v>
      </c>
      <c r="G15" s="1" t="n">
        <v>225</v>
      </c>
      <c r="H15" s="1" t="n">
        <v>14</v>
      </c>
      <c r="I15" s="1" t="n">
        <f aca="false">(samgung26[[#This Row],["J" PRECIO VENTA ]]/samgung26[[#This Row],[BARRAS]])</f>
        <v>18.5714285714286</v>
      </c>
      <c r="J15" s="1" t="n">
        <f aca="false">(samgung26[[#This Row],["J"PRECIO COMPRA ]]/samgung26[[#This Row],[BARRAS]])</f>
        <v>16.0714285714286</v>
      </c>
      <c r="K15" s="1" t="n">
        <f aca="false">SUMIF(entradas26[CODIGO],samgung26[[#This Row],[CODIGO ]],entradas26[[CAN JUEGOS ]])</f>
        <v>0</v>
      </c>
      <c r="L15" s="1" t="n">
        <f aca="false">SUMIF(entradas26[CODIGO],samgung26[[#This Row],[CODIGO ]],entradas26[CAN BARRAS])</f>
        <v>0</v>
      </c>
      <c r="M15" s="1" t="n">
        <f aca="false">SUMIF(salidas26[[CODIGO ]],samgung26[[#This Row],[CODIGO ]],salidas26[[CANT JUEGOS ]])</f>
        <v>5</v>
      </c>
      <c r="N15" s="1" t="n">
        <f aca="false">SUMIF(salidas26[[CODIGO ]],samgung26[[#This Row],[CODIGO ]],salidas26[CANT BARRAS])</f>
        <v>0</v>
      </c>
      <c r="O15" s="1" t="n">
        <f aca="false">(samgung26[[#This Row],["J"PRECIO COMPRA ]]*samgung26[[#This Row],[STOCK JUEGOS]])</f>
        <v>1125</v>
      </c>
      <c r="P15" s="1" t="n">
        <f aca="false">(samgung26[[#This Row],["J" PRECIO VENTA ]]*samgung26[[#This Row],[STOCK JUEGOS]])</f>
        <v>1300</v>
      </c>
      <c r="Q15" s="1" t="n">
        <f aca="false">(samgung26[[#This Row],["B"PRECIO COMPRA]]*samgung26[[#This Row],[STOCK BARRAS]])</f>
        <v>112.5</v>
      </c>
      <c r="R15" s="1" t="n">
        <f aca="false">(samgung26[[#This Row],["B"PRECIO VENTA ]]*samgung26[[#This Row],[STOCK BARRAS]])</f>
        <v>130</v>
      </c>
      <c r="S15" s="18" t="n">
        <v>10</v>
      </c>
      <c r="T15" s="18" t="n">
        <v>7</v>
      </c>
      <c r="U15" s="1" t="n">
        <v>6.75</v>
      </c>
      <c r="W15" s="1" t="s">
        <v>162</v>
      </c>
      <c r="X15" s="0" t="s">
        <v>163</v>
      </c>
    </row>
    <row r="16" customFormat="false" ht="15" hidden="false" customHeight="false" outlineLevel="0" collapsed="false">
      <c r="A16" s="1" t="n">
        <v>10</v>
      </c>
      <c r="B16" s="1" t="n">
        <v>2024</v>
      </c>
      <c r="C16" s="29" t="s">
        <v>164</v>
      </c>
      <c r="D16" s="1" t="n">
        <f aca="false">(samgung26[[#This Row],[CANTIDAD INICIAL JUEGO ]]+samgung26[[#This Row],[ENTRADAS JUEGOS ]]-samgung26[[#This Row],[SALIDAS JUEGOS]])</f>
        <v>18</v>
      </c>
      <c r="E16" s="1" t="n">
        <f aca="false">(samgung26[[#This Row],[CANTIDAD INICIAL BARRAS]]+samgung26[[#This Row],[ENTRADAS BARRAS]]-samgung26[[#This Row],[SALIDA BARRAS]])</f>
        <v>0</v>
      </c>
      <c r="F16" s="23" t="n">
        <v>180</v>
      </c>
      <c r="G16" s="1" t="n">
        <v>42</v>
      </c>
      <c r="H16" s="1" t="n">
        <v>3</v>
      </c>
      <c r="I16" s="1" t="n">
        <f aca="false">(samgung26[[#This Row],["J" PRECIO VENTA ]]/samgung26[[#This Row],[BARRAS]])</f>
        <v>60</v>
      </c>
      <c r="J16" s="1" t="n">
        <f aca="false">(samgung26[[#This Row],["J"PRECIO COMPRA ]]/samgung26[[#This Row],[BARRAS]])</f>
        <v>14</v>
      </c>
      <c r="K16" s="1" t="n">
        <f aca="false">SUMIF(entradas26[CODIGO],samgung26[[#This Row],[CODIGO ]],entradas26[[CAN JUEGOS ]])</f>
        <v>0</v>
      </c>
      <c r="L16" s="1" t="n">
        <f aca="false">SUMIF(entradas26[CODIGO],samgung26[[#This Row],[CODIGO ]],entradas26[CAN BARRAS])</f>
        <v>0</v>
      </c>
      <c r="M16" s="1" t="n">
        <f aca="false">SUMIF(salidas26[[CODIGO ]],samgung26[[#This Row],[CODIGO ]],salidas26[[CANT JUEGOS ]])</f>
        <v>8</v>
      </c>
      <c r="N16" s="1" t="n">
        <f aca="false">SUMIF(salidas26[[CODIGO ]],samgung26[[#This Row],[CODIGO ]],salidas26[CANT BARRAS])</f>
        <v>0</v>
      </c>
      <c r="O16" s="1" t="n">
        <f aca="false">(samgung26[[#This Row],["J"PRECIO COMPRA ]]*samgung26[[#This Row],[STOCK JUEGOS]])</f>
        <v>756</v>
      </c>
      <c r="P16" s="1" t="n">
        <f aca="false">(samgung26[[#This Row],["J" PRECIO VENTA ]]*samgung26[[#This Row],[STOCK JUEGOS]])</f>
        <v>3240</v>
      </c>
      <c r="Q16" s="1" t="n">
        <f aca="false">(samgung26[[#This Row],["B"PRECIO COMPRA]]*samgung26[[#This Row],[STOCK BARRAS]])</f>
        <v>0</v>
      </c>
      <c r="R16" s="1" t="n">
        <f aca="false">(samgung26[[#This Row],["B"PRECIO VENTA ]]*samgung26[[#This Row],[STOCK BARRAS]])</f>
        <v>0</v>
      </c>
      <c r="S16" s="33" t="n">
        <v>26</v>
      </c>
      <c r="T16" s="33"/>
      <c r="U16" s="1" t="n">
        <v>2.1</v>
      </c>
      <c r="W16" s="1" t="s">
        <v>165</v>
      </c>
      <c r="X16" s="0" t="s">
        <v>166</v>
      </c>
    </row>
    <row r="17" customFormat="false" ht="15" hidden="false" customHeight="false" outlineLevel="0" collapsed="false">
      <c r="B17" s="1" t="n">
        <v>2025</v>
      </c>
      <c r="C17" s="29" t="s">
        <v>167</v>
      </c>
      <c r="D17" s="1" t="n">
        <f aca="false">(samgung26[[#This Row],[CANTIDAD INICIAL JUEGO ]]+samgung26[[#This Row],[ENTRADAS JUEGOS ]]-samgung26[[#This Row],[SALIDAS JUEGOS]])</f>
        <v>20</v>
      </c>
      <c r="E17" s="1" t="n">
        <f aca="false">(samgung26[[#This Row],[CANTIDAD INICIAL BARRAS]]+samgung26[[#This Row],[ENTRADAS BARRAS]]-samgung26[[#This Row],[SALIDA BARRAS]])</f>
        <v>0</v>
      </c>
      <c r="F17" s="23" t="n">
        <v>200</v>
      </c>
      <c r="G17" s="1" t="n">
        <v>63</v>
      </c>
      <c r="I17" s="1" t="e">
        <f aca="false">(samgung26[[#This Row],["J" PRECIO VENTA ]]/samgung26[[#This Row],[BARRAS]])</f>
        <v>#DIV/0!</v>
      </c>
      <c r="J17" s="1" t="e">
        <f aca="false">(samgung26[[#This Row],["J"PRECIO COMPRA ]]/samgung26[[#This Row],[BARRAS]])</f>
        <v>#DIV/0!</v>
      </c>
      <c r="K17" s="1" t="n">
        <f aca="false">SUMIF(entradas26[CODIGO],samgung26[[#This Row],[CODIGO ]],entradas26[[CAN JUEGOS ]])</f>
        <v>20</v>
      </c>
      <c r="L17" s="1" t="n">
        <f aca="false">SUMIF(entradas26[CODIGO],samgung26[[#This Row],[CODIGO ]],entradas26[CAN BARRAS])</f>
        <v>0</v>
      </c>
      <c r="M17" s="1" t="n">
        <f aca="false">SUMIF(salidas26[[CODIGO ]],samgung26[[#This Row],[CODIGO ]],salidas26[[CANT JUEGOS ]])</f>
        <v>0</v>
      </c>
      <c r="N17" s="1" t="n">
        <f aca="false">SUMIF(salidas26[[CODIGO ]],samgung26[[#This Row],[CODIGO ]],salidas26[CANT BARRAS])</f>
        <v>0</v>
      </c>
      <c r="O17" s="1" t="n">
        <f aca="false">(samgung26[[#This Row],["J"PRECIO COMPRA ]]*samgung26[[#This Row],[STOCK JUEGOS]])</f>
        <v>1260</v>
      </c>
      <c r="P17" s="1" t="n">
        <f aca="false">(samgung26[[#This Row],["J" PRECIO VENTA ]]*samgung26[[#This Row],[STOCK JUEGOS]])</f>
        <v>4000</v>
      </c>
      <c r="Q17" s="1" t="e">
        <f aca="false">(samgung26[[#This Row],["B"PRECIO COMPRA]]*samgung26[[#This Row],[STOCK BARRAS]])</f>
        <v>#DIV/0!</v>
      </c>
      <c r="R17" s="1" t="e">
        <f aca="false">(samgung26[[#This Row],["B"PRECIO VENTA ]]*samgung26[[#This Row],[STOCK BARRAS]])</f>
        <v>#DIV/0!</v>
      </c>
      <c r="S17" s="33"/>
      <c r="T17" s="33"/>
      <c r="U17" s="1" t="n">
        <v>3.3</v>
      </c>
      <c r="W17" s="1" t="s">
        <v>168</v>
      </c>
    </row>
    <row r="18" customFormat="false" ht="15" hidden="false" customHeight="false" outlineLevel="0" collapsed="false">
      <c r="A18" s="1" t="n">
        <v>11</v>
      </c>
      <c r="B18" s="1" t="n">
        <v>2027</v>
      </c>
      <c r="C18" s="29" t="s">
        <v>169</v>
      </c>
      <c r="D18" s="1" t="n">
        <f aca="false">(samgung26[[#This Row],[CANTIDAD INICIAL JUEGO ]]+samgung26[[#This Row],[ENTRADAS JUEGOS ]]-samgung26[[#This Row],[SALIDAS JUEGOS]])</f>
        <v>12</v>
      </c>
      <c r="E18" s="1" t="n">
        <f aca="false">(samgung26[[#This Row],[CANTIDAD INICIAL BARRAS]]+samgung26[[#This Row],[ENTRADAS BARRAS]]-samgung26[[#This Row],[SALIDA BARRAS]])</f>
        <v>3</v>
      </c>
      <c r="F18" s="23" t="n">
        <v>180</v>
      </c>
      <c r="G18" s="1" t="n">
        <v>108</v>
      </c>
      <c r="H18" s="1" t="n">
        <v>8</v>
      </c>
      <c r="I18" s="1" t="n">
        <f aca="false">(samgung26[[#This Row],["J" PRECIO VENTA ]]/samgung26[[#This Row],[BARRAS]])</f>
        <v>22.5</v>
      </c>
      <c r="J18" s="1" t="n">
        <f aca="false">(samgung26[[#This Row],["J"PRECIO COMPRA ]]/samgung26[[#This Row],[BARRAS]])</f>
        <v>13.5</v>
      </c>
      <c r="K18" s="1" t="n">
        <f aca="false">SUMIF(entradas26[CODIGO],samgung26[[#This Row],[CODIGO ]],entradas26[[CAN JUEGOS ]])</f>
        <v>0</v>
      </c>
      <c r="L18" s="1" t="n">
        <f aca="false">SUMIF(entradas26[CODIGO],samgung26[[#This Row],[CODIGO ]],entradas26[CAN BARRAS])</f>
        <v>8</v>
      </c>
      <c r="M18" s="1" t="n">
        <f aca="false">SUMIF(salidas26[[CODIGO ]],samgung26[[#This Row],[CODIGO ]],salidas26[[CANT JUEGOS ]])</f>
        <v>8</v>
      </c>
      <c r="N18" s="1" t="n">
        <f aca="false">SUMIF(salidas26[[CODIGO ]],samgung26[[#This Row],[CODIGO ]],salidas26[CANT BARRAS])</f>
        <v>6</v>
      </c>
      <c r="O18" s="1" t="n">
        <f aca="false">(samgung26[[#This Row],["J"PRECIO COMPRA ]]*samgung26[[#This Row],[STOCK JUEGOS]])</f>
        <v>1296</v>
      </c>
      <c r="P18" s="1" t="n">
        <f aca="false">(samgung26[[#This Row],["J" PRECIO VENTA ]]*samgung26[[#This Row],[STOCK JUEGOS]])</f>
        <v>2160</v>
      </c>
      <c r="Q18" s="1" t="n">
        <f aca="false">(samgung26[[#This Row],["B"PRECIO COMPRA]]*samgung26[[#This Row],[STOCK BARRAS]])</f>
        <v>40.5</v>
      </c>
      <c r="R18" s="1" t="n">
        <f aca="false">(samgung26[[#This Row],["B"PRECIO VENTA ]]*samgung26[[#This Row],[STOCK BARRAS]])</f>
        <v>67.5</v>
      </c>
      <c r="S18" s="18" t="n">
        <v>20</v>
      </c>
      <c r="T18" s="18" t="n">
        <v>1</v>
      </c>
      <c r="U18" s="1" t="n">
        <v>4.6</v>
      </c>
      <c r="W18" s="1" t="s">
        <v>170</v>
      </c>
      <c r="X18" s="0" t="s">
        <v>171</v>
      </c>
    </row>
    <row r="19" customFormat="false" ht="15" hidden="false" customHeight="false" outlineLevel="0" collapsed="false">
      <c r="A19" s="1" t="n">
        <v>12</v>
      </c>
      <c r="B19" s="1" t="n">
        <v>2029</v>
      </c>
      <c r="C19" s="29" t="s">
        <v>172</v>
      </c>
      <c r="D19" s="1" t="n">
        <f aca="false">(samgung26[[#This Row],[CANTIDAD INICIAL JUEGO ]]+samgung26[[#This Row],[ENTRADAS JUEGOS ]]-samgung26[[#This Row],[SALIDAS JUEGOS]])</f>
        <v>8</v>
      </c>
      <c r="E19" s="1" t="n">
        <f aca="false">(samgung26[[#This Row],[CANTIDAD INICIAL BARRAS]]+samgung26[[#This Row],[ENTRADAS BARRAS]]-samgung26[[#This Row],[SALIDA BARRAS]])</f>
        <v>0</v>
      </c>
      <c r="F19" s="23" t="n">
        <v>220</v>
      </c>
      <c r="G19" s="1" t="n">
        <v>122</v>
      </c>
      <c r="H19" s="1" t="n">
        <v>2</v>
      </c>
      <c r="I19" s="1" t="n">
        <f aca="false">(samgung26[[#This Row],["J" PRECIO VENTA ]]/samgung26[[#This Row],[BARRAS]])</f>
        <v>110</v>
      </c>
      <c r="J19" s="1" t="n">
        <f aca="false">(samgung26[[#This Row],["J"PRECIO COMPRA ]]/samgung26[[#This Row],[BARRAS]])</f>
        <v>61</v>
      </c>
      <c r="K19" s="1" t="n">
        <f aca="false">SUMIF(entradas26[CODIGO],samgung26[[#This Row],[CODIGO ]],entradas26[[CAN JUEGOS ]])</f>
        <v>0</v>
      </c>
      <c r="L19" s="1" t="n">
        <f aca="false">SUMIF(entradas26[CODIGO],samgung26[[#This Row],[CODIGO ]],entradas26[CAN BARRAS])</f>
        <v>0</v>
      </c>
      <c r="M19" s="1" t="n">
        <f aca="false">SUMIF(salidas26[[CODIGO ]],samgung26[[#This Row],[CODIGO ]],salidas26[[CANT JUEGOS ]])</f>
        <v>1</v>
      </c>
      <c r="N19" s="1" t="n">
        <f aca="false">SUMIF(salidas26[[CODIGO ]],samgung26[[#This Row],[CODIGO ]],salidas26[CANT BARRAS])</f>
        <v>0</v>
      </c>
      <c r="O19" s="1" t="n">
        <f aca="false">(samgung26[[#This Row],["J"PRECIO COMPRA ]]*samgung26[[#This Row],[STOCK JUEGOS]])</f>
        <v>976</v>
      </c>
      <c r="P19" s="1" t="n">
        <f aca="false">(samgung26[[#This Row],["J" PRECIO VENTA ]]*samgung26[[#This Row],[STOCK JUEGOS]])</f>
        <v>1760</v>
      </c>
      <c r="Q19" s="1" t="n">
        <f aca="false">(samgung26[[#This Row],["B"PRECIO COMPRA]]*samgung26[[#This Row],[STOCK BARRAS]])</f>
        <v>0</v>
      </c>
      <c r="R19" s="1" t="n">
        <f aca="false">(samgung26[[#This Row],["B"PRECIO VENTA ]]*samgung26[[#This Row],[STOCK BARRAS]])</f>
        <v>0</v>
      </c>
      <c r="S19" s="18" t="n">
        <v>9</v>
      </c>
      <c r="T19" s="18"/>
      <c r="U19" s="1" t="n">
        <v>3.9</v>
      </c>
      <c r="W19" s="1" t="s">
        <v>173</v>
      </c>
    </row>
    <row r="20" customFormat="false" ht="15" hidden="false" customHeight="false" outlineLevel="0" collapsed="false">
      <c r="A20" s="1" t="n">
        <v>13</v>
      </c>
      <c r="B20" s="1" t="n">
        <v>2030</v>
      </c>
      <c r="C20" s="29" t="s">
        <v>174</v>
      </c>
      <c r="D20" s="1" t="n">
        <f aca="false">(samgung26[[#This Row],[CANTIDAD INICIAL JUEGO ]]+samgung26[[#This Row],[ENTRADAS JUEGOS ]]-samgung26[[#This Row],[SALIDAS JUEGOS]])</f>
        <v>2</v>
      </c>
      <c r="E20" s="1" t="n">
        <f aca="false">(samgung26[[#This Row],[CANTIDAD INICIAL BARRAS]]+samgung26[[#This Row],[ENTRADAS BARRAS]]-samgung26[[#This Row],[SALIDA BARRAS]])</f>
        <v>1</v>
      </c>
      <c r="F20" s="23" t="n">
        <v>150</v>
      </c>
      <c r="G20" s="1" t="n">
        <v>80</v>
      </c>
      <c r="H20" s="1" t="n">
        <v>2</v>
      </c>
      <c r="I20" s="1" t="n">
        <f aca="false">(samgung26[[#This Row],["J" PRECIO VENTA ]]/samgung26[[#This Row],[BARRAS]])</f>
        <v>75</v>
      </c>
      <c r="J20" s="1" t="n">
        <f aca="false">(samgung26[[#This Row],["J"PRECIO COMPRA ]]/samgung26[[#This Row],[BARRAS]])</f>
        <v>40</v>
      </c>
      <c r="K20" s="1" t="n">
        <f aca="false">SUMIF(entradas26[CODIGO],samgung26[[#This Row],[CODIGO ]],entradas26[[CAN JUEGOS ]])</f>
        <v>0</v>
      </c>
      <c r="L20" s="1" t="n">
        <f aca="false">SUMIF(entradas26[CODIGO],samgung26[[#This Row],[CODIGO ]],entradas26[CAN BARRAS])</f>
        <v>0</v>
      </c>
      <c r="M20" s="1" t="n">
        <f aca="false">SUMIF(salidas26[[CODIGO ]],samgung26[[#This Row],[CODIGO ]],salidas26[[CANT JUEGOS ]])</f>
        <v>0</v>
      </c>
      <c r="N20" s="1" t="n">
        <f aca="false">SUMIF(salidas26[[CODIGO ]],samgung26[[#This Row],[CODIGO ]],salidas26[CANT BARRAS])</f>
        <v>0</v>
      </c>
      <c r="O20" s="1" t="n">
        <f aca="false">(samgung26[[#This Row],["J"PRECIO COMPRA ]]*samgung26[[#This Row],[STOCK JUEGOS]])</f>
        <v>160</v>
      </c>
      <c r="P20" s="1" t="n">
        <f aca="false">(samgung26[[#This Row],["J" PRECIO VENTA ]]*samgung26[[#This Row],[STOCK JUEGOS]])</f>
        <v>300</v>
      </c>
      <c r="Q20" s="1" t="n">
        <f aca="false">(samgung26[[#This Row],["B"PRECIO COMPRA]]*samgung26[[#This Row],[STOCK BARRAS]])</f>
        <v>40</v>
      </c>
      <c r="R20" s="1" t="n">
        <f aca="false">(samgung26[[#This Row],["B"PRECIO VENTA ]]*samgung26[[#This Row],[STOCK BARRAS]])</f>
        <v>75</v>
      </c>
      <c r="S20" s="18" t="n">
        <v>2</v>
      </c>
      <c r="T20" s="18" t="n">
        <v>1</v>
      </c>
    </row>
    <row r="21" customFormat="false" ht="15" hidden="false" customHeight="false" outlineLevel="0" collapsed="false">
      <c r="A21" s="1" t="n">
        <v>14</v>
      </c>
      <c r="B21" s="1" t="n">
        <v>2033</v>
      </c>
      <c r="C21" s="29" t="s">
        <v>175</v>
      </c>
      <c r="D21" s="1" t="n">
        <f aca="false">(samgung26[[#This Row],[CANTIDAD INICIAL JUEGO ]]+samgung26[[#This Row],[ENTRADAS JUEGOS ]]-samgung26[[#This Row],[SALIDAS JUEGOS]])</f>
        <v>20</v>
      </c>
      <c r="E21" s="1" t="n">
        <f aca="false">(samgung26[[#This Row],[CANTIDAD INICIAL BARRAS]]+samgung26[[#This Row],[ENTRADAS BARRAS]]-samgung26[[#This Row],[SALIDA BARRAS]])</f>
        <v>0</v>
      </c>
      <c r="F21" s="23" t="n">
        <v>350</v>
      </c>
      <c r="G21" s="34" t="n">
        <v>200</v>
      </c>
      <c r="H21" s="1" t="n">
        <v>16</v>
      </c>
      <c r="I21" s="1" t="n">
        <f aca="false">(samgung26[[#This Row],["J" PRECIO VENTA ]]/samgung26[[#This Row],[BARRAS]])</f>
        <v>21.875</v>
      </c>
      <c r="J21" s="1" t="n">
        <f aca="false">(samgung26[[#This Row],["J"PRECIO COMPRA ]]/samgung26[[#This Row],[BARRAS]])</f>
        <v>12.5</v>
      </c>
      <c r="K21" s="1" t="n">
        <f aca="false">SUMIF(entradas26[CODIGO],samgung26[[#This Row],[CODIGO ]],entradas26[[CAN JUEGOS ]])</f>
        <v>20</v>
      </c>
      <c r="L21" s="1" t="n">
        <f aca="false">SUMIF(entradas26[CODIGO],samgung26[[#This Row],[CODIGO ]],entradas26[CAN BARRAS])</f>
        <v>0</v>
      </c>
      <c r="M21" s="1" t="n">
        <f aca="false">SUMIF(salidas26[[CODIGO ]],samgung26[[#This Row],[CODIGO ]],salidas26[[CANT JUEGOS ]])</f>
        <v>2</v>
      </c>
      <c r="N21" s="1" t="n">
        <f aca="false">SUMIF(salidas26[[CODIGO ]],samgung26[[#This Row],[CODIGO ]],salidas26[CANT BARRAS])</f>
        <v>0</v>
      </c>
      <c r="O21" s="1" t="n">
        <f aca="false">(samgung26[[#This Row],["J"PRECIO COMPRA ]]*samgung26[[#This Row],[STOCK JUEGOS]])</f>
        <v>4000</v>
      </c>
      <c r="P21" s="1" t="n">
        <f aca="false">(samgung26[[#This Row],["J" PRECIO VENTA ]]*samgung26[[#This Row],[STOCK JUEGOS]])</f>
        <v>7000</v>
      </c>
      <c r="Q21" s="1" t="n">
        <f aca="false">(samgung26[[#This Row],["B"PRECIO COMPRA]]*samgung26[[#This Row],[STOCK BARRAS]])</f>
        <v>0</v>
      </c>
      <c r="R21" s="1" t="n">
        <f aca="false">(samgung26[[#This Row],["B"PRECIO VENTA ]]*samgung26[[#This Row],[STOCK BARRAS]])</f>
        <v>0</v>
      </c>
      <c r="S21" s="18" t="n">
        <v>2</v>
      </c>
      <c r="T21" s="18"/>
      <c r="U21" s="1" t="n">
        <v>8.84</v>
      </c>
      <c r="X21" s="0" t="s">
        <v>176</v>
      </c>
    </row>
    <row r="22" customFormat="false" ht="15" hidden="false" customHeight="false" outlineLevel="0" collapsed="false">
      <c r="A22" s="1" t="n">
        <v>15</v>
      </c>
      <c r="B22" s="1" t="n">
        <v>2036</v>
      </c>
      <c r="C22" s="29" t="s">
        <v>177</v>
      </c>
      <c r="D22" s="1" t="n">
        <f aca="false">(samgung26[[#This Row],[CANTIDAD INICIAL JUEGO ]]+samgung26[[#This Row],[ENTRADAS JUEGOS ]]-samgung26[[#This Row],[SALIDAS JUEGOS]])</f>
        <v>26</v>
      </c>
      <c r="E22" s="1" t="n">
        <f aca="false">(samgung26[[#This Row],[CANTIDAD INICIAL BARRAS]]+samgung26[[#This Row],[ENTRADAS BARRAS]]-samgung26[[#This Row],[SALIDA BARRAS]])</f>
        <v>0</v>
      </c>
      <c r="F22" s="23" t="n">
        <v>220</v>
      </c>
      <c r="G22" s="1" t="n">
        <v>63</v>
      </c>
      <c r="H22" s="1" t="n">
        <v>8</v>
      </c>
      <c r="I22" s="1" t="n">
        <f aca="false">(samgung26[[#This Row],["J" PRECIO VENTA ]]/samgung26[[#This Row],[BARRAS]])</f>
        <v>27.5</v>
      </c>
      <c r="J22" s="1" t="n">
        <f aca="false">(samgung26[[#This Row],["J"PRECIO COMPRA ]]/samgung26[[#This Row],[BARRAS]])</f>
        <v>7.875</v>
      </c>
      <c r="K22" s="1" t="n">
        <f aca="false">SUMIF(entradas26[CODIGO],samgung26[[#This Row],[CODIGO ]],entradas26[[CAN JUEGOS ]])</f>
        <v>0</v>
      </c>
      <c r="L22" s="1" t="n">
        <f aca="false">SUMIF(entradas26[CODIGO],samgung26[[#This Row],[CODIGO ]],entradas26[CAN BARRAS])</f>
        <v>0</v>
      </c>
      <c r="M22" s="1" t="n">
        <f aca="false">SUMIF(salidas26[[CODIGO ]],samgung26[[#This Row],[CODIGO ]],salidas26[[CANT JUEGOS ]])</f>
        <v>6</v>
      </c>
      <c r="N22" s="1" t="n">
        <f aca="false">SUMIF(salidas26[[CODIGO ]],samgung26[[#This Row],[CODIGO ]],salidas26[CANT BARRAS])</f>
        <v>0</v>
      </c>
      <c r="O22" s="1" t="n">
        <f aca="false">(samgung26[[#This Row],["J"PRECIO COMPRA ]]*samgung26[[#This Row],[STOCK JUEGOS]])</f>
        <v>1638</v>
      </c>
      <c r="P22" s="1" t="n">
        <f aca="false">(samgung26[[#This Row],["J" PRECIO VENTA ]]*samgung26[[#This Row],[STOCK JUEGOS]])</f>
        <v>5720</v>
      </c>
      <c r="Q22" s="1" t="n">
        <f aca="false">(samgung26[[#This Row],["B"PRECIO COMPRA]]*samgung26[[#This Row],[STOCK BARRAS]])</f>
        <v>0</v>
      </c>
      <c r="R22" s="1" t="n">
        <f aca="false">(samgung26[[#This Row],["B"PRECIO VENTA ]]*samgung26[[#This Row],[STOCK BARRAS]])</f>
        <v>0</v>
      </c>
      <c r="S22" s="18" t="n">
        <v>32</v>
      </c>
      <c r="T22" s="18"/>
      <c r="U22" s="1" t="n">
        <v>4.1</v>
      </c>
      <c r="W22" s="1" t="s">
        <v>178</v>
      </c>
      <c r="X22" s="0" t="s">
        <v>179</v>
      </c>
    </row>
    <row r="23" customFormat="false" ht="15" hidden="false" customHeight="false" outlineLevel="0" collapsed="false">
      <c r="A23" s="1" t="n">
        <v>17</v>
      </c>
      <c r="B23" s="1" t="n">
        <v>2039</v>
      </c>
      <c r="C23" s="35" t="s">
        <v>180</v>
      </c>
      <c r="D23" s="1" t="n">
        <f aca="false">(samgung26[[#This Row],[CANTIDAD INICIAL JUEGO ]]+samgung26[[#This Row],[ENTRADAS JUEGOS ]]-samgung26[[#This Row],[SALIDAS JUEGOS]])</f>
        <v>19</v>
      </c>
      <c r="E23" s="1" t="n">
        <f aca="false">(samgung26[[#This Row],[CANTIDAD INICIAL BARRAS]]+samgung26[[#This Row],[ENTRADAS BARRAS]]-samgung26[[#This Row],[SALIDA BARRAS]])</f>
        <v>0</v>
      </c>
      <c r="F23" s="23" t="n">
        <v>280</v>
      </c>
      <c r="G23" s="1" t="n">
        <v>156</v>
      </c>
      <c r="H23" s="1" t="n">
        <v>8</v>
      </c>
      <c r="I23" s="1" t="n">
        <f aca="false">(samgung26[[#This Row],["J" PRECIO VENTA ]]/samgung26[[#This Row],[BARRAS]])</f>
        <v>35</v>
      </c>
      <c r="J23" s="1" t="n">
        <f aca="false">(samgung26[[#This Row],["J"PRECIO COMPRA ]]/samgung26[[#This Row],[BARRAS]])</f>
        <v>19.5</v>
      </c>
      <c r="K23" s="1" t="n">
        <f aca="false">SUMIF(entradas26[CODIGO],samgung26[[#This Row],[CODIGO ]],entradas26[[CAN JUEGOS ]])</f>
        <v>20</v>
      </c>
      <c r="L23" s="1" t="n">
        <f aca="false">SUMIF(entradas26[CODIGO],samgung26[[#This Row],[CODIGO ]],entradas26[CAN BARRAS])</f>
        <v>0</v>
      </c>
      <c r="M23" s="1" t="n">
        <f aca="false">SUMIF(salidas26[[CODIGO ]],samgung26[[#This Row],[CODIGO ]],salidas26[[CANT JUEGOS ]])</f>
        <v>4</v>
      </c>
      <c r="N23" s="1" t="n">
        <f aca="false">SUMIF(salidas26[[CODIGO ]],samgung26[[#This Row],[CODIGO ]],salidas26[CANT BARRAS])</f>
        <v>0</v>
      </c>
      <c r="O23" s="1" t="n">
        <f aca="false">(samgung26[[#This Row],["J"PRECIO COMPRA ]]*samgung26[[#This Row],[STOCK JUEGOS]])</f>
        <v>2964</v>
      </c>
      <c r="P23" s="1" t="n">
        <f aca="false">(samgung26[[#This Row],["J" PRECIO VENTA ]]*samgung26[[#This Row],[STOCK JUEGOS]])</f>
        <v>5320</v>
      </c>
      <c r="Q23" s="1" t="n">
        <f aca="false">(samgung26[[#This Row],["B"PRECIO COMPRA]]*samgung26[[#This Row],[STOCK BARRAS]])</f>
        <v>0</v>
      </c>
      <c r="R23" s="1" t="n">
        <f aca="false">(samgung26[[#This Row],["B"PRECIO VENTA ]]*samgung26[[#This Row],[STOCK BARRAS]])</f>
        <v>0</v>
      </c>
      <c r="S23" s="18" t="n">
        <v>3</v>
      </c>
      <c r="T23" s="18"/>
      <c r="U23" s="1" t="n">
        <v>5</v>
      </c>
      <c r="W23" s="1" t="s">
        <v>181</v>
      </c>
    </row>
    <row r="24" customFormat="false" ht="15" hidden="false" customHeight="false" outlineLevel="0" collapsed="false">
      <c r="A24" s="1" t="n">
        <v>18</v>
      </c>
      <c r="B24" s="1" t="n">
        <v>2040</v>
      </c>
      <c r="C24" s="35" t="s">
        <v>182</v>
      </c>
      <c r="D24" s="1" t="n">
        <f aca="false">(samgung26[[#This Row],[CANTIDAD INICIAL JUEGO ]]+samgung26[[#This Row],[ENTRADAS JUEGOS ]]-samgung26[[#This Row],[SALIDAS JUEGOS]])</f>
        <v>15</v>
      </c>
      <c r="E24" s="1" t="n">
        <f aca="false">(samgung26[[#This Row],[CANTIDAD INICIAL BARRAS]]+samgung26[[#This Row],[ENTRADAS BARRAS]]-samgung26[[#This Row],[SALIDA BARRAS]])</f>
        <v>0</v>
      </c>
      <c r="F24" s="23" t="n">
        <v>360</v>
      </c>
      <c r="G24" s="34" t="n">
        <v>185</v>
      </c>
      <c r="H24" s="1" t="n">
        <v>12</v>
      </c>
      <c r="I24" s="1" t="n">
        <f aca="false">(samgung26[[#This Row],["J" PRECIO VENTA ]]/samgung26[[#This Row],[BARRAS]])</f>
        <v>30</v>
      </c>
      <c r="J24" s="1" t="n">
        <f aca="false">(samgung26[[#This Row],["J"PRECIO COMPRA ]]/samgung26[[#This Row],[BARRAS]])</f>
        <v>15.4166666666667</v>
      </c>
      <c r="K24" s="1" t="n">
        <f aca="false">SUMIF(entradas26[CODIGO],samgung26[[#This Row],[CODIGO ]],entradas26[[CAN JUEGOS ]])</f>
        <v>0</v>
      </c>
      <c r="L24" s="1" t="n">
        <f aca="false">SUMIF(entradas26[CODIGO],samgung26[[#This Row],[CODIGO ]],entradas26[CAN BARRAS])</f>
        <v>0</v>
      </c>
      <c r="M24" s="1" t="n">
        <f aca="false">SUMIF(salidas26[[CODIGO ]],samgung26[[#This Row],[CODIGO ]],salidas26[[CANT JUEGOS ]])</f>
        <v>1</v>
      </c>
      <c r="N24" s="1" t="n">
        <f aca="false">SUMIF(salidas26[[CODIGO ]],samgung26[[#This Row],[CODIGO ]],salidas26[CANT BARRAS])</f>
        <v>0</v>
      </c>
      <c r="O24" s="1" t="n">
        <f aca="false">(samgung26[[#This Row],["J"PRECIO COMPRA ]]*samgung26[[#This Row],[STOCK JUEGOS]])</f>
        <v>2775</v>
      </c>
      <c r="P24" s="1" t="n">
        <f aca="false">(samgung26[[#This Row],["J" PRECIO VENTA ]]*samgung26[[#This Row],[STOCK JUEGOS]])</f>
        <v>5400</v>
      </c>
      <c r="Q24" s="1" t="n">
        <f aca="false">(samgung26[[#This Row],["B"PRECIO COMPRA]]*samgung26[[#This Row],[STOCK BARRAS]])</f>
        <v>0</v>
      </c>
      <c r="R24" s="1" t="n">
        <f aca="false">(samgung26[[#This Row],["B"PRECIO VENTA ]]*samgung26[[#This Row],[STOCK BARRAS]])</f>
        <v>0</v>
      </c>
      <c r="S24" s="18" t="n">
        <v>16</v>
      </c>
      <c r="T24" s="18"/>
      <c r="U24" s="1" t="n">
        <v>8.83</v>
      </c>
      <c r="X24" s="0" t="s">
        <v>183</v>
      </c>
    </row>
    <row r="25" customFormat="false" ht="15" hidden="false" customHeight="false" outlineLevel="0" collapsed="false">
      <c r="A25" s="1" t="n">
        <v>19</v>
      </c>
      <c r="B25" s="1" t="n">
        <v>2042</v>
      </c>
      <c r="C25" s="29" t="s">
        <v>184</v>
      </c>
      <c r="D25" s="1" t="n">
        <f aca="false">(samgung26[[#This Row],[CANTIDAD INICIAL JUEGO ]]+samgung26[[#This Row],[ENTRADAS JUEGOS ]]-samgung26[[#This Row],[SALIDAS JUEGOS]])</f>
        <v>10</v>
      </c>
      <c r="E25" s="1" t="n">
        <f aca="false">(samgung26[[#This Row],[CANTIDAD INICIAL BARRAS]]+samgung26[[#This Row],[ENTRADAS BARRAS]]-samgung26[[#This Row],[SALIDA BARRAS]])</f>
        <v>0</v>
      </c>
      <c r="F25" s="23" t="n">
        <v>260</v>
      </c>
      <c r="G25" s="1" t="n">
        <v>109</v>
      </c>
      <c r="H25" s="1" t="n">
        <v>8</v>
      </c>
      <c r="I25" s="1" t="n">
        <f aca="false">(samgung26[[#This Row],["J" PRECIO VENTA ]]/samgung26[[#This Row],[BARRAS]])</f>
        <v>32.5</v>
      </c>
      <c r="J25" s="1" t="n">
        <f aca="false">(samgung26[[#This Row],["J"PRECIO COMPRA ]]/samgung26[[#This Row],[BARRAS]])</f>
        <v>13.625</v>
      </c>
      <c r="K25" s="1" t="n">
        <f aca="false">SUMIF(entradas26[CODIGO],samgung26[[#This Row],[CODIGO ]],entradas26[[CAN JUEGOS ]])</f>
        <v>0</v>
      </c>
      <c r="L25" s="1" t="n">
        <f aca="false">SUMIF(entradas26[CODIGO],samgung26[[#This Row],[CODIGO ]],entradas26[CAN BARRAS])</f>
        <v>0</v>
      </c>
      <c r="M25" s="1" t="n">
        <f aca="false">SUMIF(salidas26[[CODIGO ]],samgung26[[#This Row],[CODIGO ]],salidas26[[CANT JUEGOS ]])</f>
        <v>4</v>
      </c>
      <c r="N25" s="1" t="n">
        <f aca="false">SUMIF(salidas26[[CODIGO ]],samgung26[[#This Row],[CODIGO ]],salidas26[CANT BARRAS])</f>
        <v>0</v>
      </c>
      <c r="O25" s="1" t="n">
        <f aca="false">(samgung26[[#This Row],["J"PRECIO COMPRA ]]*samgung26[[#This Row],[STOCK JUEGOS]])</f>
        <v>1090</v>
      </c>
      <c r="P25" s="1" t="n">
        <f aca="false">(samgung26[[#This Row],["J" PRECIO VENTA ]]*samgung26[[#This Row],[STOCK JUEGOS]])</f>
        <v>2600</v>
      </c>
      <c r="Q25" s="1" t="n">
        <f aca="false">(samgung26[[#This Row],["B"PRECIO COMPRA]]*samgung26[[#This Row],[STOCK BARRAS]])</f>
        <v>0</v>
      </c>
      <c r="R25" s="1" t="n">
        <f aca="false">(samgung26[[#This Row],["B"PRECIO VENTA ]]*samgung26[[#This Row],[STOCK BARRAS]])</f>
        <v>0</v>
      </c>
      <c r="S25" s="18" t="n">
        <v>14</v>
      </c>
      <c r="T25" s="18"/>
      <c r="U25" s="1" t="n">
        <v>5</v>
      </c>
      <c r="W25" s="1" t="s">
        <v>185</v>
      </c>
    </row>
    <row r="26" customFormat="false" ht="15" hidden="false" customHeight="false" outlineLevel="0" collapsed="false">
      <c r="A26" s="1" t="n">
        <v>20</v>
      </c>
      <c r="B26" s="1" t="n">
        <v>2045</v>
      </c>
      <c r="C26" s="29" t="s">
        <v>186</v>
      </c>
      <c r="D26" s="1" t="n">
        <f aca="false">(samgung26[[#This Row],[CANTIDAD INICIAL JUEGO ]]+samgung26[[#This Row],[ENTRADAS JUEGOS ]]-samgung26[[#This Row],[SALIDAS JUEGOS]])</f>
        <v>5</v>
      </c>
      <c r="E26" s="1" t="n">
        <f aca="false">(samgung26[[#This Row],[CANTIDAD INICIAL BARRAS]]+samgung26[[#This Row],[ENTRADAS BARRAS]]-samgung26[[#This Row],[SALIDA BARRAS]])</f>
        <v>1</v>
      </c>
      <c r="F26" s="23" t="n">
        <v>400</v>
      </c>
      <c r="G26" s="1" t="n">
        <v>98</v>
      </c>
      <c r="H26" s="1" t="n">
        <v>2</v>
      </c>
      <c r="I26" s="1" t="n">
        <f aca="false">(samgung26[[#This Row],["J" PRECIO VENTA ]]/samgung26[[#This Row],[BARRAS]])</f>
        <v>200</v>
      </c>
      <c r="J26" s="1" t="n">
        <f aca="false">(samgung26[[#This Row],["J"PRECIO COMPRA ]]/samgung26[[#This Row],[BARRAS]])</f>
        <v>49</v>
      </c>
      <c r="K26" s="1" t="n">
        <f aca="false">SUMIF(entradas26[CODIGO],samgung26[[#This Row],[CODIGO ]],entradas26[[CAN JUEGOS ]])</f>
        <v>0</v>
      </c>
      <c r="L26" s="1" t="n">
        <f aca="false">SUMIF(entradas26[CODIGO],samgung26[[#This Row],[CODIGO ]],entradas26[CAN BARRAS])</f>
        <v>0</v>
      </c>
      <c r="M26" s="1" t="n">
        <f aca="false">SUMIF(salidas26[[CODIGO ]],samgung26[[#This Row],[CODIGO ]],salidas26[[CANT JUEGOS ]])</f>
        <v>9</v>
      </c>
      <c r="N26" s="1" t="n">
        <f aca="false">SUMIF(salidas26[[CODIGO ]],samgung26[[#This Row],[CODIGO ]],salidas26[CANT BARRAS])</f>
        <v>0</v>
      </c>
      <c r="O26" s="1" t="n">
        <f aca="false">(samgung26[[#This Row],["J"PRECIO COMPRA ]]*samgung26[[#This Row],[STOCK JUEGOS]])</f>
        <v>490</v>
      </c>
      <c r="P26" s="1" t="n">
        <f aca="false">(samgung26[[#This Row],["J" PRECIO VENTA ]]*samgung26[[#This Row],[STOCK JUEGOS]])</f>
        <v>2000</v>
      </c>
      <c r="Q26" s="1" t="n">
        <f aca="false">(samgung26[[#This Row],["B"PRECIO COMPRA]]*samgung26[[#This Row],[STOCK BARRAS]])</f>
        <v>49</v>
      </c>
      <c r="R26" s="1" t="n">
        <f aca="false">(samgung26[[#This Row],["B"PRECIO VENTA ]]*samgung26[[#This Row],[STOCK BARRAS]])</f>
        <v>200</v>
      </c>
      <c r="S26" s="18" t="n">
        <v>14</v>
      </c>
      <c r="T26" s="18" t="n">
        <v>1</v>
      </c>
      <c r="U26" s="1" t="n">
        <v>10</v>
      </c>
      <c r="W26" s="1" t="s">
        <v>187</v>
      </c>
    </row>
    <row r="27" customFormat="false" ht="15" hidden="false" customHeight="false" outlineLevel="0" collapsed="false">
      <c r="A27" s="1" t="n">
        <v>21</v>
      </c>
      <c r="B27" s="1" t="n">
        <v>2048</v>
      </c>
      <c r="C27" s="29" t="s">
        <v>188</v>
      </c>
      <c r="D27" s="1" t="n">
        <f aca="false">(samgung26[[#This Row],[CANTIDAD INICIAL JUEGO ]]+samgung26[[#This Row],[ENTRADAS JUEGOS ]]-samgung26[[#This Row],[SALIDAS JUEGOS]])</f>
        <v>26</v>
      </c>
      <c r="E27" s="1" t="n">
        <f aca="false">(samgung26[[#This Row],[CANTIDAD INICIAL BARRAS]]+samgung26[[#This Row],[ENTRADAS BARRAS]]-samgung26[[#This Row],[SALIDA BARRAS]])</f>
        <v>1</v>
      </c>
      <c r="F27" s="23" t="n">
        <v>180</v>
      </c>
      <c r="G27" s="1" t="n">
        <v>71</v>
      </c>
      <c r="H27" s="1" t="n">
        <v>2</v>
      </c>
      <c r="I27" s="1" t="n">
        <f aca="false">(samgung26[[#This Row],["J" PRECIO VENTA ]]/samgung26[[#This Row],[BARRAS]])</f>
        <v>90</v>
      </c>
      <c r="J27" s="1" t="n">
        <f aca="false">(samgung26[[#This Row],["J"PRECIO COMPRA ]]/samgung26[[#This Row],[BARRAS]])</f>
        <v>35.5</v>
      </c>
      <c r="K27" s="1" t="n">
        <f aca="false">SUMIF(entradas26[CODIGO],samgung26[[#This Row],[CODIGO ]],entradas26[[CAN JUEGOS ]])</f>
        <v>0</v>
      </c>
      <c r="L27" s="1" t="n">
        <f aca="false">SUMIF(entradas26[CODIGO],samgung26[[#This Row],[CODIGO ]],entradas26[CAN BARRAS])</f>
        <v>2</v>
      </c>
      <c r="M27" s="1" t="n">
        <f aca="false">SUMIF(salidas26[[CODIGO ]],samgung26[[#This Row],[CODIGO ]],salidas26[[CANT JUEGOS ]])</f>
        <v>8</v>
      </c>
      <c r="N27" s="1" t="n">
        <f aca="false">SUMIF(salidas26[[CODIGO ]],samgung26[[#This Row],[CODIGO ]],salidas26[CANT BARRAS])</f>
        <v>1</v>
      </c>
      <c r="O27" s="1" t="n">
        <f aca="false">(samgung26[[#This Row],["J"PRECIO COMPRA ]]*samgung26[[#This Row],[STOCK JUEGOS]])</f>
        <v>1846</v>
      </c>
      <c r="P27" s="1" t="n">
        <f aca="false">(samgung26[[#This Row],["J" PRECIO VENTA ]]*samgung26[[#This Row],[STOCK JUEGOS]])</f>
        <v>4680</v>
      </c>
      <c r="Q27" s="1" t="n">
        <f aca="false">(samgung26[[#This Row],["B"PRECIO COMPRA]]*samgung26[[#This Row],[STOCK BARRAS]])</f>
        <v>35.5</v>
      </c>
      <c r="R27" s="1" t="n">
        <f aca="false">(samgung26[[#This Row],["B"PRECIO VENTA ]]*samgung26[[#This Row],[STOCK BARRAS]])</f>
        <v>90</v>
      </c>
      <c r="S27" s="18" t="n">
        <v>34</v>
      </c>
      <c r="T27" s="18"/>
      <c r="U27" s="1" t="n">
        <v>2.7</v>
      </c>
      <c r="W27" s="1" t="s">
        <v>189</v>
      </c>
    </row>
    <row r="28" customFormat="false" ht="15" hidden="false" customHeight="false" outlineLevel="0" collapsed="false">
      <c r="A28" s="1" t="n">
        <v>22</v>
      </c>
      <c r="B28" s="1" t="n">
        <v>2051</v>
      </c>
      <c r="C28" s="29" t="s">
        <v>190</v>
      </c>
      <c r="D28" s="1" t="n">
        <f aca="false">(samgung26[[#This Row],[CANTIDAD INICIAL JUEGO ]]+samgung26[[#This Row],[ENTRADAS JUEGOS ]]-samgung26[[#This Row],[SALIDAS JUEGOS]])</f>
        <v>14</v>
      </c>
      <c r="E28" s="1" t="n">
        <f aca="false">(samgung26[[#This Row],[CANTIDAD INICIAL BARRAS]]+samgung26[[#This Row],[ENTRADAS BARRAS]]-samgung26[[#This Row],[SALIDA BARRAS]])</f>
        <v>8</v>
      </c>
      <c r="F28" s="23" t="n">
        <v>260</v>
      </c>
      <c r="G28" s="1" t="n">
        <v>138</v>
      </c>
      <c r="H28" s="1" t="n">
        <v>8</v>
      </c>
      <c r="I28" s="1" t="n">
        <f aca="false">(samgung26[[#This Row],["J" PRECIO VENTA ]]/samgung26[[#This Row],[BARRAS]])</f>
        <v>32.5</v>
      </c>
      <c r="J28" s="1" t="n">
        <f aca="false">(samgung26[[#This Row],["J"PRECIO COMPRA ]]/samgung26[[#This Row],[BARRAS]])</f>
        <v>17.25</v>
      </c>
      <c r="K28" s="1" t="n">
        <f aca="false">SUMIF(entradas26[CODIGO],samgung26[[#This Row],[CODIGO ]],entradas26[[CAN JUEGOS ]])</f>
        <v>0</v>
      </c>
      <c r="L28" s="1" t="n">
        <f aca="false">SUMIF(entradas26[CODIGO],samgung26[[#This Row],[CODIGO ]],entradas26[CAN BARRAS])</f>
        <v>0</v>
      </c>
      <c r="M28" s="1" t="n">
        <f aca="false">SUMIF(salidas26[[CODIGO ]],samgung26[[#This Row],[CODIGO ]],salidas26[[CANT JUEGOS ]])</f>
        <v>6</v>
      </c>
      <c r="N28" s="1" t="n">
        <f aca="false">SUMIF(salidas26[[CODIGO ]],samgung26[[#This Row],[CODIGO ]],salidas26[CANT BARRAS])</f>
        <v>0</v>
      </c>
      <c r="O28" s="1" t="n">
        <f aca="false">(samgung26[[#This Row],["J"PRECIO COMPRA ]]*samgung26[[#This Row],[STOCK JUEGOS]])</f>
        <v>1932</v>
      </c>
      <c r="P28" s="1" t="n">
        <f aca="false">(samgung26[[#This Row],["J" PRECIO VENTA ]]*samgung26[[#This Row],[STOCK JUEGOS]])</f>
        <v>3640</v>
      </c>
      <c r="Q28" s="1" t="n">
        <f aca="false">(samgung26[[#This Row],["B"PRECIO COMPRA]]*samgung26[[#This Row],[STOCK BARRAS]])</f>
        <v>138</v>
      </c>
      <c r="R28" s="1" t="n">
        <f aca="false">(samgung26[[#This Row],["B"PRECIO VENTA ]]*samgung26[[#This Row],[STOCK BARRAS]])</f>
        <v>260</v>
      </c>
      <c r="S28" s="18" t="n">
        <v>20</v>
      </c>
      <c r="T28" s="18" t="n">
        <v>8</v>
      </c>
      <c r="U28" s="1" t="n">
        <v>6.28</v>
      </c>
      <c r="W28" s="1" t="s">
        <v>191</v>
      </c>
    </row>
    <row r="29" customFormat="false" ht="15" hidden="false" customHeight="false" outlineLevel="0" collapsed="false">
      <c r="A29" s="1" t="n">
        <v>23</v>
      </c>
      <c r="B29" s="1" t="n">
        <v>2054</v>
      </c>
      <c r="C29" s="29" t="s">
        <v>192</v>
      </c>
      <c r="D29" s="1" t="n">
        <f aca="false">(samgung26[[#This Row],[CANTIDAD INICIAL JUEGO ]]+samgung26[[#This Row],[ENTRADAS JUEGOS ]]-samgung26[[#This Row],[SALIDAS JUEGOS]])</f>
        <v>2</v>
      </c>
      <c r="E29" s="1" t="n">
        <f aca="false">(samgung26[[#This Row],[CANTIDAD INICIAL BARRAS]]+samgung26[[#This Row],[ENTRADAS BARRAS]]-samgung26[[#This Row],[SALIDA BARRAS]])</f>
        <v>0</v>
      </c>
      <c r="F29" s="23" t="n">
        <v>280</v>
      </c>
      <c r="G29" s="1" t="n">
        <v>62</v>
      </c>
      <c r="H29" s="1" t="n">
        <v>1</v>
      </c>
      <c r="I29" s="1" t="n">
        <f aca="false">(samgung26[[#This Row],["J" PRECIO VENTA ]]/samgung26[[#This Row],[BARRAS]])</f>
        <v>280</v>
      </c>
      <c r="J29" s="1" t="n">
        <f aca="false">(samgung26[[#This Row],["J"PRECIO COMPRA ]]/samgung26[[#This Row],[BARRAS]])</f>
        <v>62</v>
      </c>
      <c r="K29" s="1" t="n">
        <f aca="false">SUMIF(entradas26[CODIGO],samgung26[[#This Row],[CODIGO ]],entradas26[[CAN JUEGOS ]])</f>
        <v>0</v>
      </c>
      <c r="L29" s="1" t="n">
        <f aca="false">SUMIF(entradas26[CODIGO],samgung26[[#This Row],[CODIGO ]],entradas26[CAN BARRAS])</f>
        <v>0</v>
      </c>
      <c r="M29" s="1" t="n">
        <f aca="false">SUMIF(salidas26[[CODIGO ]],samgung26[[#This Row],[CODIGO ]],salidas26[[CANT JUEGOS ]])</f>
        <v>0</v>
      </c>
      <c r="N29" s="1" t="n">
        <f aca="false">SUMIF(salidas26[[CODIGO ]],samgung26[[#This Row],[CODIGO ]],salidas26[CANT BARRAS])</f>
        <v>0</v>
      </c>
      <c r="O29" s="1" t="n">
        <f aca="false">(samgung26[[#This Row],["J"PRECIO COMPRA ]]*samgung26[[#This Row],[STOCK JUEGOS]])</f>
        <v>124</v>
      </c>
      <c r="P29" s="1" t="n">
        <f aca="false">(samgung26[[#This Row],["J" PRECIO VENTA ]]*samgung26[[#This Row],[STOCK JUEGOS]])</f>
        <v>560</v>
      </c>
      <c r="Q29" s="1" t="n">
        <f aca="false">(samgung26[[#This Row],["B"PRECIO COMPRA]]*samgung26[[#This Row],[STOCK BARRAS]])</f>
        <v>0</v>
      </c>
      <c r="R29" s="1" t="n">
        <f aca="false">(samgung26[[#This Row],["B"PRECIO VENTA ]]*samgung26[[#This Row],[STOCK BARRAS]])</f>
        <v>0</v>
      </c>
      <c r="S29" s="18" t="n">
        <v>2</v>
      </c>
      <c r="T29" s="18"/>
      <c r="U29" s="1" t="n">
        <v>4.4</v>
      </c>
      <c r="W29" s="1" t="s">
        <v>193</v>
      </c>
    </row>
    <row r="30" customFormat="false" ht="15" hidden="false" customHeight="false" outlineLevel="0" collapsed="false">
      <c r="A30" s="1" t="n">
        <v>24</v>
      </c>
      <c r="B30" s="1" t="n">
        <v>2057</v>
      </c>
      <c r="C30" s="29" t="s">
        <v>194</v>
      </c>
      <c r="D30" s="1" t="n">
        <f aca="false">(samgung26[[#This Row],[CANTIDAD INICIAL JUEGO ]]+samgung26[[#This Row],[ENTRADAS JUEGOS ]]-samgung26[[#This Row],[SALIDAS JUEGOS]])</f>
        <v>10</v>
      </c>
      <c r="E30" s="1" t="n">
        <f aca="false">(samgung26[[#This Row],[CANTIDAD INICIAL BARRAS]]+samgung26[[#This Row],[ENTRADAS BARRAS]]-samgung26[[#This Row],[SALIDA BARRAS]])</f>
        <v>0</v>
      </c>
      <c r="F30" s="23" t="n">
        <v>400</v>
      </c>
      <c r="G30" s="1" t="n">
        <v>226</v>
      </c>
      <c r="H30" s="1" t="n">
        <v>18</v>
      </c>
      <c r="I30" s="1" t="n">
        <f aca="false">(samgung26[[#This Row],["J" PRECIO VENTA ]]/samgung26[[#This Row],[BARRAS]])</f>
        <v>22.2222222222222</v>
      </c>
      <c r="J30" s="1" t="n">
        <f aca="false">(samgung26[[#This Row],["J"PRECIO COMPRA ]]/samgung26[[#This Row],[BARRAS]])</f>
        <v>12.5555555555556</v>
      </c>
      <c r="K30" s="1" t="n">
        <f aca="false">SUMIF(entradas26[CODIGO],samgung26[[#This Row],[CODIGO ]],entradas26[[CAN JUEGOS ]])</f>
        <v>0</v>
      </c>
      <c r="L30" s="1" t="n">
        <f aca="false">SUMIF(entradas26[CODIGO],samgung26[[#This Row],[CODIGO ]],entradas26[CAN BARRAS])</f>
        <v>0</v>
      </c>
      <c r="M30" s="1" t="n">
        <f aca="false">SUMIF(salidas26[[CODIGO ]],samgung26[[#This Row],[CODIGO ]],salidas26[[CANT JUEGOS ]])</f>
        <v>1</v>
      </c>
      <c r="N30" s="1" t="n">
        <f aca="false">SUMIF(salidas26[[CODIGO ]],samgung26[[#This Row],[CODIGO ]],salidas26[CANT BARRAS])</f>
        <v>0</v>
      </c>
      <c r="O30" s="1" t="n">
        <f aca="false">(samgung26[[#This Row],["J"PRECIO COMPRA ]]*samgung26[[#This Row],[STOCK JUEGOS]])</f>
        <v>2260</v>
      </c>
      <c r="P30" s="1" t="n">
        <f aca="false">(samgung26[[#This Row],["J" PRECIO VENTA ]]*samgung26[[#This Row],[STOCK JUEGOS]])</f>
        <v>4000</v>
      </c>
      <c r="Q30" s="1" t="n">
        <f aca="false">(samgung26[[#This Row],["B"PRECIO COMPRA]]*samgung26[[#This Row],[STOCK BARRAS]])</f>
        <v>0</v>
      </c>
      <c r="R30" s="1" t="n">
        <f aca="false">(samgung26[[#This Row],["B"PRECIO VENTA ]]*samgung26[[#This Row],[STOCK BARRAS]])</f>
        <v>0</v>
      </c>
      <c r="S30" s="18" t="n">
        <v>11</v>
      </c>
      <c r="T30" s="18"/>
      <c r="U30" s="1" t="n">
        <v>11.3</v>
      </c>
      <c r="W30" s="1" t="s">
        <v>195</v>
      </c>
    </row>
    <row r="31" customFormat="false" ht="15" hidden="false" customHeight="false" outlineLevel="0" collapsed="false">
      <c r="A31" s="1" t="n">
        <v>25</v>
      </c>
      <c r="B31" s="1" t="n">
        <v>2060</v>
      </c>
      <c r="C31" s="30" t="s">
        <v>196</v>
      </c>
      <c r="D31" s="1" t="n">
        <f aca="false">(samgung26[[#This Row],[CANTIDAD INICIAL JUEGO ]]+samgung26[[#This Row],[ENTRADAS JUEGOS ]]-samgung26[[#This Row],[SALIDAS JUEGOS]])</f>
        <v>7</v>
      </c>
      <c r="E31" s="1" t="n">
        <f aca="false">(samgung26[[#This Row],[CANTIDAD INICIAL BARRAS]]+samgung26[[#This Row],[ENTRADAS BARRAS]]-samgung26[[#This Row],[SALIDA BARRAS]])</f>
        <v>0</v>
      </c>
      <c r="F31" s="23" t="n">
        <v>300</v>
      </c>
      <c r="G31" s="1" t="n">
        <v>162</v>
      </c>
      <c r="H31" s="1" t="n">
        <v>8</v>
      </c>
      <c r="I31" s="1" t="n">
        <f aca="false">(samgung26[[#This Row],["J" PRECIO VENTA ]]/samgung26[[#This Row],[BARRAS]])</f>
        <v>37.5</v>
      </c>
      <c r="J31" s="1" t="n">
        <f aca="false">(samgung26[[#This Row],["J"PRECIO COMPRA ]]/samgung26[[#This Row],[BARRAS]])</f>
        <v>20.25</v>
      </c>
      <c r="K31" s="1" t="n">
        <f aca="false">SUMIF(entradas26[CODIGO],samgung26[[#This Row],[CODIGO ]],entradas26[[CAN JUEGOS ]])</f>
        <v>0</v>
      </c>
      <c r="L31" s="1" t="n">
        <f aca="false">SUMIF(entradas26[CODIGO],samgung26[[#This Row],[CODIGO ]],entradas26[CAN BARRAS])</f>
        <v>0</v>
      </c>
      <c r="M31" s="1" t="n">
        <f aca="false">SUMIF(salidas26[[CODIGO ]],samgung26[[#This Row],[CODIGO ]],salidas26[[CANT JUEGOS ]])</f>
        <v>0</v>
      </c>
      <c r="N31" s="1" t="n">
        <f aca="false">SUMIF(salidas26[[CODIGO ]],samgung26[[#This Row],[CODIGO ]],salidas26[CANT BARRAS])</f>
        <v>0</v>
      </c>
      <c r="O31" s="1" t="n">
        <f aca="false">(samgung26[[#This Row],["J"PRECIO COMPRA ]]*samgung26[[#This Row],[STOCK JUEGOS]])</f>
        <v>1134</v>
      </c>
      <c r="P31" s="1" t="n">
        <f aca="false">(samgung26[[#This Row],["J" PRECIO VENTA ]]*samgung26[[#This Row],[STOCK JUEGOS]])</f>
        <v>2100</v>
      </c>
      <c r="Q31" s="1" t="n">
        <f aca="false">(samgung26[[#This Row],["B"PRECIO COMPRA]]*samgung26[[#This Row],[STOCK BARRAS]])</f>
        <v>0</v>
      </c>
      <c r="R31" s="1" t="n">
        <f aca="false">(samgung26[[#This Row],["B"PRECIO VENTA ]]*samgung26[[#This Row],[STOCK BARRAS]])</f>
        <v>0</v>
      </c>
      <c r="S31" s="18" t="n">
        <v>7</v>
      </c>
      <c r="T31" s="18"/>
      <c r="U31" s="1" t="n">
        <v>5.2</v>
      </c>
      <c r="W31" s="1" t="s">
        <v>197</v>
      </c>
    </row>
    <row r="32" customFormat="false" ht="15" hidden="false" customHeight="false" outlineLevel="0" collapsed="false">
      <c r="A32" s="1" t="n">
        <v>26</v>
      </c>
      <c r="B32" s="1" t="n">
        <v>2063</v>
      </c>
      <c r="C32" s="29" t="s">
        <v>198</v>
      </c>
      <c r="D32" s="1" t="n">
        <f aca="false">(samgung26[[#This Row],[CANTIDAD INICIAL JUEGO ]]+samgung26[[#This Row],[ENTRADAS JUEGOS ]]-samgung26[[#This Row],[SALIDAS JUEGOS]])</f>
        <v>25</v>
      </c>
      <c r="E32" s="1" t="n">
        <f aca="false">(samgung26[[#This Row],[CANTIDAD INICIAL BARRAS]]+samgung26[[#This Row],[ENTRADAS BARRAS]]-samgung26[[#This Row],[SALIDA BARRAS]])</f>
        <v>0</v>
      </c>
      <c r="F32" s="23" t="n">
        <v>180</v>
      </c>
      <c r="G32" s="1" t="n">
        <v>69</v>
      </c>
      <c r="H32" s="1" t="n">
        <v>2</v>
      </c>
      <c r="I32" s="1" t="n">
        <f aca="false">(samgung26[[#This Row],["J" PRECIO VENTA ]]/samgung26[[#This Row],[BARRAS]])</f>
        <v>90</v>
      </c>
      <c r="J32" s="1" t="n">
        <f aca="false">(samgung26[[#This Row],["J"PRECIO COMPRA ]]/samgung26[[#This Row],[BARRAS]])</f>
        <v>34.5</v>
      </c>
      <c r="K32" s="1" t="n">
        <f aca="false">SUMIF(entradas26[CODIGO],samgung26[[#This Row],[CODIGO ]],entradas26[[CAN JUEGOS ]])</f>
        <v>0</v>
      </c>
      <c r="L32" s="1" t="n">
        <f aca="false">SUMIF(entradas26[CODIGO],samgung26[[#This Row],[CODIGO ]],entradas26[CAN BARRAS])</f>
        <v>0</v>
      </c>
      <c r="M32" s="1" t="n">
        <f aca="false">SUMIF(salidas26[[CODIGO ]],samgung26[[#This Row],[CODIGO ]],salidas26[[CANT JUEGOS ]])</f>
        <v>7</v>
      </c>
      <c r="N32" s="1" t="n">
        <f aca="false">SUMIF(salidas26[[CODIGO ]],samgung26[[#This Row],[CODIGO ]],salidas26[CANT BARRAS])</f>
        <v>0</v>
      </c>
      <c r="O32" s="1" t="n">
        <f aca="false">(samgung26[[#This Row],["J"PRECIO COMPRA ]]*samgung26[[#This Row],[STOCK JUEGOS]])</f>
        <v>1725</v>
      </c>
      <c r="P32" s="1" t="n">
        <f aca="false">(samgung26[[#This Row],["J" PRECIO VENTA ]]*samgung26[[#This Row],[STOCK JUEGOS]])</f>
        <v>4500</v>
      </c>
      <c r="Q32" s="1" t="n">
        <f aca="false">(samgung26[[#This Row],["B"PRECIO COMPRA]]*samgung26[[#This Row],[STOCK BARRAS]])</f>
        <v>0</v>
      </c>
      <c r="R32" s="1" t="n">
        <f aca="false">(samgung26[[#This Row],["B"PRECIO VENTA ]]*samgung26[[#This Row],[STOCK BARRAS]])</f>
        <v>0</v>
      </c>
      <c r="S32" s="18" t="n">
        <v>32</v>
      </c>
      <c r="T32" s="18"/>
      <c r="U32" s="1" t="n">
        <v>3.25</v>
      </c>
      <c r="W32" s="1" t="s">
        <v>199</v>
      </c>
      <c r="X32" s="0" t="s">
        <v>200</v>
      </c>
    </row>
    <row r="33" customFormat="false" ht="15" hidden="false" customHeight="false" outlineLevel="0" collapsed="false">
      <c r="A33" s="1" t="n">
        <v>27</v>
      </c>
      <c r="B33" s="1" t="n">
        <v>2064</v>
      </c>
      <c r="C33" s="29" t="s">
        <v>201</v>
      </c>
      <c r="D33" s="1" t="n">
        <f aca="false">(samgung26[[#This Row],[CANTIDAD INICIAL JUEGO ]]+samgung26[[#This Row],[ENTRADAS JUEGOS ]]-samgung26[[#This Row],[SALIDAS JUEGOS]])</f>
        <v>15</v>
      </c>
      <c r="E33" s="1" t="n">
        <f aca="false">(samgung26[[#This Row],[CANTIDAD INICIAL BARRAS]]+samgung26[[#This Row],[ENTRADAS BARRAS]]-samgung26[[#This Row],[SALIDA BARRAS]])</f>
        <v>0</v>
      </c>
      <c r="F33" s="23" t="n">
        <v>250</v>
      </c>
      <c r="G33" s="1" t="n">
        <v>78</v>
      </c>
      <c r="H33" s="1" t="n">
        <v>6</v>
      </c>
      <c r="I33" s="1" t="n">
        <f aca="false">(samgung26[[#This Row],["J" PRECIO VENTA ]]/samgung26[[#This Row],[BARRAS]])</f>
        <v>41.6666666666667</v>
      </c>
      <c r="J33" s="1" t="n">
        <f aca="false">(samgung26[[#This Row],["J"PRECIO COMPRA ]]/samgung26[[#This Row],[BARRAS]])</f>
        <v>13</v>
      </c>
      <c r="K33" s="1" t="n">
        <f aca="false">SUMIF(entradas26[CODIGO],samgung26[[#This Row],[CODIGO ]],entradas26[[CAN JUEGOS ]])</f>
        <v>0</v>
      </c>
      <c r="L33" s="1" t="n">
        <f aca="false">SUMIF(entradas26[CODIGO],samgung26[[#This Row],[CODIGO ]],entradas26[CAN BARRAS])</f>
        <v>0</v>
      </c>
      <c r="M33" s="1" t="n">
        <f aca="false">SUMIF(salidas26[[CODIGO ]],samgung26[[#This Row],[CODIGO ]],salidas26[[CANT JUEGOS ]])</f>
        <v>5</v>
      </c>
      <c r="N33" s="1" t="n">
        <f aca="false">SUMIF(salidas26[[CODIGO ]],samgung26[[#This Row],[CODIGO ]],salidas26[CANT BARRAS])</f>
        <v>0</v>
      </c>
      <c r="O33" s="1" t="n">
        <f aca="false">(samgung26[[#This Row],["J"PRECIO COMPRA ]]*samgung26[[#This Row],[STOCK JUEGOS]])</f>
        <v>1170</v>
      </c>
      <c r="P33" s="1" t="n">
        <f aca="false">(samgung26[[#This Row],["J" PRECIO VENTA ]]*samgung26[[#This Row],[STOCK JUEGOS]])</f>
        <v>3750</v>
      </c>
      <c r="Q33" s="1" t="n">
        <f aca="false">(samgung26[[#This Row],["B"PRECIO COMPRA]]*samgung26[[#This Row],[STOCK BARRAS]])</f>
        <v>0</v>
      </c>
      <c r="R33" s="1" t="n">
        <f aca="false">(samgung26[[#This Row],["B"PRECIO VENTA ]]*samgung26[[#This Row],[STOCK BARRAS]])</f>
        <v>0</v>
      </c>
      <c r="S33" s="18" t="n">
        <v>20</v>
      </c>
      <c r="T33" s="18"/>
      <c r="U33" s="1" t="n">
        <v>3.77</v>
      </c>
      <c r="W33" s="1" t="s">
        <v>202</v>
      </c>
      <c r="X33" s="0" t="s">
        <v>203</v>
      </c>
    </row>
    <row r="34" customFormat="false" ht="15" hidden="false" customHeight="false" outlineLevel="0" collapsed="false">
      <c r="A34" s="1" t="n">
        <v>28</v>
      </c>
      <c r="B34" s="1" t="n">
        <v>2065</v>
      </c>
      <c r="C34" s="29" t="s">
        <v>204</v>
      </c>
      <c r="D34" s="1" t="n">
        <f aca="false">(samgung26[[#This Row],[CANTIDAD INICIAL JUEGO ]]+samgung26[[#This Row],[ENTRADAS JUEGOS ]]-samgung26[[#This Row],[SALIDAS JUEGOS]])</f>
        <v>13</v>
      </c>
      <c r="E34" s="1" t="n">
        <f aca="false">(samgung26[[#This Row],[CANTIDAD INICIAL BARRAS]]+samgung26[[#This Row],[ENTRADAS BARRAS]]-samgung26[[#This Row],[SALIDA BARRAS]])</f>
        <v>0</v>
      </c>
      <c r="F34" s="23" t="n">
        <v>220</v>
      </c>
      <c r="G34" s="1" t="n">
        <v>93</v>
      </c>
      <c r="H34" s="1" t="n">
        <v>2</v>
      </c>
      <c r="I34" s="1" t="n">
        <f aca="false">(samgung26[[#This Row],["J" PRECIO VENTA ]]/samgung26[[#This Row],[BARRAS]])</f>
        <v>110</v>
      </c>
      <c r="J34" s="1" t="n">
        <f aca="false">(samgung26[[#This Row],["J"PRECIO COMPRA ]]/samgung26[[#This Row],[BARRAS]])</f>
        <v>46.5</v>
      </c>
      <c r="K34" s="1" t="n">
        <f aca="false">SUMIF(entradas26[CODIGO],samgung26[[#This Row],[CODIGO ]],entradas26[[CAN JUEGOS ]])</f>
        <v>0</v>
      </c>
      <c r="L34" s="1" t="n">
        <f aca="false">SUMIF(entradas26[CODIGO],samgung26[[#This Row],[CODIGO ]],entradas26[CAN BARRAS])</f>
        <v>0</v>
      </c>
      <c r="M34" s="1" t="n">
        <f aca="false">SUMIF(salidas26[[CODIGO ]],samgung26[[#This Row],[CODIGO ]],salidas26[[CANT JUEGOS ]])</f>
        <v>3</v>
      </c>
      <c r="N34" s="1" t="n">
        <f aca="false">SUMIF(salidas26[[CODIGO ]],samgung26[[#This Row],[CODIGO ]],salidas26[CANT BARRAS])</f>
        <v>0</v>
      </c>
      <c r="O34" s="1" t="n">
        <f aca="false">(samgung26[[#This Row],["J"PRECIO COMPRA ]]*samgung26[[#This Row],[STOCK JUEGOS]])</f>
        <v>1209</v>
      </c>
      <c r="P34" s="1" t="n">
        <f aca="false">(samgung26[[#This Row],["J" PRECIO VENTA ]]*samgung26[[#This Row],[STOCK JUEGOS]])</f>
        <v>2860</v>
      </c>
      <c r="Q34" s="1" t="n">
        <f aca="false">(samgung26[[#This Row],["B"PRECIO COMPRA]]*samgung26[[#This Row],[STOCK BARRAS]])</f>
        <v>0</v>
      </c>
      <c r="R34" s="1" t="n">
        <f aca="false">(samgung26[[#This Row],["B"PRECIO VENTA ]]*samgung26[[#This Row],[STOCK BARRAS]])</f>
        <v>0</v>
      </c>
      <c r="S34" s="18" t="n">
        <v>16</v>
      </c>
      <c r="T34" s="18"/>
      <c r="U34" s="1" t="n">
        <v>3.5</v>
      </c>
      <c r="W34" s="1" t="s">
        <v>205</v>
      </c>
    </row>
    <row r="35" customFormat="false" ht="15" hidden="false" customHeight="false" outlineLevel="0" collapsed="false">
      <c r="A35" s="1" t="n">
        <v>29</v>
      </c>
      <c r="B35" s="1" t="n">
        <v>2066</v>
      </c>
      <c r="C35" s="29" t="s">
        <v>206</v>
      </c>
      <c r="D35" s="1" t="n">
        <f aca="false">(samgung26[[#This Row],[CANTIDAD INICIAL JUEGO ]]+samgung26[[#This Row],[ENTRADAS JUEGOS ]]-samgung26[[#This Row],[SALIDAS JUEGOS]])</f>
        <v>2</v>
      </c>
      <c r="E35" s="1" t="n">
        <f aca="false">(samgung26[[#This Row],[CANTIDAD INICIAL BARRAS]]+samgung26[[#This Row],[ENTRADAS BARRAS]]-samgung26[[#This Row],[SALIDA BARRAS]])</f>
        <v>0</v>
      </c>
      <c r="F35" s="23" t="n">
        <v>300</v>
      </c>
      <c r="G35" s="34" t="n">
        <v>144</v>
      </c>
      <c r="H35" s="1" t="n">
        <v>8</v>
      </c>
      <c r="I35" s="1" t="n">
        <f aca="false">(samgung26[[#This Row],["J" PRECIO VENTA ]]/samgung26[[#This Row],[BARRAS]])</f>
        <v>37.5</v>
      </c>
      <c r="J35" s="1" t="n">
        <f aca="false">(samgung26[[#This Row],["J"PRECIO COMPRA ]]/samgung26[[#This Row],[BARRAS]])</f>
        <v>18</v>
      </c>
      <c r="K35" s="1" t="n">
        <f aca="false">SUMIF(entradas26[CODIGO],samgung26[[#This Row],[CODIGO ]],entradas26[[CAN JUEGOS ]])</f>
        <v>0</v>
      </c>
      <c r="L35" s="1" t="n">
        <f aca="false">SUMIF(entradas26[CODIGO],samgung26[[#This Row],[CODIGO ]],entradas26[CAN BARRAS])</f>
        <v>0</v>
      </c>
      <c r="M35" s="1" t="n">
        <f aca="false">SUMIF(salidas26[[CODIGO ]],samgung26[[#This Row],[CODIGO ]],salidas26[[CANT JUEGOS ]])</f>
        <v>0</v>
      </c>
      <c r="N35" s="1" t="n">
        <f aca="false">SUMIF(salidas26[[CODIGO ]],samgung26[[#This Row],[CODIGO ]],salidas26[CANT BARRAS])</f>
        <v>0</v>
      </c>
      <c r="O35" s="1" t="n">
        <f aca="false">(samgung26[[#This Row],["J"PRECIO COMPRA ]]*samgung26[[#This Row],[STOCK JUEGOS]])</f>
        <v>288</v>
      </c>
      <c r="P35" s="1" t="n">
        <f aca="false">(samgung26[[#This Row],["J" PRECIO VENTA ]]*samgung26[[#This Row],[STOCK JUEGOS]])</f>
        <v>600</v>
      </c>
      <c r="Q35" s="1" t="n">
        <f aca="false">(samgung26[[#This Row],["B"PRECIO COMPRA]]*samgung26[[#This Row],[STOCK BARRAS]])</f>
        <v>0</v>
      </c>
      <c r="R35" s="1" t="n">
        <f aca="false">(samgung26[[#This Row],["B"PRECIO VENTA ]]*samgung26[[#This Row],[STOCK BARRAS]])</f>
        <v>0</v>
      </c>
      <c r="S35" s="18" t="n">
        <v>2</v>
      </c>
      <c r="T35" s="18"/>
      <c r="U35" s="1" t="n">
        <v>6.55</v>
      </c>
      <c r="W35" s="1" t="s">
        <v>207</v>
      </c>
    </row>
    <row r="36" customFormat="false" ht="15" hidden="false" customHeight="false" outlineLevel="0" collapsed="false">
      <c r="A36" s="1" t="n">
        <v>30</v>
      </c>
      <c r="B36" s="1" t="n">
        <v>2067</v>
      </c>
      <c r="C36" s="29" t="s">
        <v>208</v>
      </c>
      <c r="D36" s="1" t="n">
        <f aca="false">(samgung26[[#This Row],[CANTIDAD INICIAL JUEGO ]]+samgung26[[#This Row],[ENTRADAS JUEGOS ]]-samgung26[[#This Row],[SALIDAS JUEGOS]])</f>
        <v>8</v>
      </c>
      <c r="E36" s="1" t="n">
        <f aca="false">(samgung26[[#This Row],[CANTIDAD INICIAL BARRAS]]+samgung26[[#This Row],[ENTRADAS BARRAS]]-samgung26[[#This Row],[SALIDA BARRAS]])</f>
        <v>0</v>
      </c>
      <c r="F36" s="23" t="n">
        <v>400</v>
      </c>
      <c r="G36" s="1" t="n">
        <v>271</v>
      </c>
      <c r="H36" s="1" t="n">
        <v>12</v>
      </c>
      <c r="I36" s="1" t="n">
        <f aca="false">(samgung26[[#This Row],["J" PRECIO VENTA ]]/samgung26[[#This Row],[BARRAS]])</f>
        <v>33.3333333333333</v>
      </c>
      <c r="J36" s="1" t="n">
        <f aca="false">(samgung26[[#This Row],["J"PRECIO COMPRA ]]/samgung26[[#This Row],[BARRAS]])</f>
        <v>22.5833333333333</v>
      </c>
      <c r="K36" s="1" t="n">
        <f aca="false">SUMIF(entradas26[CODIGO],samgung26[[#This Row],[CODIGO ]],entradas26[[CAN JUEGOS ]])</f>
        <v>0</v>
      </c>
      <c r="L36" s="1" t="n">
        <f aca="false">SUMIF(entradas26[CODIGO],samgung26[[#This Row],[CODIGO ]],entradas26[CAN BARRAS])</f>
        <v>0</v>
      </c>
      <c r="M36" s="1" t="n">
        <f aca="false">SUMIF(salidas26[[CODIGO ]],samgung26[[#This Row],[CODIGO ]],salidas26[[CANT JUEGOS ]])</f>
        <v>2</v>
      </c>
      <c r="N36" s="1" t="n">
        <f aca="false">SUMIF(salidas26[[CODIGO ]],samgung26[[#This Row],[CODIGO ]],salidas26[CANT BARRAS])</f>
        <v>0</v>
      </c>
      <c r="O36" s="1" t="n">
        <f aca="false">(samgung26[[#This Row],["J"PRECIO COMPRA ]]*samgung26[[#This Row],[STOCK JUEGOS]])</f>
        <v>2168</v>
      </c>
      <c r="P36" s="1" t="n">
        <f aca="false">(samgung26[[#This Row],["J" PRECIO VENTA ]]*samgung26[[#This Row],[STOCK JUEGOS]])</f>
        <v>3200</v>
      </c>
      <c r="Q36" s="1" t="n">
        <f aca="false">(samgung26[[#This Row],["B"PRECIO COMPRA]]*samgung26[[#This Row],[STOCK BARRAS]])</f>
        <v>0</v>
      </c>
      <c r="R36" s="1" t="n">
        <f aca="false">(samgung26[[#This Row],["B"PRECIO VENTA ]]*samgung26[[#This Row],[STOCK BARRAS]])</f>
        <v>0</v>
      </c>
      <c r="S36" s="18" t="n">
        <v>10</v>
      </c>
      <c r="T36" s="18"/>
      <c r="U36" s="1" t="n">
        <v>10.3</v>
      </c>
      <c r="W36" s="1" t="s">
        <v>209</v>
      </c>
    </row>
    <row r="37" customFormat="false" ht="15" hidden="false" customHeight="false" outlineLevel="0" collapsed="false">
      <c r="A37" s="1" t="n">
        <v>31</v>
      </c>
      <c r="B37" s="1" t="n">
        <v>2069</v>
      </c>
      <c r="C37" s="29" t="s">
        <v>210</v>
      </c>
      <c r="D37" s="1" t="n">
        <f aca="false">(samgung26[[#This Row],[CANTIDAD INICIAL JUEGO ]]+samgung26[[#This Row],[ENTRADAS JUEGOS ]]-samgung26[[#This Row],[SALIDAS JUEGOS]])</f>
        <v>8</v>
      </c>
      <c r="E37" s="1" t="n">
        <f aca="false">(samgung26[[#This Row],[CANTIDAD INICIAL BARRAS]]+samgung26[[#This Row],[ENTRADAS BARRAS]]-samgung26[[#This Row],[SALIDA BARRAS]])</f>
        <v>10</v>
      </c>
      <c r="F37" s="32" t="n">
        <v>420</v>
      </c>
      <c r="G37" s="1" t="n">
        <v>308</v>
      </c>
      <c r="H37" s="1" t="n">
        <v>20</v>
      </c>
      <c r="I37" s="1" t="n">
        <f aca="false">(samgung26[[#This Row],["J" PRECIO VENTA ]]/samgung26[[#This Row],[BARRAS]])</f>
        <v>21</v>
      </c>
      <c r="J37" s="1" t="n">
        <f aca="false">(samgung26[[#This Row],["J"PRECIO COMPRA ]]/samgung26[[#This Row],[BARRAS]])</f>
        <v>15.4</v>
      </c>
      <c r="K37" s="1" t="n">
        <f aca="false">SUMIF(entradas26[CODIGO],samgung26[[#This Row],[CODIGO ]],entradas26[[CAN JUEGOS ]])</f>
        <v>0</v>
      </c>
      <c r="L37" s="1" t="n">
        <f aca="false">SUMIF(entradas26[CODIGO],samgung26[[#This Row],[CODIGO ]],entradas26[CAN BARRAS])</f>
        <v>0</v>
      </c>
      <c r="M37" s="1" t="n">
        <f aca="false">SUMIF(salidas26[[CODIGO ]],samgung26[[#This Row],[CODIGO ]],salidas26[[CANT JUEGOS ]])</f>
        <v>0</v>
      </c>
      <c r="N37" s="1" t="n">
        <f aca="false">SUMIF(salidas26[[CODIGO ]],samgung26[[#This Row],[CODIGO ]],salidas26[CANT BARRAS])</f>
        <v>0</v>
      </c>
      <c r="O37" s="1" t="n">
        <f aca="false">(samgung26[[#This Row],["J"PRECIO COMPRA ]]*samgung26[[#This Row],[STOCK JUEGOS]])</f>
        <v>2464</v>
      </c>
      <c r="P37" s="1" t="n">
        <f aca="false">(samgung26[[#This Row],["J" PRECIO VENTA ]]*samgung26[[#This Row],[STOCK JUEGOS]])</f>
        <v>3360</v>
      </c>
      <c r="Q37" s="1" t="n">
        <f aca="false">(samgung26[[#This Row],["B"PRECIO COMPRA]]*samgung26[[#This Row],[STOCK BARRAS]])</f>
        <v>154</v>
      </c>
      <c r="R37" s="1" t="n">
        <f aca="false">(samgung26[[#This Row],["B"PRECIO VENTA ]]*samgung26[[#This Row],[STOCK BARRAS]])</f>
        <v>210</v>
      </c>
      <c r="S37" s="18" t="n">
        <v>8</v>
      </c>
      <c r="T37" s="18" t="n">
        <v>10</v>
      </c>
      <c r="U37" s="1" t="n">
        <v>1.1</v>
      </c>
      <c r="V37" s="1" t="s">
        <v>211</v>
      </c>
      <c r="W37" s="1" t="s">
        <v>212</v>
      </c>
    </row>
    <row r="38" customFormat="false" ht="15" hidden="false" customHeight="false" outlineLevel="0" collapsed="false">
      <c r="A38" s="1" t="n">
        <v>32</v>
      </c>
      <c r="B38" s="1" t="n">
        <v>2070</v>
      </c>
      <c r="C38" s="29" t="s">
        <v>213</v>
      </c>
      <c r="D38" s="1" t="n">
        <f aca="false">(samgung26[[#This Row],[CANTIDAD INICIAL JUEGO ]]+samgung26[[#This Row],[ENTRADAS JUEGOS ]]-samgung26[[#This Row],[SALIDAS JUEGOS]])</f>
        <v>6</v>
      </c>
      <c r="E38" s="1" t="n">
        <f aca="false">(samgung26[[#This Row],[CANTIDAD INICIAL BARRAS]]+samgung26[[#This Row],[ENTRADAS BARRAS]]-samgung26[[#This Row],[SALIDA BARRAS]])</f>
        <v>0</v>
      </c>
      <c r="F38" s="23" t="n">
        <v>700</v>
      </c>
      <c r="G38" s="1" t="n">
        <v>329</v>
      </c>
      <c r="H38" s="1" t="n">
        <v>2</v>
      </c>
      <c r="I38" s="1" t="n">
        <f aca="false">(samgung26[[#This Row],["J" PRECIO VENTA ]]/samgung26[[#This Row],[BARRAS]])</f>
        <v>350</v>
      </c>
      <c r="J38" s="1" t="n">
        <f aca="false">(samgung26[[#This Row],["J"PRECIO COMPRA ]]/samgung26[[#This Row],[BARRAS]])</f>
        <v>164.5</v>
      </c>
      <c r="K38" s="1" t="n">
        <f aca="false">SUMIF(entradas26[CODIGO],samgung26[[#This Row],[CODIGO ]],entradas26[[CAN JUEGOS ]])</f>
        <v>0</v>
      </c>
      <c r="L38" s="1" t="n">
        <f aca="false">SUMIF(entradas26[CODIGO],samgung26[[#This Row],[CODIGO ]],entradas26[CAN BARRAS])</f>
        <v>0</v>
      </c>
      <c r="M38" s="1" t="n">
        <f aca="false">SUMIF(salidas26[[CODIGO ]],samgung26[[#This Row],[CODIGO ]],salidas26[[CANT JUEGOS ]])</f>
        <v>0</v>
      </c>
      <c r="N38" s="1" t="n">
        <f aca="false">SUMIF(salidas26[[CODIGO ]],samgung26[[#This Row],[CODIGO ]],salidas26[CANT BARRAS])</f>
        <v>0</v>
      </c>
      <c r="O38" s="1" t="n">
        <f aca="false">(samgung26[[#This Row],["J"PRECIO COMPRA ]]*samgung26[[#This Row],[STOCK JUEGOS]])</f>
        <v>1974</v>
      </c>
      <c r="P38" s="1" t="n">
        <f aca="false">(samgung26[[#This Row],["J" PRECIO VENTA ]]*samgung26[[#This Row],[STOCK JUEGOS]])</f>
        <v>4200</v>
      </c>
      <c r="Q38" s="1" t="n">
        <f aca="false">(samgung26[[#This Row],["B"PRECIO COMPRA]]*samgung26[[#This Row],[STOCK BARRAS]])</f>
        <v>0</v>
      </c>
      <c r="R38" s="1" t="n">
        <f aca="false">(samgung26[[#This Row],["B"PRECIO VENTA ]]*samgung26[[#This Row],[STOCK BARRAS]])</f>
        <v>0</v>
      </c>
      <c r="S38" s="18" t="n">
        <v>6</v>
      </c>
      <c r="T38" s="18"/>
      <c r="U38" s="1" t="n">
        <v>16.4</v>
      </c>
      <c r="W38" s="1" t="s">
        <v>214</v>
      </c>
    </row>
    <row r="39" customFormat="false" ht="15" hidden="false" customHeight="false" outlineLevel="0" collapsed="false">
      <c r="A39" s="1" t="n">
        <v>33</v>
      </c>
      <c r="B39" s="1" t="n">
        <v>2072</v>
      </c>
      <c r="C39" s="29" t="s">
        <v>215</v>
      </c>
      <c r="D39" s="1" t="n">
        <f aca="false">(samgung26[[#This Row],[CANTIDAD INICIAL JUEGO ]]+samgung26[[#This Row],[ENTRADAS JUEGOS ]]-samgung26[[#This Row],[SALIDAS JUEGOS]])</f>
        <v>13</v>
      </c>
      <c r="E39" s="1" t="n">
        <f aca="false">(samgung26[[#This Row],[CANTIDAD INICIAL BARRAS]]+samgung26[[#This Row],[ENTRADAS BARRAS]]-samgung26[[#This Row],[SALIDA BARRAS]])</f>
        <v>5</v>
      </c>
      <c r="F39" s="23" t="n">
        <v>480</v>
      </c>
      <c r="G39" s="1" t="n">
        <v>238</v>
      </c>
      <c r="H39" s="1" t="n">
        <v>12</v>
      </c>
      <c r="I39" s="1" t="n">
        <f aca="false">(samgung26[[#This Row],["J" PRECIO VENTA ]]/samgung26[[#This Row],[BARRAS]])</f>
        <v>40</v>
      </c>
      <c r="J39" s="1" t="n">
        <f aca="false">(samgung26[[#This Row],["J"PRECIO COMPRA ]]/samgung26[[#This Row],[BARRAS]])</f>
        <v>19.8333333333333</v>
      </c>
      <c r="K39" s="1" t="n">
        <f aca="false">SUMIF(entradas26[CODIGO],samgung26[[#This Row],[CODIGO ]],entradas26[[CAN JUEGOS ]])</f>
        <v>10</v>
      </c>
      <c r="L39" s="1" t="n">
        <f aca="false">SUMIF(entradas26[CODIGO],samgung26[[#This Row],[CODIGO ]],entradas26[CAN BARRAS])</f>
        <v>0</v>
      </c>
      <c r="M39" s="1" t="n">
        <f aca="false">SUMIF(salidas26[[CODIGO ]],samgung26[[#This Row],[CODIGO ]],salidas26[[CANT JUEGOS ]])</f>
        <v>1</v>
      </c>
      <c r="N39" s="1" t="n">
        <f aca="false">SUMIF(salidas26[[CODIGO ]],samgung26[[#This Row],[CODIGO ]],salidas26[CANT BARRAS])</f>
        <v>0</v>
      </c>
      <c r="O39" s="1" t="n">
        <f aca="false">(samgung26[[#This Row],["J"PRECIO COMPRA ]]*samgung26[[#This Row],[STOCK JUEGOS]])</f>
        <v>3094</v>
      </c>
      <c r="P39" s="1" t="n">
        <f aca="false">(samgung26[[#This Row],["J" PRECIO VENTA ]]*samgung26[[#This Row],[STOCK JUEGOS]])</f>
        <v>6240</v>
      </c>
      <c r="Q39" s="1" t="n">
        <f aca="false">(samgung26[[#This Row],["B"PRECIO COMPRA]]*samgung26[[#This Row],[STOCK BARRAS]])</f>
        <v>99.1666666666667</v>
      </c>
      <c r="R39" s="1" t="n">
        <f aca="false">(samgung26[[#This Row],["B"PRECIO VENTA ]]*samgung26[[#This Row],[STOCK BARRAS]])</f>
        <v>200</v>
      </c>
      <c r="S39" s="18" t="n">
        <v>4</v>
      </c>
      <c r="T39" s="18" t="n">
        <v>5</v>
      </c>
      <c r="U39" s="1" t="n">
        <v>12.5</v>
      </c>
      <c r="W39" s="1" t="s">
        <v>216</v>
      </c>
    </row>
    <row r="40" customFormat="false" ht="15" hidden="false" customHeight="false" outlineLevel="0" collapsed="false">
      <c r="A40" s="1" t="n">
        <v>34</v>
      </c>
      <c r="B40" s="1" t="n">
        <v>2075</v>
      </c>
      <c r="C40" s="29" t="s">
        <v>217</v>
      </c>
      <c r="D40" s="1" t="n">
        <f aca="false">(samgung26[[#This Row],[CANTIDAD INICIAL JUEGO ]]+samgung26[[#This Row],[ENTRADAS JUEGOS ]]-samgung26[[#This Row],[SALIDAS JUEGOS]])</f>
        <v>9</v>
      </c>
      <c r="E40" s="1" t="n">
        <f aca="false">(samgung26[[#This Row],[CANTIDAD INICIAL BARRAS]]+samgung26[[#This Row],[ENTRADAS BARRAS]]-samgung26[[#This Row],[SALIDA BARRAS]])</f>
        <v>0</v>
      </c>
      <c r="F40" s="23" t="n">
        <v>200</v>
      </c>
      <c r="G40" s="1" t="n">
        <v>62</v>
      </c>
      <c r="H40" s="1" t="n">
        <v>2</v>
      </c>
      <c r="I40" s="1" t="n">
        <f aca="false">(samgung26[[#This Row],["J" PRECIO VENTA ]]/samgung26[[#This Row],[BARRAS]])</f>
        <v>100</v>
      </c>
      <c r="J40" s="1" t="n">
        <f aca="false">(samgung26[[#This Row],["J"PRECIO COMPRA ]]/samgung26[[#This Row],[BARRAS]])</f>
        <v>31</v>
      </c>
      <c r="K40" s="1" t="n">
        <f aca="false">SUMIF(entradas26[CODIGO],samgung26[[#This Row],[CODIGO ]],entradas26[[CAN JUEGOS ]])</f>
        <v>0</v>
      </c>
      <c r="L40" s="1" t="n">
        <f aca="false">SUMIF(entradas26[CODIGO],samgung26[[#This Row],[CODIGO ]],entradas26[CAN BARRAS])</f>
        <v>0</v>
      </c>
      <c r="M40" s="1" t="n">
        <f aca="false">SUMIF(salidas26[[CODIGO ]],samgung26[[#This Row],[CODIGO ]],salidas26[[CANT JUEGOS ]])</f>
        <v>18</v>
      </c>
      <c r="N40" s="1" t="n">
        <f aca="false">SUMIF(salidas26[[CODIGO ]],samgung26[[#This Row],[CODIGO ]],salidas26[CANT BARRAS])</f>
        <v>1</v>
      </c>
      <c r="O40" s="1" t="n">
        <f aca="false">(samgung26[[#This Row],["J"PRECIO COMPRA ]]*samgung26[[#This Row],[STOCK JUEGOS]])</f>
        <v>558</v>
      </c>
      <c r="P40" s="1" t="n">
        <f aca="false">(samgung26[[#This Row],["J" PRECIO VENTA ]]*samgung26[[#This Row],[STOCK JUEGOS]])</f>
        <v>1800</v>
      </c>
      <c r="Q40" s="1" t="n">
        <f aca="false">(samgung26[[#This Row],["B"PRECIO COMPRA]]*samgung26[[#This Row],[STOCK BARRAS]])</f>
        <v>0</v>
      </c>
      <c r="R40" s="1" t="n">
        <f aca="false">(samgung26[[#This Row],["B"PRECIO VENTA ]]*samgung26[[#This Row],[STOCK BARRAS]])</f>
        <v>0</v>
      </c>
      <c r="S40" s="18" t="n">
        <v>27</v>
      </c>
      <c r="T40" s="18" t="n">
        <v>1</v>
      </c>
      <c r="U40" s="1" t="n">
        <v>3.4</v>
      </c>
      <c r="W40" s="1" t="s">
        <v>218</v>
      </c>
      <c r="X40" s="0" t="s">
        <v>219</v>
      </c>
    </row>
    <row r="41" customFormat="false" ht="15" hidden="false" customHeight="false" outlineLevel="0" collapsed="false">
      <c r="A41" s="1" t="n">
        <v>35</v>
      </c>
      <c r="B41" s="1" t="n">
        <v>2078</v>
      </c>
      <c r="C41" s="29" t="s">
        <v>220</v>
      </c>
      <c r="D41" s="1" t="n">
        <f aca="false">(samgung26[[#This Row],[CANTIDAD INICIAL JUEGO ]]+samgung26[[#This Row],[ENTRADAS JUEGOS ]]-samgung26[[#This Row],[SALIDAS JUEGOS]])</f>
        <v>6</v>
      </c>
      <c r="E41" s="1" t="n">
        <f aca="false">(samgung26[[#This Row],[CANTIDAD INICIAL BARRAS]]+samgung26[[#This Row],[ENTRADAS BARRAS]]-samgung26[[#This Row],[SALIDA BARRAS]])</f>
        <v>2</v>
      </c>
      <c r="F41" s="23" t="n">
        <v>250</v>
      </c>
      <c r="G41" s="1" t="n">
        <v>51</v>
      </c>
      <c r="H41" s="1" t="n">
        <v>4</v>
      </c>
      <c r="I41" s="1" t="n">
        <f aca="false">(samgung26[[#This Row],["J" PRECIO VENTA ]]/samgung26[[#This Row],[BARRAS]])</f>
        <v>62.5</v>
      </c>
      <c r="J41" s="1" t="n">
        <f aca="false">(samgung26[[#This Row],["J"PRECIO COMPRA ]]/samgung26[[#This Row],[BARRAS]])</f>
        <v>12.75</v>
      </c>
      <c r="K41" s="1" t="n">
        <f aca="false">SUMIF(entradas26[CODIGO],samgung26[[#This Row],[CODIGO ]],entradas26[[CAN JUEGOS ]])</f>
        <v>0</v>
      </c>
      <c r="L41" s="1" t="n">
        <f aca="false">SUMIF(entradas26[CODIGO],samgung26[[#This Row],[CODIGO ]],entradas26[CAN BARRAS])</f>
        <v>4</v>
      </c>
      <c r="M41" s="1" t="n">
        <f aca="false">SUMIF(salidas26[[CODIGO ]],samgung26[[#This Row],[CODIGO ]],salidas26[[CANT JUEGOS ]])</f>
        <v>8</v>
      </c>
      <c r="N41" s="1" t="n">
        <f aca="false">SUMIF(salidas26[[CODIGO ]],samgung26[[#This Row],[CODIGO ]],salidas26[CANT BARRAS])</f>
        <v>3</v>
      </c>
      <c r="O41" s="1" t="n">
        <f aca="false">(samgung26[[#This Row],["J"PRECIO COMPRA ]]*samgung26[[#This Row],[STOCK JUEGOS]])</f>
        <v>306</v>
      </c>
      <c r="P41" s="1" t="n">
        <f aca="false">(samgung26[[#This Row],["J" PRECIO VENTA ]]*samgung26[[#This Row],[STOCK JUEGOS]])</f>
        <v>1500</v>
      </c>
      <c r="Q41" s="1" t="n">
        <f aca="false">(samgung26[[#This Row],["B"PRECIO COMPRA]]*samgung26[[#This Row],[STOCK BARRAS]])</f>
        <v>25.5</v>
      </c>
      <c r="R41" s="1" t="n">
        <f aca="false">(samgung26[[#This Row],["B"PRECIO VENTA ]]*samgung26[[#This Row],[STOCK BARRAS]])</f>
        <v>125</v>
      </c>
      <c r="S41" s="18" t="n">
        <v>14</v>
      </c>
      <c r="T41" s="18" t="n">
        <v>1</v>
      </c>
      <c r="U41" s="1" t="n">
        <v>3.67</v>
      </c>
      <c r="W41" s="1" t="s">
        <v>221</v>
      </c>
      <c r="X41" s="0" t="s">
        <v>222</v>
      </c>
    </row>
    <row r="42" customFormat="false" ht="15" hidden="false" customHeight="false" outlineLevel="0" collapsed="false">
      <c r="A42" s="1" t="n">
        <v>36</v>
      </c>
      <c r="B42" s="1" t="n">
        <v>2079</v>
      </c>
      <c r="C42" s="29" t="s">
        <v>223</v>
      </c>
      <c r="D42" s="1" t="n">
        <f aca="false">(samgung26[[#This Row],[CANTIDAD INICIAL JUEGO ]]+samgung26[[#This Row],[ENTRADAS JUEGOS ]]-samgung26[[#This Row],[SALIDAS JUEGOS]])</f>
        <v>7</v>
      </c>
      <c r="E42" s="1" t="n">
        <f aca="false">(samgung26[[#This Row],[CANTIDAD INICIAL BARRAS]]+samgung26[[#This Row],[ENTRADAS BARRAS]]-samgung26[[#This Row],[SALIDA BARRAS]])</f>
        <v>0</v>
      </c>
      <c r="F42" s="23" t="n">
        <v>450</v>
      </c>
      <c r="G42" s="1" t="n">
        <v>360</v>
      </c>
      <c r="H42" s="1" t="n">
        <v>12</v>
      </c>
      <c r="I42" s="1" t="n">
        <f aca="false">(samgung26[[#This Row],["J" PRECIO VENTA ]]/samgung26[[#This Row],[BARRAS]])</f>
        <v>37.5</v>
      </c>
      <c r="J42" s="1" t="n">
        <f aca="false">(samgung26[[#This Row],["J"PRECIO COMPRA ]]/samgung26[[#This Row],[BARRAS]])</f>
        <v>30</v>
      </c>
      <c r="K42" s="1" t="n">
        <f aca="false">SUMIF(entradas26[CODIGO],samgung26[[#This Row],[CODIGO ]],entradas26[[CAN JUEGOS ]])</f>
        <v>0</v>
      </c>
      <c r="L42" s="1" t="n">
        <f aca="false">SUMIF(entradas26[CODIGO],samgung26[[#This Row],[CODIGO ]],entradas26[CAN BARRAS])</f>
        <v>0</v>
      </c>
      <c r="M42" s="1" t="n">
        <f aca="false">SUMIF(salidas26[[CODIGO ]],samgung26[[#This Row],[CODIGO ]],salidas26[[CANT JUEGOS ]])</f>
        <v>2</v>
      </c>
      <c r="N42" s="1" t="n">
        <f aca="false">SUMIF(salidas26[[CODIGO ]],samgung26[[#This Row],[CODIGO ]],salidas26[CANT BARRAS])</f>
        <v>0</v>
      </c>
      <c r="O42" s="1" t="n">
        <f aca="false">(samgung26[[#This Row],["J"PRECIO COMPRA ]]*samgung26[[#This Row],[STOCK JUEGOS]])</f>
        <v>2520</v>
      </c>
      <c r="P42" s="1" t="n">
        <f aca="false">(samgung26[[#This Row],["J" PRECIO VENTA ]]*samgung26[[#This Row],[STOCK JUEGOS]])</f>
        <v>3150</v>
      </c>
      <c r="Q42" s="1" t="n">
        <f aca="false">(samgung26[[#This Row],["B"PRECIO COMPRA]]*samgung26[[#This Row],[STOCK BARRAS]])</f>
        <v>0</v>
      </c>
      <c r="R42" s="1" t="n">
        <f aca="false">(samgung26[[#This Row],["B"PRECIO VENTA ]]*samgung26[[#This Row],[STOCK BARRAS]])</f>
        <v>0</v>
      </c>
      <c r="S42" s="18" t="n">
        <v>9</v>
      </c>
      <c r="T42" s="18"/>
      <c r="U42" s="1" t="n">
        <v>12</v>
      </c>
      <c r="V42" s="1" t="s">
        <v>224</v>
      </c>
      <c r="W42" s="1" t="s">
        <v>225</v>
      </c>
    </row>
    <row r="43" customFormat="false" ht="15" hidden="false" customHeight="false" outlineLevel="0" collapsed="false">
      <c r="A43" s="1" t="n">
        <v>37</v>
      </c>
      <c r="B43" s="1" t="n">
        <v>2081</v>
      </c>
      <c r="C43" s="29" t="s">
        <v>226</v>
      </c>
      <c r="D43" s="1" t="n">
        <f aca="false">(samgung26[[#This Row],[CANTIDAD INICIAL JUEGO ]]+samgung26[[#This Row],[ENTRADAS JUEGOS ]]-samgung26[[#This Row],[SALIDAS JUEGOS]])</f>
        <v>21</v>
      </c>
      <c r="E43" s="1" t="n">
        <f aca="false">(samgung26[[#This Row],[CANTIDAD INICIAL BARRAS]]+samgung26[[#This Row],[ENTRADAS BARRAS]]-samgung26[[#This Row],[SALIDA BARRAS]])</f>
        <v>1</v>
      </c>
      <c r="F43" s="23" t="n">
        <v>420</v>
      </c>
      <c r="G43" s="1" t="n">
        <v>126</v>
      </c>
      <c r="H43" s="1" t="n">
        <v>2</v>
      </c>
      <c r="I43" s="1" t="n">
        <f aca="false">(samgung26[[#This Row],["J" PRECIO VENTA ]]/samgung26[[#This Row],[BARRAS]])</f>
        <v>210</v>
      </c>
      <c r="J43" s="1" t="n">
        <f aca="false">(samgung26[[#This Row],["J"PRECIO COMPRA ]]/samgung26[[#This Row],[BARRAS]])</f>
        <v>63</v>
      </c>
      <c r="K43" s="1" t="n">
        <f aca="false">SUMIF(entradas26[CODIGO],samgung26[[#This Row],[CODIGO ]],entradas26[[CAN JUEGOS ]])</f>
        <v>0</v>
      </c>
      <c r="L43" s="1" t="n">
        <f aca="false">SUMIF(entradas26[CODIGO],samgung26[[#This Row],[CODIGO ]],entradas26[CAN BARRAS])</f>
        <v>0</v>
      </c>
      <c r="M43" s="1" t="n">
        <f aca="false">SUMIF(salidas26[[CODIGO ]],samgung26[[#This Row],[CODIGO ]],salidas26[[CANT JUEGOS ]])</f>
        <v>0</v>
      </c>
      <c r="N43" s="1" t="n">
        <f aca="false">SUMIF(salidas26[[CODIGO ]],samgung26[[#This Row],[CODIGO ]],salidas26[CANT BARRAS])</f>
        <v>0</v>
      </c>
      <c r="O43" s="1" t="n">
        <f aca="false">(samgung26[[#This Row],["J"PRECIO COMPRA ]]*samgung26[[#This Row],[STOCK JUEGOS]])</f>
        <v>2646</v>
      </c>
      <c r="P43" s="1" t="n">
        <f aca="false">(samgung26[[#This Row],["J" PRECIO VENTA ]]*samgung26[[#This Row],[STOCK JUEGOS]])</f>
        <v>8820</v>
      </c>
      <c r="Q43" s="1" t="n">
        <f aca="false">(samgung26[[#This Row],["B"PRECIO COMPRA]]*samgung26[[#This Row],[STOCK BARRAS]])</f>
        <v>63</v>
      </c>
      <c r="R43" s="1" t="n">
        <f aca="false">(samgung26[[#This Row],["B"PRECIO VENTA ]]*samgung26[[#This Row],[STOCK BARRAS]])</f>
        <v>210</v>
      </c>
      <c r="S43" s="18" t="n">
        <v>21</v>
      </c>
      <c r="T43" s="18" t="n">
        <v>1</v>
      </c>
      <c r="U43" s="1" t="n">
        <v>6.3</v>
      </c>
      <c r="V43" s="1" t="s">
        <v>224</v>
      </c>
      <c r="W43" s="1" t="s">
        <v>227</v>
      </c>
    </row>
    <row r="44" customFormat="false" ht="15" hidden="false" customHeight="false" outlineLevel="0" collapsed="false">
      <c r="A44" s="1" t="n">
        <v>38</v>
      </c>
      <c r="B44" s="1" t="n">
        <v>2082</v>
      </c>
      <c r="C44" s="29" t="s">
        <v>228</v>
      </c>
      <c r="D44" s="1" t="n">
        <f aca="false">(samgung26[[#This Row],[CANTIDAD INICIAL JUEGO ]]+samgung26[[#This Row],[ENTRADAS JUEGOS ]]-samgung26[[#This Row],[SALIDAS JUEGOS]])</f>
        <v>9</v>
      </c>
      <c r="E44" s="1" t="n">
        <f aca="false">(samgung26[[#This Row],[CANTIDAD INICIAL BARRAS]]+samgung26[[#This Row],[ENTRADAS BARRAS]]-samgung26[[#This Row],[SALIDA BARRAS]])</f>
        <v>0</v>
      </c>
      <c r="F44" s="23" t="n">
        <v>400</v>
      </c>
      <c r="G44" s="1" t="n">
        <v>194</v>
      </c>
      <c r="H44" s="1" t="n">
        <v>2</v>
      </c>
      <c r="I44" s="1" t="n">
        <f aca="false">(samgung26[[#This Row],["J" PRECIO VENTA ]]/samgung26[[#This Row],[BARRAS]])</f>
        <v>200</v>
      </c>
      <c r="J44" s="1" t="n">
        <f aca="false">(samgung26[[#This Row],["J"PRECIO COMPRA ]]/samgung26[[#This Row],[BARRAS]])</f>
        <v>97</v>
      </c>
      <c r="K44" s="1" t="n">
        <f aca="false">SUMIF(entradas26[CODIGO],samgung26[[#This Row],[CODIGO ]],entradas26[[CAN JUEGOS ]])</f>
        <v>0</v>
      </c>
      <c r="L44" s="1" t="n">
        <f aca="false">SUMIF(entradas26[CODIGO],samgung26[[#This Row],[CODIGO ]],entradas26[CAN BARRAS])</f>
        <v>0</v>
      </c>
      <c r="M44" s="1" t="n">
        <f aca="false">SUMIF(salidas26[[CODIGO ]],samgung26[[#This Row],[CODIGO ]],salidas26[[CANT JUEGOS ]])</f>
        <v>1</v>
      </c>
      <c r="N44" s="1" t="n">
        <f aca="false">SUMIF(salidas26[[CODIGO ]],samgung26[[#This Row],[CODIGO ]],salidas26[CANT BARRAS])</f>
        <v>0</v>
      </c>
      <c r="O44" s="1" t="n">
        <f aca="false">(samgung26[[#This Row],["J"PRECIO COMPRA ]]*samgung26[[#This Row],[STOCK JUEGOS]])</f>
        <v>1746</v>
      </c>
      <c r="P44" s="1" t="n">
        <f aca="false">(samgung26[[#This Row],["J" PRECIO VENTA ]]*samgung26[[#This Row],[STOCK JUEGOS]])</f>
        <v>3600</v>
      </c>
      <c r="Q44" s="1" t="n">
        <f aca="false">(samgung26[[#This Row],["B"PRECIO COMPRA]]*samgung26[[#This Row],[STOCK BARRAS]])</f>
        <v>0</v>
      </c>
      <c r="R44" s="1" t="n">
        <f aca="false">(samgung26[[#This Row],["B"PRECIO VENTA ]]*samgung26[[#This Row],[STOCK BARRAS]])</f>
        <v>0</v>
      </c>
      <c r="S44" s="18" t="n">
        <v>10</v>
      </c>
      <c r="T44" s="18"/>
      <c r="U44" s="1" t="n">
        <v>6.28</v>
      </c>
      <c r="W44" s="1" t="s">
        <v>41</v>
      </c>
    </row>
    <row r="45" customFormat="false" ht="15" hidden="false" customHeight="false" outlineLevel="0" collapsed="false">
      <c r="A45" s="1" t="n">
        <v>39</v>
      </c>
      <c r="B45" s="1" t="n">
        <v>2084</v>
      </c>
      <c r="C45" s="29" t="s">
        <v>229</v>
      </c>
      <c r="D45" s="1" t="n">
        <f aca="false">(samgung26[[#This Row],[CANTIDAD INICIAL JUEGO ]]+samgung26[[#This Row],[ENTRADAS JUEGOS ]]-samgung26[[#This Row],[SALIDAS JUEGOS]])</f>
        <v>1</v>
      </c>
      <c r="E45" s="1" t="n">
        <f aca="false">(samgung26[[#This Row],[CANTIDAD INICIAL BARRAS]]+samgung26[[#This Row],[ENTRADAS BARRAS]]-samgung26[[#This Row],[SALIDA BARRAS]])</f>
        <v>0</v>
      </c>
      <c r="F45" s="23" t="n">
        <v>300</v>
      </c>
      <c r="G45" s="1" t="n">
        <v>125</v>
      </c>
      <c r="H45" s="1" t="n">
        <v>8</v>
      </c>
      <c r="I45" s="1" t="n">
        <f aca="false">(samgung26[[#This Row],["J" PRECIO VENTA ]]/samgung26[[#This Row],[BARRAS]])</f>
        <v>37.5</v>
      </c>
      <c r="J45" s="1" t="n">
        <f aca="false">(samgung26[[#This Row],["J"PRECIO COMPRA ]]/samgung26[[#This Row],[BARRAS]])</f>
        <v>15.625</v>
      </c>
      <c r="K45" s="1" t="n">
        <f aca="false">SUMIF(entradas26[CODIGO],samgung26[[#This Row],[CODIGO ]],entradas26[[CAN JUEGOS ]])</f>
        <v>0</v>
      </c>
      <c r="L45" s="1" t="n">
        <f aca="false">SUMIF(entradas26[CODIGO],samgung26[[#This Row],[CODIGO ]],entradas26[CAN BARRAS])</f>
        <v>0</v>
      </c>
      <c r="M45" s="1" t="n">
        <f aca="false">SUMIF(salidas26[[CODIGO ]],samgung26[[#This Row],[CODIGO ]],salidas26[[CANT JUEGOS ]])</f>
        <v>0</v>
      </c>
      <c r="N45" s="1" t="n">
        <f aca="false">SUMIF(salidas26[[CODIGO ]],samgung26[[#This Row],[CODIGO ]],salidas26[CANT BARRAS])</f>
        <v>0</v>
      </c>
      <c r="O45" s="1" t="n">
        <f aca="false">(samgung26[[#This Row],["J"PRECIO COMPRA ]]*samgung26[[#This Row],[STOCK JUEGOS]])</f>
        <v>125</v>
      </c>
      <c r="P45" s="1" t="n">
        <f aca="false">(samgung26[[#This Row],["J" PRECIO VENTA ]]*samgung26[[#This Row],[STOCK JUEGOS]])</f>
        <v>300</v>
      </c>
      <c r="Q45" s="1" t="n">
        <f aca="false">(samgung26[[#This Row],["B"PRECIO COMPRA]]*samgung26[[#This Row],[STOCK BARRAS]])</f>
        <v>0</v>
      </c>
      <c r="R45" s="1" t="n">
        <f aca="false">(samgung26[[#This Row],["B"PRECIO VENTA ]]*samgung26[[#This Row],[STOCK BARRAS]])</f>
        <v>0</v>
      </c>
      <c r="S45" s="18" t="n">
        <v>1</v>
      </c>
      <c r="T45" s="18"/>
    </row>
    <row r="46" customFormat="false" ht="15" hidden="false" customHeight="false" outlineLevel="0" collapsed="false">
      <c r="A46" s="1" t="n">
        <v>40</v>
      </c>
      <c r="B46" s="1" t="n">
        <v>2085</v>
      </c>
      <c r="C46" s="29" t="s">
        <v>230</v>
      </c>
      <c r="D46" s="1" t="n">
        <f aca="false">(samgung26[[#This Row],[CANTIDAD INICIAL JUEGO ]]+samgung26[[#This Row],[ENTRADAS JUEGOS ]]-samgung26[[#This Row],[SALIDAS JUEGOS]])</f>
        <v>5</v>
      </c>
      <c r="E46" s="1" t="n">
        <f aca="false">(samgung26[[#This Row],[CANTIDAD INICIAL BARRAS]]+samgung26[[#This Row],[ENTRADAS BARRAS]]-samgung26[[#This Row],[SALIDA BARRAS]])</f>
        <v>0</v>
      </c>
      <c r="F46" s="23" t="n">
        <v>450</v>
      </c>
      <c r="G46" s="1" t="n">
        <v>264</v>
      </c>
      <c r="H46" s="1" t="n">
        <v>2</v>
      </c>
      <c r="I46" s="1" t="n">
        <f aca="false">(samgung26[[#This Row],["J" PRECIO VENTA ]]/samgung26[[#This Row],[BARRAS]])</f>
        <v>225</v>
      </c>
      <c r="J46" s="1" t="n">
        <f aca="false">(samgung26[[#This Row],["J"PRECIO COMPRA ]]/samgung26[[#This Row],[BARRAS]])</f>
        <v>132</v>
      </c>
      <c r="K46" s="1" t="n">
        <f aca="false">SUMIF(entradas26[CODIGO],samgung26[[#This Row],[CODIGO ]],entradas26[[CAN JUEGOS ]])</f>
        <v>0</v>
      </c>
      <c r="L46" s="1" t="n">
        <f aca="false">SUMIF(entradas26[CODIGO],samgung26[[#This Row],[CODIGO ]],entradas26[CAN BARRAS])</f>
        <v>0</v>
      </c>
      <c r="M46" s="1" t="n">
        <f aca="false">SUMIF(salidas26[[CODIGO ]],samgung26[[#This Row],[CODIGO ]],salidas26[[CANT JUEGOS ]])</f>
        <v>0</v>
      </c>
      <c r="N46" s="1" t="n">
        <f aca="false">SUMIF(salidas26[[CODIGO ]],samgung26[[#This Row],[CODIGO ]],salidas26[CANT BARRAS])</f>
        <v>0</v>
      </c>
      <c r="O46" s="1" t="n">
        <f aca="false">(samgung26[[#This Row],["J"PRECIO COMPRA ]]*samgung26[[#This Row],[STOCK JUEGOS]])</f>
        <v>1320</v>
      </c>
      <c r="P46" s="1" t="n">
        <f aca="false">(samgung26[[#This Row],["J" PRECIO VENTA ]]*samgung26[[#This Row],[STOCK JUEGOS]])</f>
        <v>2250</v>
      </c>
      <c r="Q46" s="1" t="n">
        <f aca="false">(samgung26[[#This Row],["B"PRECIO COMPRA]]*samgung26[[#This Row],[STOCK BARRAS]])</f>
        <v>0</v>
      </c>
      <c r="R46" s="1" t="n">
        <f aca="false">(samgung26[[#This Row],["B"PRECIO VENTA ]]*samgung26[[#This Row],[STOCK BARRAS]])</f>
        <v>0</v>
      </c>
      <c r="S46" s="18" t="n">
        <v>5</v>
      </c>
      <c r="T46" s="18"/>
      <c r="U46" s="1" t="n">
        <v>13.2</v>
      </c>
      <c r="W46" s="1" t="s">
        <v>231</v>
      </c>
    </row>
    <row r="47" customFormat="false" ht="15" hidden="false" customHeight="false" outlineLevel="0" collapsed="false">
      <c r="A47" s="1" t="n">
        <v>41</v>
      </c>
      <c r="B47" s="1" t="n">
        <v>2087</v>
      </c>
      <c r="C47" s="29" t="s">
        <v>232</v>
      </c>
      <c r="D47" s="1" t="n">
        <f aca="false">(samgung26[[#This Row],[CANTIDAD INICIAL JUEGO ]]+samgung26[[#This Row],[ENTRADAS JUEGOS ]]-samgung26[[#This Row],[SALIDAS JUEGOS]])</f>
        <v>0</v>
      </c>
      <c r="E47" s="1" t="n">
        <f aca="false">(samgung26[[#This Row],[CANTIDAD INICIAL BARRAS]]+samgung26[[#This Row],[ENTRADAS BARRAS]]-samgung26[[#This Row],[SALIDA BARRAS]])</f>
        <v>0</v>
      </c>
      <c r="F47" s="23" t="n">
        <v>240</v>
      </c>
      <c r="G47" s="1" t="n">
        <v>112</v>
      </c>
      <c r="H47" s="1" t="n">
        <v>2</v>
      </c>
      <c r="I47" s="1" t="n">
        <f aca="false">(samgung26[[#This Row],["J" PRECIO VENTA ]]/samgung26[[#This Row],[BARRAS]])</f>
        <v>120</v>
      </c>
      <c r="J47" s="1" t="n">
        <f aca="false">(samgung26[[#This Row],["J"PRECIO COMPRA ]]/samgung26[[#This Row],[BARRAS]])</f>
        <v>56</v>
      </c>
      <c r="K47" s="1" t="n">
        <f aca="false">SUMIF(entradas26[CODIGO],samgung26[[#This Row],[CODIGO ]],entradas26[[CAN JUEGOS ]])</f>
        <v>0</v>
      </c>
      <c r="L47" s="1" t="n">
        <f aca="false">SUMIF(entradas26[CODIGO],samgung26[[#This Row],[CODIGO ]],entradas26[CAN BARRAS])</f>
        <v>0</v>
      </c>
      <c r="M47" s="1" t="n">
        <f aca="false">SUMIF(salidas26[[CODIGO ]],samgung26[[#This Row],[CODIGO ]],salidas26[[CANT JUEGOS ]])</f>
        <v>13</v>
      </c>
      <c r="N47" s="1" t="n">
        <f aca="false">SUMIF(salidas26[[CODIGO ]],samgung26[[#This Row],[CODIGO ]],salidas26[CANT BARRAS])</f>
        <v>1</v>
      </c>
      <c r="O47" s="1" t="n">
        <f aca="false">(samgung26[[#This Row],["J"PRECIO COMPRA ]]*samgung26[[#This Row],[STOCK JUEGOS]])</f>
        <v>0</v>
      </c>
      <c r="P47" s="1" t="n">
        <f aca="false">(samgung26[[#This Row],["J" PRECIO VENTA ]]*samgung26[[#This Row],[STOCK JUEGOS]])</f>
        <v>0</v>
      </c>
      <c r="Q47" s="1" t="n">
        <f aca="false">(samgung26[[#This Row],["B"PRECIO COMPRA]]*samgung26[[#This Row],[STOCK BARRAS]])</f>
        <v>0</v>
      </c>
      <c r="R47" s="1" t="n">
        <f aca="false">(samgung26[[#This Row],["B"PRECIO VENTA ]]*samgung26[[#This Row],[STOCK BARRAS]])</f>
        <v>0</v>
      </c>
      <c r="S47" s="18" t="n">
        <v>13</v>
      </c>
      <c r="T47" s="18" t="n">
        <v>1</v>
      </c>
      <c r="U47" s="1" t="n">
        <v>3.6</v>
      </c>
      <c r="W47" s="1" t="s">
        <v>233</v>
      </c>
      <c r="X47" s="0" t="s">
        <v>234</v>
      </c>
    </row>
    <row r="48" customFormat="false" ht="15" hidden="false" customHeight="false" outlineLevel="0" collapsed="false">
      <c r="A48" s="1" t="n">
        <v>42</v>
      </c>
      <c r="B48" s="1" t="n">
        <v>2088</v>
      </c>
      <c r="C48" s="29" t="s">
        <v>235</v>
      </c>
      <c r="D48" s="1" t="n">
        <f aca="false">(samgung26[[#This Row],[CANTIDAD INICIAL JUEGO ]]+samgung26[[#This Row],[ENTRADAS JUEGOS ]]-samgung26[[#This Row],[SALIDAS JUEGOS]])</f>
        <v>2</v>
      </c>
      <c r="E48" s="1" t="n">
        <f aca="false">(samgung26[[#This Row],[CANTIDAD INICIAL BARRAS]]+samgung26[[#This Row],[ENTRADAS BARRAS]]-samgung26[[#This Row],[SALIDA BARRAS]])</f>
        <v>0</v>
      </c>
      <c r="F48" s="23" t="n">
        <v>420</v>
      </c>
      <c r="G48" s="1" t="n">
        <v>269</v>
      </c>
      <c r="H48" s="1" t="n">
        <v>8</v>
      </c>
      <c r="I48" s="1" t="n">
        <f aca="false">(samgung26[[#This Row],["J" PRECIO VENTA ]]/samgung26[[#This Row],[BARRAS]])</f>
        <v>52.5</v>
      </c>
      <c r="J48" s="1" t="n">
        <f aca="false">(samgung26[[#This Row],["J"PRECIO COMPRA ]]/samgung26[[#This Row],[BARRAS]])</f>
        <v>33.625</v>
      </c>
      <c r="K48" s="1" t="n">
        <f aca="false">SUMIF(entradas26[CODIGO],samgung26[[#This Row],[CODIGO ]],entradas26[[CAN JUEGOS ]])</f>
        <v>0</v>
      </c>
      <c r="L48" s="1" t="n">
        <f aca="false">SUMIF(entradas26[CODIGO],samgung26[[#This Row],[CODIGO ]],entradas26[CAN BARRAS])</f>
        <v>0</v>
      </c>
      <c r="M48" s="1" t="n">
        <f aca="false">SUMIF(salidas26[[CODIGO ]],samgung26[[#This Row],[CODIGO ]],salidas26[[CANT JUEGOS ]])</f>
        <v>0</v>
      </c>
      <c r="N48" s="1" t="n">
        <f aca="false">SUMIF(salidas26[[CODIGO ]],samgung26[[#This Row],[CODIGO ]],salidas26[CANT BARRAS])</f>
        <v>0</v>
      </c>
      <c r="O48" s="1" t="n">
        <f aca="false">(samgung26[[#This Row],["J"PRECIO COMPRA ]]*samgung26[[#This Row],[STOCK JUEGOS]])</f>
        <v>538</v>
      </c>
      <c r="P48" s="1" t="n">
        <f aca="false">(samgung26[[#This Row],["J" PRECIO VENTA ]]*samgung26[[#This Row],[STOCK JUEGOS]])</f>
        <v>840</v>
      </c>
      <c r="Q48" s="1" t="n">
        <f aca="false">(samgung26[[#This Row],["B"PRECIO COMPRA]]*samgung26[[#This Row],[STOCK BARRAS]])</f>
        <v>0</v>
      </c>
      <c r="R48" s="1" t="n">
        <f aca="false">(samgung26[[#This Row],["B"PRECIO VENTA ]]*samgung26[[#This Row],[STOCK BARRAS]])</f>
        <v>0</v>
      </c>
      <c r="S48" s="18" t="n">
        <v>2</v>
      </c>
      <c r="T48" s="18"/>
    </row>
    <row r="49" customFormat="false" ht="15" hidden="false" customHeight="false" outlineLevel="0" collapsed="false">
      <c r="A49" s="1" t="n">
        <v>43</v>
      </c>
      <c r="B49" s="1" t="n">
        <v>2089</v>
      </c>
      <c r="C49" s="29" t="s">
        <v>236</v>
      </c>
      <c r="D49" s="1" t="n">
        <f aca="false">(samgung26[[#This Row],[CANTIDAD INICIAL JUEGO ]]+samgung26[[#This Row],[ENTRADAS JUEGOS ]]-samgung26[[#This Row],[SALIDAS JUEGOS]])</f>
        <v>22</v>
      </c>
      <c r="E49" s="1" t="n">
        <f aca="false">(samgung26[[#This Row],[CANTIDAD INICIAL BARRAS]]+samgung26[[#This Row],[ENTRADAS BARRAS]]-samgung26[[#This Row],[SALIDA BARRAS]])</f>
        <v>0</v>
      </c>
      <c r="F49" s="23" t="n">
        <v>320</v>
      </c>
      <c r="G49" s="1" t="n">
        <v>87.4</v>
      </c>
      <c r="H49" s="1" t="n">
        <v>8</v>
      </c>
      <c r="I49" s="1" t="n">
        <f aca="false">(samgung26[[#This Row],["J" PRECIO VENTA ]]/samgung26[[#This Row],[BARRAS]])</f>
        <v>40</v>
      </c>
      <c r="J49" s="1" t="n">
        <f aca="false">(samgung26[[#This Row],["J"PRECIO COMPRA ]]/samgung26[[#This Row],[BARRAS]])</f>
        <v>10.925</v>
      </c>
      <c r="K49" s="1" t="n">
        <f aca="false">SUMIF(entradas26[CODIGO],samgung26[[#This Row],[CODIGO ]],entradas26[[CAN JUEGOS ]])</f>
        <v>23</v>
      </c>
      <c r="L49" s="1" t="n">
        <f aca="false">SUMIF(entradas26[CODIGO],samgung26[[#This Row],[CODIGO ]],entradas26[CAN BARRAS])</f>
        <v>0</v>
      </c>
      <c r="M49" s="1" t="n">
        <f aca="false">SUMIF(salidas26[[CODIGO ]],samgung26[[#This Row],[CODIGO ]],salidas26[[CANT JUEGOS ]])</f>
        <v>2</v>
      </c>
      <c r="N49" s="1" t="n">
        <f aca="false">SUMIF(salidas26[[CODIGO ]],samgung26[[#This Row],[CODIGO ]],salidas26[CANT BARRAS])</f>
        <v>0</v>
      </c>
      <c r="O49" s="1" t="n">
        <f aca="false">(samgung26[[#This Row],["J"PRECIO COMPRA ]]*samgung26[[#This Row],[STOCK JUEGOS]])</f>
        <v>1922.8</v>
      </c>
      <c r="P49" s="1" t="n">
        <f aca="false">(samgung26[[#This Row],["J" PRECIO VENTA ]]*samgung26[[#This Row],[STOCK JUEGOS]])</f>
        <v>7040</v>
      </c>
      <c r="Q49" s="1" t="n">
        <f aca="false">(samgung26[[#This Row],["B"PRECIO COMPRA]]*samgung26[[#This Row],[STOCK BARRAS]])</f>
        <v>0</v>
      </c>
      <c r="R49" s="1" t="n">
        <f aca="false">(samgung26[[#This Row],["B"PRECIO VENTA ]]*samgung26[[#This Row],[STOCK BARRAS]])</f>
        <v>0</v>
      </c>
      <c r="S49" s="18" t="n">
        <v>1</v>
      </c>
      <c r="T49" s="18"/>
      <c r="U49" s="1" t="n">
        <v>4.6</v>
      </c>
      <c r="W49" s="1" t="s">
        <v>237</v>
      </c>
    </row>
    <row r="50" customFormat="false" ht="15" hidden="false" customHeight="false" outlineLevel="0" collapsed="false">
      <c r="A50" s="1" t="n">
        <v>44</v>
      </c>
      <c r="B50" s="1" t="n">
        <v>2090</v>
      </c>
      <c r="C50" s="29" t="s">
        <v>238</v>
      </c>
      <c r="D50" s="1" t="n">
        <f aca="false">(samgung26[[#This Row],[CANTIDAD INICIAL JUEGO ]]+samgung26[[#This Row],[ENTRADAS JUEGOS ]]-samgung26[[#This Row],[SALIDAS JUEGOS]])</f>
        <v>15</v>
      </c>
      <c r="E50" s="1" t="n">
        <f aca="false">(samgung26[[#This Row],[CANTIDAD INICIAL BARRAS]]+samgung26[[#This Row],[ENTRADAS BARRAS]]-samgung26[[#This Row],[SALIDA BARRAS]])</f>
        <v>10</v>
      </c>
      <c r="F50" s="23" t="n">
        <v>350</v>
      </c>
      <c r="G50" s="1" t="n">
        <v>166</v>
      </c>
      <c r="H50" s="1" t="n">
        <v>12</v>
      </c>
      <c r="I50" s="1" t="n">
        <f aca="false">(samgung26[[#This Row],["J" PRECIO VENTA ]]/samgung26[[#This Row],[BARRAS]])</f>
        <v>29.1666666666667</v>
      </c>
      <c r="J50" s="1" t="n">
        <f aca="false">(samgung26[[#This Row],["J"PRECIO COMPRA ]]/samgung26[[#This Row],[BARRAS]])</f>
        <v>13.8333333333333</v>
      </c>
      <c r="K50" s="1" t="n">
        <f aca="false">SUMIF(entradas26[CODIGO],samgung26[[#This Row],[CODIGO ]],entradas26[[CAN JUEGOS ]])</f>
        <v>0</v>
      </c>
      <c r="L50" s="1" t="n">
        <f aca="false">SUMIF(entradas26[CODIGO],samgung26[[#This Row],[CODIGO ]],entradas26[CAN BARRAS])</f>
        <v>0</v>
      </c>
      <c r="M50" s="1" t="n">
        <f aca="false">SUMIF(salidas26[[CODIGO ]],samgung26[[#This Row],[CODIGO ]],salidas26[[CANT JUEGOS ]])</f>
        <v>8</v>
      </c>
      <c r="N50" s="1" t="n">
        <f aca="false">SUMIF(salidas26[[CODIGO ]],samgung26[[#This Row],[CODIGO ]],salidas26[CANT BARRAS])</f>
        <v>0</v>
      </c>
      <c r="O50" s="1" t="n">
        <f aca="false">(samgung26[[#This Row],["J"PRECIO COMPRA ]]*samgung26[[#This Row],[STOCK JUEGOS]])</f>
        <v>2490</v>
      </c>
      <c r="P50" s="1" t="n">
        <f aca="false">(samgung26[[#This Row],["J" PRECIO VENTA ]]*samgung26[[#This Row],[STOCK JUEGOS]])</f>
        <v>5250</v>
      </c>
      <c r="Q50" s="1" t="n">
        <f aca="false">(samgung26[[#This Row],["B"PRECIO COMPRA]]*samgung26[[#This Row],[STOCK BARRAS]])</f>
        <v>138.333333333333</v>
      </c>
      <c r="R50" s="1" t="n">
        <f aca="false">(samgung26[[#This Row],["B"PRECIO VENTA ]]*samgung26[[#This Row],[STOCK BARRAS]])</f>
        <v>291.666666666667</v>
      </c>
      <c r="S50" s="18" t="n">
        <v>23</v>
      </c>
      <c r="T50" s="18" t="n">
        <v>10</v>
      </c>
      <c r="U50" s="1" t="n">
        <v>7.2</v>
      </c>
      <c r="W50" s="1" t="s">
        <v>239</v>
      </c>
    </row>
    <row r="51" customFormat="false" ht="15" hidden="false" customHeight="false" outlineLevel="0" collapsed="false">
      <c r="A51" s="1" t="n">
        <v>45</v>
      </c>
      <c r="B51" s="1" t="n">
        <v>2092</v>
      </c>
      <c r="C51" s="29" t="s">
        <v>240</v>
      </c>
      <c r="D51" s="1" t="n">
        <f aca="false">(samgung26[[#This Row],[CANTIDAD INICIAL JUEGO ]]+samgung26[[#This Row],[ENTRADAS JUEGOS ]]-samgung26[[#This Row],[SALIDAS JUEGOS]])</f>
        <v>19</v>
      </c>
      <c r="E51" s="1" t="n">
        <f aca="false">(samgung26[[#This Row],[CANTIDAD INICIAL BARRAS]]+samgung26[[#This Row],[ENTRADAS BARRAS]]-samgung26[[#This Row],[SALIDA BARRAS]])</f>
        <v>0</v>
      </c>
      <c r="F51" s="23" t="n">
        <v>400</v>
      </c>
      <c r="G51" s="1" t="n">
        <v>125</v>
      </c>
      <c r="H51" s="1" t="n">
        <v>2</v>
      </c>
      <c r="I51" s="1" t="n">
        <f aca="false">(samgung26[[#This Row],["J" PRECIO VENTA ]]/samgung26[[#This Row],[BARRAS]])</f>
        <v>200</v>
      </c>
      <c r="J51" s="1" t="n">
        <f aca="false">(samgung26[[#This Row],["J"PRECIO COMPRA ]]/samgung26[[#This Row],[BARRAS]])</f>
        <v>62.5</v>
      </c>
      <c r="K51" s="1" t="n">
        <f aca="false">SUMIF(entradas26[CODIGO],samgung26[[#This Row],[CODIGO ]],entradas26[[CAN JUEGOS ]])</f>
        <v>0</v>
      </c>
      <c r="L51" s="1" t="n">
        <f aca="false">SUMIF(entradas26[CODIGO],samgung26[[#This Row],[CODIGO ]],entradas26[CAN BARRAS])</f>
        <v>0</v>
      </c>
      <c r="M51" s="1" t="n">
        <f aca="false">SUMIF(salidas26[[CODIGO ]],samgung26[[#This Row],[CODIGO ]],salidas26[[CANT JUEGOS ]])</f>
        <v>0</v>
      </c>
      <c r="N51" s="1" t="n">
        <f aca="false">SUMIF(salidas26[[CODIGO ]],samgung26[[#This Row],[CODIGO ]],salidas26[CANT BARRAS])</f>
        <v>0</v>
      </c>
      <c r="O51" s="1" t="n">
        <f aca="false">(samgung26[[#This Row],["J"PRECIO COMPRA ]]*samgung26[[#This Row],[STOCK JUEGOS]])</f>
        <v>2375</v>
      </c>
      <c r="P51" s="1" t="n">
        <f aca="false">(samgung26[[#This Row],["J" PRECIO VENTA ]]*samgung26[[#This Row],[STOCK JUEGOS]])</f>
        <v>7600</v>
      </c>
      <c r="Q51" s="1" t="n">
        <f aca="false">(samgung26[[#This Row],["B"PRECIO COMPRA]]*samgung26[[#This Row],[STOCK BARRAS]])</f>
        <v>0</v>
      </c>
      <c r="R51" s="1" t="n">
        <f aca="false">(samgung26[[#This Row],["B"PRECIO VENTA ]]*samgung26[[#This Row],[STOCK BARRAS]])</f>
        <v>0</v>
      </c>
      <c r="S51" s="18" t="n">
        <v>19</v>
      </c>
      <c r="T51" s="18"/>
      <c r="X51" s="0" t="s">
        <v>241</v>
      </c>
    </row>
    <row r="52" customFormat="false" ht="15" hidden="false" customHeight="false" outlineLevel="0" collapsed="false">
      <c r="A52" s="1" t="n">
        <v>46</v>
      </c>
      <c r="B52" s="1" t="n">
        <v>2093</v>
      </c>
      <c r="C52" s="29" t="s">
        <v>242</v>
      </c>
      <c r="D52" s="1" t="n">
        <f aca="false">(samgung26[[#This Row],[CANTIDAD INICIAL JUEGO ]]+samgung26[[#This Row],[ENTRADAS JUEGOS ]]-samgung26[[#This Row],[SALIDAS JUEGOS]])</f>
        <v>5</v>
      </c>
      <c r="E52" s="1" t="n">
        <f aca="false">(samgung26[[#This Row],[CANTIDAD INICIAL BARRAS]]+samgung26[[#This Row],[ENTRADAS BARRAS]]-samgung26[[#This Row],[SALIDA BARRAS]])</f>
        <v>2</v>
      </c>
      <c r="F52" s="23" t="n">
        <v>400</v>
      </c>
      <c r="G52" s="1" t="n">
        <v>240</v>
      </c>
      <c r="H52" s="1" t="n">
        <v>12</v>
      </c>
      <c r="I52" s="1" t="n">
        <f aca="false">(samgung26[[#This Row],["J" PRECIO VENTA ]]/samgung26[[#This Row],[BARRAS]])</f>
        <v>33.3333333333333</v>
      </c>
      <c r="J52" s="1" t="n">
        <f aca="false">(samgung26[[#This Row],["J"PRECIO COMPRA ]]/samgung26[[#This Row],[BARRAS]])</f>
        <v>20</v>
      </c>
      <c r="K52" s="1" t="n">
        <f aca="false">SUMIF(entradas26[CODIGO],samgung26[[#This Row],[CODIGO ]],entradas26[[CAN JUEGOS ]])</f>
        <v>0</v>
      </c>
      <c r="L52" s="1" t="n">
        <f aca="false">SUMIF(entradas26[CODIGO],samgung26[[#This Row],[CODIGO ]],entradas26[CAN BARRAS])</f>
        <v>0</v>
      </c>
      <c r="M52" s="1" t="n">
        <f aca="false">SUMIF(salidas26[[CODIGO ]],samgung26[[#This Row],[CODIGO ]],salidas26[[CANT JUEGOS ]])</f>
        <v>3</v>
      </c>
      <c r="N52" s="1" t="n">
        <f aca="false">SUMIF(salidas26[[CODIGO ]],samgung26[[#This Row],[CODIGO ]],salidas26[CANT BARRAS])</f>
        <v>1</v>
      </c>
      <c r="O52" s="1" t="n">
        <f aca="false">(samgung26[[#This Row],["J"PRECIO COMPRA ]]*samgung26[[#This Row],[STOCK JUEGOS]])</f>
        <v>1200</v>
      </c>
      <c r="P52" s="1" t="n">
        <f aca="false">(samgung26[[#This Row],["J" PRECIO VENTA ]]*samgung26[[#This Row],[STOCK JUEGOS]])</f>
        <v>2000</v>
      </c>
      <c r="Q52" s="1" t="n">
        <f aca="false">(samgung26[[#This Row],["B"PRECIO COMPRA]]*samgung26[[#This Row],[STOCK BARRAS]])</f>
        <v>40</v>
      </c>
      <c r="R52" s="1" t="n">
        <f aca="false">(samgung26[[#This Row],["B"PRECIO VENTA ]]*samgung26[[#This Row],[STOCK BARRAS]])</f>
        <v>66.6666666666667</v>
      </c>
      <c r="S52" s="18" t="n">
        <v>8</v>
      </c>
      <c r="T52" s="18" t="n">
        <v>3</v>
      </c>
      <c r="U52" s="1" t="n">
        <v>8</v>
      </c>
      <c r="W52" s="1" t="s">
        <v>243</v>
      </c>
    </row>
    <row r="53" customFormat="false" ht="15" hidden="false" customHeight="false" outlineLevel="0" collapsed="false">
      <c r="A53" s="1" t="n">
        <v>47</v>
      </c>
      <c r="B53" s="1" t="n">
        <v>2094</v>
      </c>
      <c r="C53" s="29" t="s">
        <v>244</v>
      </c>
      <c r="D53" s="1" t="n">
        <f aca="false">(samgung26[[#This Row],[CANTIDAD INICIAL JUEGO ]]+samgung26[[#This Row],[ENTRADAS JUEGOS ]]-samgung26[[#This Row],[SALIDAS JUEGOS]])</f>
        <v>9</v>
      </c>
      <c r="E53" s="1" t="n">
        <f aca="false">(samgung26[[#This Row],[CANTIDAD INICIAL BARRAS]]+samgung26[[#This Row],[ENTRADAS BARRAS]]-samgung26[[#This Row],[SALIDA BARRAS]])</f>
        <v>0</v>
      </c>
      <c r="F53" s="23" t="n">
        <v>500</v>
      </c>
      <c r="G53" s="1" t="n">
        <v>340</v>
      </c>
      <c r="H53" s="1" t="n">
        <v>14</v>
      </c>
      <c r="I53" s="1" t="n">
        <f aca="false">(samgung26[[#This Row],["J" PRECIO VENTA ]]/samgung26[[#This Row],[BARRAS]])</f>
        <v>35.7142857142857</v>
      </c>
      <c r="J53" s="1" t="n">
        <f aca="false">(samgung26[[#This Row],["J"PRECIO COMPRA ]]/samgung26[[#This Row],[BARRAS]])</f>
        <v>24.2857142857143</v>
      </c>
      <c r="K53" s="1" t="n">
        <f aca="false">SUMIF(entradas26[CODIGO],samgung26[[#This Row],[CODIGO ]],entradas26[[CAN JUEGOS ]])</f>
        <v>0</v>
      </c>
      <c r="L53" s="1" t="n">
        <f aca="false">SUMIF(entradas26[CODIGO],samgung26[[#This Row],[CODIGO ]],entradas26[CAN BARRAS])</f>
        <v>0</v>
      </c>
      <c r="M53" s="1" t="n">
        <f aca="false">SUMIF(salidas26[[CODIGO ]],samgung26[[#This Row],[CODIGO ]],salidas26[[CANT JUEGOS ]])</f>
        <v>0</v>
      </c>
      <c r="N53" s="1" t="n">
        <f aca="false">SUMIF(salidas26[[CODIGO ]],samgung26[[#This Row],[CODIGO ]],salidas26[CANT BARRAS])</f>
        <v>0</v>
      </c>
      <c r="O53" s="1" t="n">
        <f aca="false">(samgung26[[#This Row],["J"PRECIO COMPRA ]]*samgung26[[#This Row],[STOCK JUEGOS]])</f>
        <v>3060</v>
      </c>
      <c r="P53" s="1" t="n">
        <f aca="false">(samgung26[[#This Row],["J" PRECIO VENTA ]]*samgung26[[#This Row],[STOCK JUEGOS]])</f>
        <v>4500</v>
      </c>
      <c r="Q53" s="1" t="n">
        <f aca="false">(samgung26[[#This Row],["B"PRECIO COMPRA]]*samgung26[[#This Row],[STOCK BARRAS]])</f>
        <v>0</v>
      </c>
      <c r="R53" s="1" t="n">
        <f aca="false">(samgung26[[#This Row],["B"PRECIO VENTA ]]*samgung26[[#This Row],[STOCK BARRAS]])</f>
        <v>0</v>
      </c>
      <c r="S53" s="18" t="n">
        <v>9</v>
      </c>
      <c r="T53" s="18"/>
      <c r="U53" s="1" t="n">
        <v>15.6</v>
      </c>
      <c r="W53" s="1" t="s">
        <v>245</v>
      </c>
    </row>
    <row r="54" customFormat="false" ht="15" hidden="false" customHeight="false" outlineLevel="0" collapsed="false">
      <c r="A54" s="1" t="n">
        <v>48</v>
      </c>
      <c r="B54" s="1" t="n">
        <v>2095</v>
      </c>
      <c r="C54" s="29" t="s">
        <v>246</v>
      </c>
      <c r="D54" s="1" t="n">
        <f aca="false">(samgung26[[#This Row],[CANTIDAD INICIAL JUEGO ]]+samgung26[[#This Row],[ENTRADAS JUEGOS ]]-samgung26[[#This Row],[SALIDAS JUEGOS]])</f>
        <v>0</v>
      </c>
      <c r="E54" s="1" t="n">
        <f aca="false">(samgung26[[#This Row],[CANTIDAD INICIAL BARRAS]]+samgung26[[#This Row],[ENTRADAS BARRAS]]-samgung26[[#This Row],[SALIDA BARRAS]])</f>
        <v>0</v>
      </c>
      <c r="F54" s="23" t="n">
        <v>250</v>
      </c>
      <c r="G54" s="36" t="n">
        <v>158</v>
      </c>
      <c r="H54" s="1" t="n">
        <v>2</v>
      </c>
      <c r="I54" s="1" t="n">
        <f aca="false">(samgung26[[#This Row],["J" PRECIO VENTA ]]/samgung26[[#This Row],[BARRAS]])</f>
        <v>125</v>
      </c>
      <c r="J54" s="1" t="n">
        <f aca="false">(samgung26[[#This Row],["J"PRECIO COMPRA ]]/samgung26[[#This Row],[BARRAS]])</f>
        <v>79</v>
      </c>
      <c r="K54" s="1" t="n">
        <f aca="false">SUMIF(entradas26[CODIGO],samgung26[[#This Row],[CODIGO ]],entradas26[[CAN JUEGOS ]])</f>
        <v>0</v>
      </c>
      <c r="L54" s="1" t="n">
        <f aca="false">SUMIF(entradas26[CODIGO],samgung26[[#This Row],[CODIGO ]],entradas26[CAN BARRAS])</f>
        <v>2</v>
      </c>
      <c r="M54" s="1" t="n">
        <f aca="false">SUMIF(salidas26[[CODIGO ]],samgung26[[#This Row],[CODIGO ]],salidas26[[CANT JUEGOS ]])</f>
        <v>10</v>
      </c>
      <c r="N54" s="1" t="n">
        <f aca="false">SUMIF(salidas26[[CODIGO ]],samgung26[[#This Row],[CODIGO ]],salidas26[CANT BARRAS])</f>
        <v>2</v>
      </c>
      <c r="O54" s="1" t="n">
        <f aca="false">(samgung26[[#This Row],["J"PRECIO COMPRA ]]*samgung26[[#This Row],[STOCK JUEGOS]])</f>
        <v>0</v>
      </c>
      <c r="P54" s="1" t="n">
        <f aca="false">(samgung26[[#This Row],["J" PRECIO VENTA ]]*samgung26[[#This Row],[STOCK JUEGOS]])</f>
        <v>0</v>
      </c>
      <c r="Q54" s="1" t="n">
        <f aca="false">(samgung26[[#This Row],["B"PRECIO COMPRA]]*samgung26[[#This Row],[STOCK BARRAS]])</f>
        <v>0</v>
      </c>
      <c r="R54" s="1" t="n">
        <f aca="false">(samgung26[[#This Row],["B"PRECIO VENTA ]]*samgung26[[#This Row],[STOCK BARRAS]])</f>
        <v>0</v>
      </c>
      <c r="S54" s="18" t="n">
        <v>10</v>
      </c>
      <c r="T54" s="18"/>
      <c r="W54" s="1" t="s">
        <v>247</v>
      </c>
    </row>
    <row r="55" customFormat="false" ht="15" hidden="false" customHeight="false" outlineLevel="0" collapsed="false">
      <c r="A55" s="1" t="n">
        <v>49</v>
      </c>
      <c r="B55" s="1" t="n">
        <v>2096</v>
      </c>
      <c r="C55" s="29" t="s">
        <v>248</v>
      </c>
      <c r="D55" s="1" t="n">
        <f aca="false">(samgung26[[#This Row],[CANTIDAD INICIAL JUEGO ]]+samgung26[[#This Row],[ENTRADAS JUEGOS ]]-samgung26[[#This Row],[SALIDAS JUEGOS]])</f>
        <v>10</v>
      </c>
      <c r="E55" s="1" t="n">
        <f aca="false">(samgung26[[#This Row],[CANTIDAD INICIAL BARRAS]]+samgung26[[#This Row],[ENTRADAS BARRAS]]-samgung26[[#This Row],[SALIDA BARRAS]])</f>
        <v>0</v>
      </c>
      <c r="F55" s="23" t="n">
        <v>550</v>
      </c>
      <c r="G55" s="1" t="n">
        <v>312</v>
      </c>
      <c r="H55" s="1" t="n">
        <v>2</v>
      </c>
      <c r="I55" s="1" t="n">
        <f aca="false">(samgung26[[#This Row],["J" PRECIO VENTA ]]/samgung26[[#This Row],[BARRAS]])</f>
        <v>275</v>
      </c>
      <c r="J55" s="1" t="n">
        <f aca="false">(samgung26[[#This Row],["J"PRECIO COMPRA ]]/samgung26[[#This Row],[BARRAS]])</f>
        <v>156</v>
      </c>
      <c r="K55" s="1" t="n">
        <f aca="false">SUMIF(entradas26[CODIGO],samgung26[[#This Row],[CODIGO ]],entradas26[[CAN JUEGOS ]])</f>
        <v>0</v>
      </c>
      <c r="L55" s="1" t="n">
        <f aca="false">SUMIF(entradas26[CODIGO],samgung26[[#This Row],[CODIGO ]],entradas26[CAN BARRAS])</f>
        <v>0</v>
      </c>
      <c r="M55" s="1" t="n">
        <f aca="false">SUMIF(salidas26[[CODIGO ]],samgung26[[#This Row],[CODIGO ]],salidas26[[CANT JUEGOS ]])</f>
        <v>0</v>
      </c>
      <c r="N55" s="1" t="n">
        <f aca="false">SUMIF(salidas26[[CODIGO ]],samgung26[[#This Row],[CODIGO ]],salidas26[CANT BARRAS])</f>
        <v>0</v>
      </c>
      <c r="O55" s="1" t="n">
        <f aca="false">(samgung26[[#This Row],["J"PRECIO COMPRA ]]*samgung26[[#This Row],[STOCK JUEGOS]])</f>
        <v>3120</v>
      </c>
      <c r="P55" s="1" t="n">
        <f aca="false">(samgung26[[#This Row],["J" PRECIO VENTA ]]*samgung26[[#This Row],[STOCK JUEGOS]])</f>
        <v>5500</v>
      </c>
      <c r="Q55" s="1" t="n">
        <f aca="false">(samgung26[[#This Row],["B"PRECIO COMPRA]]*samgung26[[#This Row],[STOCK BARRAS]])</f>
        <v>0</v>
      </c>
      <c r="R55" s="1" t="n">
        <f aca="false">(samgung26[[#This Row],["B"PRECIO VENTA ]]*samgung26[[#This Row],[STOCK BARRAS]])</f>
        <v>0</v>
      </c>
      <c r="S55" s="18" t="n">
        <v>10</v>
      </c>
      <c r="T55" s="18"/>
      <c r="U55" s="1" t="n">
        <v>9</v>
      </c>
      <c r="W55" s="1" t="s">
        <v>249</v>
      </c>
    </row>
    <row r="56" customFormat="false" ht="15" hidden="false" customHeight="false" outlineLevel="0" collapsed="false">
      <c r="A56" s="1" t="n">
        <v>50</v>
      </c>
      <c r="B56" s="1" t="n">
        <v>2097</v>
      </c>
      <c r="C56" s="29" t="s">
        <v>250</v>
      </c>
      <c r="D56" s="1" t="n">
        <f aca="false">(samgung26[[#This Row],[CANTIDAD INICIAL JUEGO ]]+samgung26[[#This Row],[ENTRADAS JUEGOS ]]-samgung26[[#This Row],[SALIDAS JUEGOS]])</f>
        <v>5</v>
      </c>
      <c r="E56" s="1" t="n">
        <f aca="false">(samgung26[[#This Row],[CANTIDAD INICIAL BARRAS]]+samgung26[[#This Row],[ENTRADAS BARRAS]]-samgung26[[#This Row],[SALIDA BARRAS]])</f>
        <v>1</v>
      </c>
      <c r="F56" s="23" t="n">
        <v>320</v>
      </c>
      <c r="G56" s="34" t="n">
        <v>94</v>
      </c>
      <c r="H56" s="1" t="n">
        <v>2</v>
      </c>
      <c r="I56" s="1" t="n">
        <f aca="false">(samgung26[[#This Row],["J" PRECIO VENTA ]]/samgung26[[#This Row],[BARRAS]])</f>
        <v>160</v>
      </c>
      <c r="J56" s="1" t="n">
        <f aca="false">(samgung26[[#This Row],["J"PRECIO COMPRA ]]/samgung26[[#This Row],[BARRAS]])</f>
        <v>47</v>
      </c>
      <c r="K56" s="1" t="n">
        <f aca="false">SUMIF(entradas26[CODIGO],samgung26[[#This Row],[CODIGO ]],entradas26[[CAN JUEGOS ]])</f>
        <v>0</v>
      </c>
      <c r="L56" s="1" t="n">
        <f aca="false">SUMIF(entradas26[CODIGO],samgung26[[#This Row],[CODIGO ]],entradas26[CAN BARRAS])</f>
        <v>0</v>
      </c>
      <c r="M56" s="1" t="n">
        <f aca="false">SUMIF(salidas26[[CODIGO ]],samgung26[[#This Row],[CODIGO ]],salidas26[[CANT JUEGOS ]])</f>
        <v>6</v>
      </c>
      <c r="N56" s="1" t="n">
        <f aca="false">SUMIF(salidas26[[CODIGO ]],samgung26[[#This Row],[CODIGO ]],salidas26[CANT BARRAS])</f>
        <v>0</v>
      </c>
      <c r="O56" s="1" t="n">
        <f aca="false">(samgung26[[#This Row],["J"PRECIO COMPRA ]]*samgung26[[#This Row],[STOCK JUEGOS]])</f>
        <v>470</v>
      </c>
      <c r="P56" s="1" t="n">
        <f aca="false">(samgung26[[#This Row],["J" PRECIO VENTA ]]*samgung26[[#This Row],[STOCK JUEGOS]])</f>
        <v>1600</v>
      </c>
      <c r="Q56" s="1" t="n">
        <f aca="false">(samgung26[[#This Row],["B"PRECIO COMPRA]]*samgung26[[#This Row],[STOCK BARRAS]])</f>
        <v>47</v>
      </c>
      <c r="R56" s="1" t="n">
        <f aca="false">(samgung26[[#This Row],["B"PRECIO VENTA ]]*samgung26[[#This Row],[STOCK BARRAS]])</f>
        <v>160</v>
      </c>
      <c r="S56" s="18" t="n">
        <v>11</v>
      </c>
      <c r="T56" s="18" t="n">
        <v>1</v>
      </c>
      <c r="U56" s="1" t="n">
        <v>6.7</v>
      </c>
      <c r="W56" s="1" t="s">
        <v>247</v>
      </c>
      <c r="X56" s="0" t="s">
        <v>251</v>
      </c>
    </row>
    <row r="57" customFormat="false" ht="15" hidden="false" customHeight="false" outlineLevel="0" collapsed="false">
      <c r="B57" s="1" t="n">
        <v>2106</v>
      </c>
      <c r="C57" s="29" t="s">
        <v>252</v>
      </c>
      <c r="D57" s="1" t="n">
        <f aca="false">(samgung26[[#This Row],[CANTIDAD INICIAL JUEGO ]]+samgung26[[#This Row],[ENTRADAS JUEGOS ]]-samgung26[[#This Row],[SALIDAS JUEGOS]])</f>
        <v>3</v>
      </c>
      <c r="E57" s="1" t="n">
        <f aca="false">(samgung26[[#This Row],[CANTIDAD INICIAL BARRAS]]+samgung26[[#This Row],[ENTRADAS BARRAS]]-samgung26[[#This Row],[SALIDA BARRAS]])</f>
        <v>0</v>
      </c>
      <c r="F57" s="23" t="n">
        <v>800</v>
      </c>
      <c r="G57" s="1" t="n">
        <v>494</v>
      </c>
      <c r="H57" s="1" t="n">
        <v>2</v>
      </c>
      <c r="I57" s="1" t="n">
        <f aca="false">(samgung26[[#This Row],["J" PRECIO VENTA ]]/samgung26[[#This Row],[BARRAS]])</f>
        <v>400</v>
      </c>
      <c r="J57" s="1" t="n">
        <f aca="false">(samgung26[[#This Row],["J"PRECIO COMPRA ]]/samgung26[[#This Row],[BARRAS]])</f>
        <v>247</v>
      </c>
      <c r="K57" s="1" t="n">
        <f aca="false">SUMIF(entradas26[CODIGO],samgung26[[#This Row],[CODIGO ]],entradas26[[CAN JUEGOS ]])</f>
        <v>0</v>
      </c>
      <c r="L57" s="1" t="n">
        <f aca="false">SUMIF(entradas26[CODIGO],samgung26[[#This Row],[CODIGO ]],entradas26[CAN BARRAS])</f>
        <v>0</v>
      </c>
      <c r="M57" s="1" t="n">
        <f aca="false">SUMIF(salidas26[[CODIGO ]],samgung26[[#This Row],[CODIGO ]],salidas26[[CANT JUEGOS ]])</f>
        <v>0</v>
      </c>
      <c r="N57" s="1" t="n">
        <f aca="false">SUMIF(salidas26[[CODIGO ]],samgung26[[#This Row],[CODIGO ]],salidas26[CANT BARRAS])</f>
        <v>0</v>
      </c>
      <c r="O57" s="1" t="n">
        <f aca="false">(samgung26[[#This Row],["J"PRECIO COMPRA ]]*samgung26[[#This Row],[STOCK JUEGOS]])</f>
        <v>1482</v>
      </c>
      <c r="P57" s="1" t="n">
        <f aca="false">(samgung26[[#This Row],["J" PRECIO VENTA ]]*samgung26[[#This Row],[STOCK JUEGOS]])</f>
        <v>2400</v>
      </c>
      <c r="Q57" s="1" t="n">
        <f aca="false">(samgung26[[#This Row],["B"PRECIO COMPRA]]*samgung26[[#This Row],[STOCK BARRAS]])</f>
        <v>0</v>
      </c>
      <c r="R57" s="1" t="n">
        <f aca="false">(samgung26[[#This Row],["B"PRECIO VENTA ]]*samgung26[[#This Row],[STOCK BARRAS]])</f>
        <v>0</v>
      </c>
      <c r="S57" s="18" t="n">
        <v>3</v>
      </c>
      <c r="T57" s="18"/>
      <c r="U57" s="1" t="n">
        <v>16</v>
      </c>
      <c r="W57" s="1" t="s">
        <v>253</v>
      </c>
    </row>
    <row r="58" customFormat="false" ht="15" hidden="false" customHeight="false" outlineLevel="0" collapsed="false">
      <c r="B58" s="1" t="n">
        <v>2091</v>
      </c>
      <c r="C58" s="29" t="s">
        <v>254</v>
      </c>
      <c r="D58" s="1" t="n">
        <f aca="false">(samgung26[[#This Row],[CANTIDAD INICIAL JUEGO ]]+samgung26[[#This Row],[ENTRADAS JUEGOS ]]-samgung26[[#This Row],[SALIDAS JUEGOS]])</f>
        <v>8</v>
      </c>
      <c r="E58" s="1" t="n">
        <f aca="false">(samgung26[[#This Row],[CANTIDAD INICIAL BARRAS]]+samgung26[[#This Row],[ENTRADAS BARRAS]]-samgung26[[#This Row],[SALIDA BARRAS]])</f>
        <v>0</v>
      </c>
      <c r="F58" s="23" t="n">
        <v>700</v>
      </c>
      <c r="I58" s="1" t="e">
        <f aca="false">(samgung26[[#This Row],["J" PRECIO VENTA ]]/samgung26[[#This Row],[BARRAS]])</f>
        <v>#DIV/0!</v>
      </c>
      <c r="J58" s="1" t="e">
        <f aca="false">(samgung26[[#This Row],["J"PRECIO COMPRA ]]/samgung26[[#This Row],[BARRAS]])</f>
        <v>#DIV/0!</v>
      </c>
      <c r="K58" s="1" t="n">
        <f aca="false">SUMIF(entradas26[CODIGO],samgung26[[#This Row],[CODIGO ]],entradas26[[CAN JUEGOS ]])</f>
        <v>10</v>
      </c>
      <c r="L58" s="1" t="n">
        <f aca="false">SUMIF(entradas26[CODIGO],samgung26[[#This Row],[CODIGO ]],entradas26[CAN BARRAS])</f>
        <v>0</v>
      </c>
      <c r="M58" s="1" t="n">
        <f aca="false">SUMIF(salidas26[[CODIGO ]],samgung26[[#This Row],[CODIGO ]],salidas26[[CANT JUEGOS ]])</f>
        <v>2</v>
      </c>
      <c r="N58" s="1" t="n">
        <f aca="false">SUMIF(salidas26[[CODIGO ]],samgung26[[#This Row],[CODIGO ]],salidas26[CANT BARRAS])</f>
        <v>0</v>
      </c>
      <c r="O58" s="1" t="n">
        <f aca="false">(samgung26[[#This Row],["J"PRECIO COMPRA ]]*samgung26[[#This Row],[STOCK JUEGOS]])</f>
        <v>0</v>
      </c>
      <c r="P58" s="1" t="n">
        <f aca="false">(samgung26[[#This Row],["J" PRECIO VENTA ]]*samgung26[[#This Row],[STOCK JUEGOS]])</f>
        <v>5600</v>
      </c>
      <c r="Q58" s="1" t="e">
        <f aca="false">(samgung26[[#This Row],["B"PRECIO COMPRA]]*samgung26[[#This Row],[STOCK BARRAS]])</f>
        <v>#DIV/0!</v>
      </c>
      <c r="R58" s="1" t="e">
        <f aca="false">(samgung26[[#This Row],["B"PRECIO VENTA ]]*samgung26[[#This Row],[STOCK BARRAS]])</f>
        <v>#DIV/0!</v>
      </c>
      <c r="S58" s="18"/>
      <c r="T58" s="18"/>
      <c r="W58" s="1" t="s">
        <v>255</v>
      </c>
    </row>
    <row r="59" customFormat="false" ht="15" hidden="false" customHeight="false" outlineLevel="0" collapsed="false">
      <c r="B59" s="15" t="n">
        <v>2086</v>
      </c>
      <c r="C59" s="29" t="s">
        <v>256</v>
      </c>
      <c r="D59" s="1" t="n">
        <f aca="false">(samgung26[[#This Row],[CANTIDAD INICIAL JUEGO ]]+samgung26[[#This Row],[ENTRADAS JUEGOS ]]-samgung26[[#This Row],[SALIDAS JUEGOS]])</f>
        <v>10</v>
      </c>
      <c r="E59" s="1" t="n">
        <f aca="false">(samgung26[[#This Row],[CANTIDAD INICIAL BARRAS]]+samgung26[[#This Row],[ENTRADAS BARRAS]]-samgung26[[#This Row],[SALIDA BARRAS]])</f>
        <v>0</v>
      </c>
      <c r="F59" s="23" t="n">
        <v>420</v>
      </c>
      <c r="I59" s="1" t="e">
        <f aca="false">(samgung26[[#This Row],["J" PRECIO VENTA ]]/samgung26[[#This Row],[BARRAS]])</f>
        <v>#DIV/0!</v>
      </c>
      <c r="J59" s="1" t="e">
        <f aca="false">(samgung26[[#This Row],["J"PRECIO COMPRA ]]/samgung26[[#This Row],[BARRAS]])</f>
        <v>#DIV/0!</v>
      </c>
      <c r="K59" s="1" t="n">
        <f aca="false">SUMIF(entradas26[CODIGO],samgung26[[#This Row],[CODIGO ]],entradas26[[CAN JUEGOS ]])</f>
        <v>10</v>
      </c>
      <c r="L59" s="1" t="n">
        <f aca="false">SUMIF(entradas26[CODIGO],samgung26[[#This Row],[CODIGO ]],entradas26[CAN BARRAS])</f>
        <v>0</v>
      </c>
      <c r="M59" s="1" t="n">
        <f aca="false">SUMIF(salidas26[[CODIGO ]],samgung26[[#This Row],[CODIGO ]],salidas26[[CANT JUEGOS ]])</f>
        <v>0</v>
      </c>
      <c r="N59" s="1" t="n">
        <f aca="false">SUMIF(salidas26[[CODIGO ]],samgung26[[#This Row],[CODIGO ]],salidas26[CANT BARRAS])</f>
        <v>0</v>
      </c>
      <c r="O59" s="1" t="n">
        <f aca="false">(samgung26[[#This Row],["J"PRECIO COMPRA ]]*samgung26[[#This Row],[STOCK JUEGOS]])</f>
        <v>0</v>
      </c>
      <c r="P59" s="1" t="n">
        <f aca="false">(samgung26[[#This Row],["J" PRECIO VENTA ]]*samgung26[[#This Row],[STOCK JUEGOS]])</f>
        <v>4200</v>
      </c>
      <c r="Q59" s="1" t="e">
        <f aca="false">(samgung26[[#This Row],["B"PRECIO COMPRA]]*samgung26[[#This Row],[STOCK BARRAS]])</f>
        <v>#DIV/0!</v>
      </c>
      <c r="R59" s="1" t="e">
        <f aca="false">(samgung26[[#This Row],["B"PRECIO VENTA ]]*samgung26[[#This Row],[STOCK BARRAS]])</f>
        <v>#DIV/0!</v>
      </c>
      <c r="S59" s="18"/>
      <c r="T59" s="18"/>
      <c r="W59" s="1" t="s">
        <v>257</v>
      </c>
    </row>
    <row r="60" customFormat="false" ht="15" hidden="false" customHeight="false" outlineLevel="0" collapsed="false">
      <c r="A60" s="1" t="n">
        <v>51</v>
      </c>
      <c r="B60" s="1" t="n">
        <v>2098</v>
      </c>
      <c r="C60" s="29" t="s">
        <v>258</v>
      </c>
      <c r="D60" s="1" t="n">
        <f aca="false">(samgung26[[#This Row],[CANTIDAD INICIAL JUEGO ]]+samgung26[[#This Row],[ENTRADAS JUEGOS ]]-samgung26[[#This Row],[SALIDAS JUEGOS]])</f>
        <v>10</v>
      </c>
      <c r="E60" s="1" t="n">
        <f aca="false">(samgung26[[#This Row],[CANTIDAD INICIAL BARRAS]]+samgung26[[#This Row],[ENTRADAS BARRAS]]-samgung26[[#This Row],[SALIDA BARRAS]])</f>
        <v>0</v>
      </c>
      <c r="F60" s="23" t="n">
        <v>700</v>
      </c>
      <c r="G60" s="1" t="n">
        <v>480</v>
      </c>
      <c r="H60" s="1" t="n">
        <v>16</v>
      </c>
      <c r="I60" s="1" t="n">
        <f aca="false">(samgung26[[#This Row],["J" PRECIO VENTA ]]/samgung26[[#This Row],[BARRAS]])</f>
        <v>43.75</v>
      </c>
      <c r="J60" s="1" t="n">
        <f aca="false">(samgung26[[#This Row],["J"PRECIO COMPRA ]]/samgung26[[#This Row],[BARRAS]])</f>
        <v>30</v>
      </c>
      <c r="K60" s="1" t="n">
        <f aca="false">SUMIF(entradas26[CODIGO],samgung26[[#This Row],[CODIGO ]],entradas26[[CAN JUEGOS ]])</f>
        <v>0</v>
      </c>
      <c r="L60" s="1" t="n">
        <f aca="false">SUMIF(entradas26[CODIGO],samgung26[[#This Row],[CODIGO ]],entradas26[CAN BARRAS])</f>
        <v>0</v>
      </c>
      <c r="M60" s="1" t="n">
        <f aca="false">SUMIF(salidas26[[CODIGO ]],samgung26[[#This Row],[CODIGO ]],salidas26[[CANT JUEGOS ]])</f>
        <v>0</v>
      </c>
      <c r="N60" s="1" t="n">
        <f aca="false">SUMIF(salidas26[[CODIGO ]],samgung26[[#This Row],[CODIGO ]],salidas26[CANT BARRAS])</f>
        <v>0</v>
      </c>
      <c r="O60" s="1" t="n">
        <f aca="false">(samgung26[[#This Row],["J"PRECIO COMPRA ]]*samgung26[[#This Row],[STOCK JUEGOS]])</f>
        <v>4800</v>
      </c>
      <c r="P60" s="1" t="n">
        <f aca="false">(samgung26[[#This Row],["J" PRECIO VENTA ]]*samgung26[[#This Row],[STOCK JUEGOS]])</f>
        <v>7000</v>
      </c>
      <c r="Q60" s="1" t="n">
        <f aca="false">(samgung26[[#This Row],["B"PRECIO COMPRA]]*samgung26[[#This Row],[STOCK BARRAS]])</f>
        <v>0</v>
      </c>
      <c r="R60" s="1" t="n">
        <f aca="false">(samgung26[[#This Row],["B"PRECIO VENTA ]]*samgung26[[#This Row],[STOCK BARRAS]])</f>
        <v>0</v>
      </c>
      <c r="S60" s="18" t="n">
        <v>10</v>
      </c>
      <c r="T60" s="18"/>
      <c r="U60" s="1" t="n">
        <v>16</v>
      </c>
      <c r="W60" s="1" t="s">
        <v>259</v>
      </c>
    </row>
    <row r="61" customFormat="false" ht="15" hidden="false" customHeight="false" outlineLevel="0" collapsed="false">
      <c r="A61" s="1" t="n">
        <v>52</v>
      </c>
      <c r="B61" s="1" t="n">
        <v>2099</v>
      </c>
      <c r="C61" s="29" t="s">
        <v>260</v>
      </c>
      <c r="D61" s="1" t="n">
        <f aca="false">(samgung26[[#This Row],[CANTIDAD INICIAL JUEGO ]]+samgung26[[#This Row],[ENTRADAS JUEGOS ]]-samgung26[[#This Row],[SALIDAS JUEGOS]])</f>
        <v>21</v>
      </c>
      <c r="E61" s="1" t="n">
        <f aca="false">(samgung26[[#This Row],[CANTIDAD INICIAL BARRAS]]+samgung26[[#This Row],[ENTRADAS BARRAS]]-samgung26[[#This Row],[SALIDA BARRAS]])</f>
        <v>0</v>
      </c>
      <c r="F61" s="23" t="n">
        <v>260</v>
      </c>
      <c r="G61" s="1" t="n">
        <v>106</v>
      </c>
      <c r="H61" s="1" t="n">
        <v>2</v>
      </c>
      <c r="I61" s="1" t="n">
        <f aca="false">(samgung26[[#This Row],["J" PRECIO VENTA ]]/samgung26[[#This Row],[BARRAS]])</f>
        <v>130</v>
      </c>
      <c r="J61" s="1" t="n">
        <f aca="false">(samgung26[[#This Row],["J"PRECIO COMPRA ]]/samgung26[[#This Row],[BARRAS]])</f>
        <v>53</v>
      </c>
      <c r="K61" s="1" t="n">
        <f aca="false">SUMIF(entradas26[CODIGO],samgung26[[#This Row],[CODIGO ]],entradas26[[CAN JUEGOS ]])</f>
        <v>0</v>
      </c>
      <c r="L61" s="1" t="n">
        <f aca="false">SUMIF(entradas26[CODIGO],samgung26[[#This Row],[CODIGO ]],entradas26[CAN BARRAS])</f>
        <v>0</v>
      </c>
      <c r="M61" s="1" t="n">
        <f aca="false">SUMIF(salidas26[[CODIGO ]],samgung26[[#This Row],[CODIGO ]],salidas26[[CANT JUEGOS ]])</f>
        <v>1</v>
      </c>
      <c r="N61" s="1" t="n">
        <f aca="false">SUMIF(salidas26[[CODIGO ]],samgung26[[#This Row],[CODIGO ]],salidas26[CANT BARRAS])</f>
        <v>0</v>
      </c>
      <c r="O61" s="1" t="n">
        <f aca="false">(samgung26[[#This Row],["J"PRECIO COMPRA ]]*samgung26[[#This Row],[STOCK JUEGOS]])</f>
        <v>2226</v>
      </c>
      <c r="P61" s="1" t="n">
        <f aca="false">(samgung26[[#This Row],["J" PRECIO VENTA ]]*samgung26[[#This Row],[STOCK JUEGOS]])</f>
        <v>5460</v>
      </c>
      <c r="Q61" s="1" t="n">
        <f aca="false">(samgung26[[#This Row],["B"PRECIO COMPRA]]*samgung26[[#This Row],[STOCK BARRAS]])</f>
        <v>0</v>
      </c>
      <c r="R61" s="1" t="n">
        <f aca="false">(samgung26[[#This Row],["B"PRECIO VENTA ]]*samgung26[[#This Row],[STOCK BARRAS]])</f>
        <v>0</v>
      </c>
      <c r="S61" s="18" t="n">
        <v>22</v>
      </c>
      <c r="T61" s="18"/>
      <c r="U61" s="1" t="n">
        <v>4.6</v>
      </c>
      <c r="W61" s="1" t="s">
        <v>261</v>
      </c>
    </row>
    <row r="62" customFormat="false" ht="15" hidden="false" customHeight="false" outlineLevel="0" collapsed="false">
      <c r="A62" s="1" t="n">
        <v>53</v>
      </c>
      <c r="B62" s="1" t="n">
        <v>2100</v>
      </c>
      <c r="C62" s="29" t="s">
        <v>262</v>
      </c>
      <c r="D62" s="1" t="n">
        <f aca="false">(samgung26[[#This Row],[CANTIDAD INICIAL JUEGO ]]+samgung26[[#This Row],[ENTRADAS JUEGOS ]]-samgung26[[#This Row],[SALIDAS JUEGOS]])</f>
        <v>10</v>
      </c>
      <c r="E62" s="1" t="n">
        <f aca="false">(samgung26[[#This Row],[CANTIDAD INICIAL BARRAS]]+samgung26[[#This Row],[ENTRADAS BARRAS]]-samgung26[[#This Row],[SALIDA BARRAS]])</f>
        <v>0</v>
      </c>
      <c r="F62" s="23" t="n">
        <v>460</v>
      </c>
      <c r="G62" s="1" t="n">
        <v>171</v>
      </c>
      <c r="H62" s="1" t="n">
        <v>10</v>
      </c>
      <c r="I62" s="1" t="n">
        <f aca="false">(samgung26[[#This Row],["J" PRECIO VENTA ]]/samgung26[[#This Row],[BARRAS]])</f>
        <v>46</v>
      </c>
      <c r="J62" s="1" t="n">
        <f aca="false">(samgung26[[#This Row],["J"PRECIO COMPRA ]]/samgung26[[#This Row],[BARRAS]])</f>
        <v>17.1</v>
      </c>
      <c r="K62" s="1" t="n">
        <f aca="false">SUMIF(entradas26[CODIGO],samgung26[[#This Row],[CODIGO ]],entradas26[[CAN JUEGOS ]])</f>
        <v>0</v>
      </c>
      <c r="L62" s="1" t="n">
        <f aca="false">SUMIF(entradas26[CODIGO],samgung26[[#This Row],[CODIGO ]],entradas26[CAN BARRAS])</f>
        <v>0</v>
      </c>
      <c r="M62" s="1" t="n">
        <f aca="false">SUMIF(salidas26[[CODIGO ]],samgung26[[#This Row],[CODIGO ]],salidas26[[CANT JUEGOS ]])</f>
        <v>0</v>
      </c>
      <c r="N62" s="1" t="n">
        <f aca="false">SUMIF(salidas26[[CODIGO ]],samgung26[[#This Row],[CODIGO ]],salidas26[CANT BARRAS])</f>
        <v>0</v>
      </c>
      <c r="O62" s="1" t="n">
        <f aca="false">(samgung26[[#This Row],["J"PRECIO COMPRA ]]*samgung26[[#This Row],[STOCK JUEGOS]])</f>
        <v>1710</v>
      </c>
      <c r="P62" s="1" t="n">
        <f aca="false">(samgung26[[#This Row],["J" PRECIO VENTA ]]*samgung26[[#This Row],[STOCK JUEGOS]])</f>
        <v>4600</v>
      </c>
      <c r="Q62" s="1" t="n">
        <f aca="false">(samgung26[[#This Row],["B"PRECIO COMPRA]]*samgung26[[#This Row],[STOCK BARRAS]])</f>
        <v>0</v>
      </c>
      <c r="R62" s="1" t="n">
        <f aca="false">(samgung26[[#This Row],["B"PRECIO VENTA ]]*samgung26[[#This Row],[STOCK BARRAS]])</f>
        <v>0</v>
      </c>
      <c r="S62" s="18" t="n">
        <v>10</v>
      </c>
      <c r="T62" s="18"/>
      <c r="U62" s="1" t="n">
        <v>6.5</v>
      </c>
      <c r="W62" s="1" t="s">
        <v>263</v>
      </c>
    </row>
    <row r="63" customFormat="false" ht="15" hidden="false" customHeight="false" outlineLevel="0" collapsed="false">
      <c r="A63" s="1" t="n">
        <v>54</v>
      </c>
      <c r="B63" s="1" t="n">
        <v>2101</v>
      </c>
      <c r="C63" s="29" t="s">
        <v>264</v>
      </c>
      <c r="D63" s="1" t="n">
        <f aca="false">(samgung26[[#This Row],[CANTIDAD INICIAL JUEGO ]]+samgung26[[#This Row],[ENTRADAS JUEGOS ]]-samgung26[[#This Row],[SALIDAS JUEGOS]])</f>
        <v>1</v>
      </c>
      <c r="E63" s="1" t="n">
        <f aca="false">(samgung26[[#This Row],[CANTIDAD INICIAL BARRAS]]+samgung26[[#This Row],[ENTRADAS BARRAS]]-samgung26[[#This Row],[SALIDA BARRAS]])</f>
        <v>0</v>
      </c>
      <c r="F63" s="23" t="n">
        <v>400</v>
      </c>
      <c r="H63" s="1" t="n">
        <v>10</v>
      </c>
      <c r="I63" s="1" t="n">
        <f aca="false">(samgung26[[#This Row],["J" PRECIO VENTA ]]/samgung26[[#This Row],[BARRAS]])</f>
        <v>40</v>
      </c>
      <c r="J63" s="1" t="n">
        <f aca="false">(samgung26[[#This Row],["J"PRECIO COMPRA ]]/samgung26[[#This Row],[BARRAS]])</f>
        <v>0</v>
      </c>
      <c r="K63" s="1" t="n">
        <f aca="false">SUMIF(entradas26[CODIGO],samgung26[[#This Row],[CODIGO ]],entradas26[[CAN JUEGOS ]])</f>
        <v>0</v>
      </c>
      <c r="L63" s="1" t="n">
        <f aca="false">SUMIF(entradas26[CODIGO],samgung26[[#This Row],[CODIGO ]],entradas26[CAN BARRAS])</f>
        <v>0</v>
      </c>
      <c r="M63" s="1" t="n">
        <f aca="false">SUMIF(salidas26[[CODIGO ]],samgung26[[#This Row],[CODIGO ]],salidas26[[CANT JUEGOS ]])</f>
        <v>0</v>
      </c>
      <c r="N63" s="1" t="n">
        <f aca="false">SUMIF(salidas26[[CODIGO ]],samgung26[[#This Row],[CODIGO ]],salidas26[CANT BARRAS])</f>
        <v>0</v>
      </c>
      <c r="O63" s="1" t="n">
        <f aca="false">(samgung26[[#This Row],["J"PRECIO COMPRA ]]*samgung26[[#This Row],[STOCK JUEGOS]])</f>
        <v>0</v>
      </c>
      <c r="P63" s="1" t="n">
        <f aca="false">(samgung26[[#This Row],["J" PRECIO VENTA ]]*samgung26[[#This Row],[STOCK JUEGOS]])</f>
        <v>400</v>
      </c>
      <c r="Q63" s="1" t="n">
        <f aca="false">(samgung26[[#This Row],["B"PRECIO COMPRA]]*samgung26[[#This Row],[STOCK BARRAS]])</f>
        <v>0</v>
      </c>
      <c r="R63" s="1" t="n">
        <f aca="false">(samgung26[[#This Row],["B"PRECIO VENTA ]]*samgung26[[#This Row],[STOCK BARRAS]])</f>
        <v>0</v>
      </c>
      <c r="S63" s="18" t="n">
        <v>1</v>
      </c>
      <c r="T63" s="18"/>
    </row>
    <row r="64" customFormat="false" ht="15" hidden="false" customHeight="false" outlineLevel="0" collapsed="false">
      <c r="A64" s="1" t="n">
        <v>55</v>
      </c>
      <c r="B64" s="1" t="n">
        <v>2102</v>
      </c>
      <c r="C64" s="29" t="s">
        <v>265</v>
      </c>
      <c r="D64" s="1" t="n">
        <f aca="false">(samgung26[[#This Row],[CANTIDAD INICIAL JUEGO ]]+samgung26[[#This Row],[ENTRADAS JUEGOS ]]-samgung26[[#This Row],[SALIDAS JUEGOS]])</f>
        <v>3</v>
      </c>
      <c r="E64" s="1" t="n">
        <f aca="false">(samgung26[[#This Row],[CANTIDAD INICIAL BARRAS]]+samgung26[[#This Row],[ENTRADAS BARRAS]]-samgung26[[#This Row],[SALIDA BARRAS]])</f>
        <v>0</v>
      </c>
      <c r="F64" s="23" t="n">
        <v>1300</v>
      </c>
      <c r="G64" s="1" t="n">
        <v>618</v>
      </c>
      <c r="H64" s="1" t="n">
        <v>36</v>
      </c>
      <c r="I64" s="1" t="n">
        <f aca="false">(samgung26[[#This Row],["J" PRECIO VENTA ]]/samgung26[[#This Row],[BARRAS]])</f>
        <v>36.1111111111111</v>
      </c>
      <c r="J64" s="1" t="n">
        <f aca="false">(samgung26[[#This Row],["J"PRECIO COMPRA ]]/samgung26[[#This Row],[BARRAS]])</f>
        <v>17.1666666666667</v>
      </c>
      <c r="K64" s="1" t="n">
        <f aca="false">SUMIF(entradas26[CODIGO],samgung26[[#This Row],[CODIGO ]],entradas26[[CAN JUEGOS ]])</f>
        <v>0</v>
      </c>
      <c r="L64" s="1" t="n">
        <f aca="false">SUMIF(entradas26[CODIGO],samgung26[[#This Row],[CODIGO ]],entradas26[CAN BARRAS])</f>
        <v>0</v>
      </c>
      <c r="M64" s="1" t="n">
        <f aca="false">SUMIF(salidas26[[CODIGO ]],samgung26[[#This Row],[CODIGO ]],salidas26[[CANT JUEGOS ]])</f>
        <v>1</v>
      </c>
      <c r="N64" s="1" t="n">
        <f aca="false">SUMIF(salidas26[[CODIGO ]],samgung26[[#This Row],[CODIGO ]],salidas26[CANT BARRAS])</f>
        <v>0</v>
      </c>
      <c r="O64" s="1" t="n">
        <f aca="false">(samgung26[[#This Row],["J"PRECIO COMPRA ]]*samgung26[[#This Row],[STOCK JUEGOS]])</f>
        <v>1854</v>
      </c>
      <c r="P64" s="1" t="n">
        <f aca="false">(samgung26[[#This Row],["J" PRECIO VENTA ]]*samgung26[[#This Row],[STOCK JUEGOS]])</f>
        <v>3900</v>
      </c>
      <c r="Q64" s="1" t="n">
        <f aca="false">(samgung26[[#This Row],["B"PRECIO COMPRA]]*samgung26[[#This Row],[STOCK BARRAS]])</f>
        <v>0</v>
      </c>
      <c r="R64" s="1" t="n">
        <f aca="false">(samgung26[[#This Row],["B"PRECIO VENTA ]]*samgung26[[#This Row],[STOCK BARRAS]])</f>
        <v>0</v>
      </c>
      <c r="S64" s="18" t="n">
        <v>4</v>
      </c>
      <c r="T64" s="18"/>
      <c r="U64" s="1" t="n">
        <v>44.5</v>
      </c>
    </row>
    <row r="65" customFormat="false" ht="15" hidden="false" customHeight="false" outlineLevel="0" collapsed="false">
      <c r="A65" s="1" t="n">
        <v>56</v>
      </c>
      <c r="B65" s="1" t="n">
        <v>2103</v>
      </c>
      <c r="C65" s="29" t="s">
        <v>266</v>
      </c>
      <c r="D65" s="1" t="n">
        <f aca="false">(samgung26[[#This Row],[CANTIDAD INICIAL JUEGO ]]+samgung26[[#This Row],[ENTRADAS JUEGOS ]]-samgung26[[#This Row],[SALIDAS JUEGOS]])</f>
        <v>10</v>
      </c>
      <c r="E65" s="1" t="n">
        <f aca="false">(samgung26[[#This Row],[CANTIDAD INICIAL BARRAS]]+samgung26[[#This Row],[ENTRADAS BARRAS]]-samgung26[[#This Row],[SALIDA BARRAS]])</f>
        <v>0</v>
      </c>
      <c r="F65" s="23" t="n">
        <v>600</v>
      </c>
      <c r="G65" s="1" t="n">
        <v>189</v>
      </c>
      <c r="H65" s="1" t="n">
        <v>18</v>
      </c>
      <c r="I65" s="1" t="n">
        <f aca="false">(samgung26[[#This Row],["J" PRECIO VENTA ]]/samgung26[[#This Row],[BARRAS]])</f>
        <v>33.3333333333333</v>
      </c>
      <c r="J65" s="1" t="n">
        <f aca="false">(samgung26[[#This Row],["J"PRECIO COMPRA ]]/samgung26[[#This Row],[BARRAS]])</f>
        <v>10.5</v>
      </c>
      <c r="K65" s="1" t="n">
        <f aca="false">SUMIF(entradas26[CODIGO],samgung26[[#This Row],[CODIGO ]],entradas26[[CAN JUEGOS ]])</f>
        <v>0</v>
      </c>
      <c r="L65" s="1" t="n">
        <f aca="false">SUMIF(entradas26[CODIGO],samgung26[[#This Row],[CODIGO ]],entradas26[CAN BARRAS])</f>
        <v>0</v>
      </c>
      <c r="M65" s="1" t="n">
        <f aca="false">SUMIF(salidas26[[CODIGO ]],samgung26[[#This Row],[CODIGO ]],salidas26[[CANT JUEGOS ]])</f>
        <v>0</v>
      </c>
      <c r="N65" s="1" t="n">
        <f aca="false">SUMIF(salidas26[[CODIGO ]],samgung26[[#This Row],[CODIGO ]],salidas26[CANT BARRAS])</f>
        <v>0</v>
      </c>
      <c r="O65" s="1" t="n">
        <f aca="false">(samgung26[[#This Row],["J"PRECIO COMPRA ]]*samgung26[[#This Row],[STOCK JUEGOS]])</f>
        <v>1890</v>
      </c>
      <c r="P65" s="1" t="n">
        <f aca="false">(samgung26[[#This Row],["J" PRECIO VENTA ]]*samgung26[[#This Row],[STOCK JUEGOS]])</f>
        <v>6000</v>
      </c>
      <c r="Q65" s="1" t="n">
        <f aca="false">(samgung26[[#This Row],["B"PRECIO COMPRA]]*samgung26[[#This Row],[STOCK BARRAS]])</f>
        <v>0</v>
      </c>
      <c r="R65" s="1" t="n">
        <f aca="false">(samgung26[[#This Row],["B"PRECIO VENTA ]]*samgung26[[#This Row],[STOCK BARRAS]])</f>
        <v>0</v>
      </c>
      <c r="S65" s="18" t="n">
        <v>10</v>
      </c>
      <c r="T65" s="18"/>
      <c r="U65" s="1" t="n">
        <v>7.2</v>
      </c>
      <c r="W65" s="1" t="s">
        <v>267</v>
      </c>
    </row>
    <row r="66" customFormat="false" ht="15" hidden="false" customHeight="false" outlineLevel="0" collapsed="false">
      <c r="B66" s="1" t="n">
        <v>2107</v>
      </c>
      <c r="C66" s="29" t="s">
        <v>268</v>
      </c>
      <c r="D66" s="1" t="n">
        <f aca="false">(samgung26[[#This Row],[CANTIDAD INICIAL JUEGO ]]+samgung26[[#This Row],[ENTRADAS JUEGOS ]]-samgung26[[#This Row],[SALIDAS JUEGOS]])</f>
        <v>8</v>
      </c>
      <c r="E66" s="1" t="n">
        <f aca="false">(samgung26[[#This Row],[CANTIDAD INICIAL BARRAS]]+samgung26[[#This Row],[ENTRADAS BARRAS]]-samgung26[[#This Row],[SALIDA BARRAS]])</f>
        <v>0</v>
      </c>
      <c r="F66" s="23" t="n">
        <v>400</v>
      </c>
      <c r="G66" s="1" t="n">
        <v>232</v>
      </c>
      <c r="H66" s="1" t="n">
        <v>4</v>
      </c>
      <c r="I66" s="1" t="n">
        <f aca="false">(samgung26[[#This Row],["J" PRECIO VENTA ]]/samgung26[[#This Row],[BARRAS]])</f>
        <v>100</v>
      </c>
      <c r="J66" s="1" t="n">
        <f aca="false">(samgung26[[#This Row],["J"PRECIO COMPRA ]]/samgung26[[#This Row],[BARRAS]])</f>
        <v>58</v>
      </c>
      <c r="K66" s="1" t="n">
        <f aca="false">SUMIF(entradas26[CODIGO],samgung26[[#This Row],[CODIGO ]],entradas26[[CAN JUEGOS ]])</f>
        <v>0</v>
      </c>
      <c r="L66" s="1" t="n">
        <f aca="false">SUMIF(entradas26[CODIGO],samgung26[[#This Row],[CODIGO ]],entradas26[CAN BARRAS])</f>
        <v>0</v>
      </c>
      <c r="M66" s="1" t="n">
        <f aca="false">SUMIF(salidas26[[CODIGO ]],samgung26[[#This Row],[CODIGO ]],salidas26[[CANT JUEGOS ]])</f>
        <v>2</v>
      </c>
      <c r="N66" s="1" t="n">
        <f aca="false">SUMIF(salidas26[[CODIGO ]],samgung26[[#This Row],[CODIGO ]],salidas26[CANT BARRAS])</f>
        <v>0</v>
      </c>
      <c r="O66" s="1" t="n">
        <f aca="false">(samgung26[[#This Row],["J"PRECIO COMPRA ]]*samgung26[[#This Row],[STOCK JUEGOS]])</f>
        <v>1856</v>
      </c>
      <c r="P66" s="1" t="n">
        <f aca="false">(samgung26[[#This Row],["J" PRECIO VENTA ]]*samgung26[[#This Row],[STOCK JUEGOS]])</f>
        <v>3200</v>
      </c>
      <c r="Q66" s="1" t="n">
        <f aca="false">(samgung26[[#This Row],["B"PRECIO COMPRA]]*samgung26[[#This Row],[STOCK BARRAS]])</f>
        <v>0</v>
      </c>
      <c r="R66" s="1" t="n">
        <f aca="false">(samgung26[[#This Row],["B"PRECIO VENTA ]]*samgung26[[#This Row],[STOCK BARRAS]])</f>
        <v>0</v>
      </c>
      <c r="S66" s="18" t="n">
        <v>10</v>
      </c>
      <c r="T66" s="18"/>
      <c r="W66" s="1" t="s">
        <v>269</v>
      </c>
    </row>
    <row r="67" customFormat="false" ht="15" hidden="false" customHeight="false" outlineLevel="0" collapsed="false">
      <c r="A67" s="1" t="n">
        <v>57</v>
      </c>
      <c r="B67" s="1" t="n">
        <v>2104</v>
      </c>
      <c r="C67" s="29" t="s">
        <v>270</v>
      </c>
      <c r="D67" s="1" t="n">
        <f aca="false">(samgung26[[#This Row],[CANTIDAD INICIAL JUEGO ]]+samgung26[[#This Row],[ENTRADAS JUEGOS ]]-samgung26[[#This Row],[SALIDAS JUEGOS]])</f>
        <v>7</v>
      </c>
      <c r="E67" s="1" t="n">
        <f aca="false">(samgung26[[#This Row],[CANTIDAD INICIAL BARRAS]]+samgung26[[#This Row],[ENTRADAS BARRAS]]-samgung26[[#This Row],[SALIDA BARRAS]])</f>
        <v>15</v>
      </c>
      <c r="F67" s="23" t="n">
        <v>600</v>
      </c>
      <c r="G67" s="1" t="n">
        <v>236</v>
      </c>
      <c r="H67" s="1" t="n">
        <v>18</v>
      </c>
      <c r="I67" s="1" t="n">
        <f aca="false">(samgung26[[#This Row],["J" PRECIO VENTA ]]/samgung26[[#This Row],[BARRAS]])</f>
        <v>33.3333333333333</v>
      </c>
      <c r="J67" s="1" t="n">
        <f aca="false">(samgung26[[#This Row],["J"PRECIO COMPRA ]]/samgung26[[#This Row],[BARRAS]])</f>
        <v>13.1111111111111</v>
      </c>
      <c r="K67" s="1" t="n">
        <f aca="false">SUMIF(entradas26[CODIGO],samgung26[[#This Row],[CODIGO ]],entradas26[[CAN JUEGOS ]])</f>
        <v>0</v>
      </c>
      <c r="L67" s="1" t="n">
        <f aca="false">SUMIF(entradas26[CODIGO],samgung26[[#This Row],[CODIGO ]],entradas26[CAN BARRAS])</f>
        <v>18</v>
      </c>
      <c r="M67" s="1" t="n">
        <f aca="false">SUMIF(salidas26[[CODIGO ]],samgung26[[#This Row],[CODIGO ]],salidas26[[CANT JUEGOS ]])</f>
        <v>2</v>
      </c>
      <c r="N67" s="1" t="n">
        <f aca="false">SUMIF(salidas26[[CODIGO ]],samgung26[[#This Row],[CODIGO ]],salidas26[CANT BARRAS])</f>
        <v>3</v>
      </c>
      <c r="O67" s="1" t="n">
        <f aca="false">(samgung26[[#This Row],["J"PRECIO COMPRA ]]*samgung26[[#This Row],[STOCK JUEGOS]])</f>
        <v>1652</v>
      </c>
      <c r="P67" s="1" t="n">
        <f aca="false">(samgung26[[#This Row],["J" PRECIO VENTA ]]*samgung26[[#This Row],[STOCK JUEGOS]])</f>
        <v>4200</v>
      </c>
      <c r="Q67" s="1" t="n">
        <f aca="false">(samgung26[[#This Row],["B"PRECIO COMPRA]]*samgung26[[#This Row],[STOCK BARRAS]])</f>
        <v>196.666666666667</v>
      </c>
      <c r="R67" s="1" t="n">
        <f aca="false">(samgung26[[#This Row],["B"PRECIO VENTA ]]*samgung26[[#This Row],[STOCK BARRAS]])</f>
        <v>500</v>
      </c>
      <c r="S67" s="18" t="n">
        <v>9</v>
      </c>
      <c r="T67" s="18"/>
      <c r="U67" s="1" t="n">
        <v>9</v>
      </c>
      <c r="W67" s="1" t="s">
        <v>271</v>
      </c>
    </row>
    <row r="68" customFormat="false" ht="15" hidden="false" customHeight="false" outlineLevel="0" collapsed="false">
      <c r="B68" s="1" t="n">
        <v>2108</v>
      </c>
      <c r="C68" s="1" t="s">
        <v>272</v>
      </c>
      <c r="D68" s="1" t="n">
        <f aca="false">(samgung26[[#This Row],[CANTIDAD INICIAL JUEGO ]]+samgung26[[#This Row],[ENTRADAS JUEGOS ]]-samgung26[[#This Row],[SALIDAS JUEGOS]])</f>
        <v>9</v>
      </c>
      <c r="E68" s="1" t="n">
        <f aca="false">(samgung26[[#This Row],[CANTIDAD INICIAL BARRAS]]+samgung26[[#This Row],[ENTRADAS BARRAS]]-samgung26[[#This Row],[SALIDA BARRAS]])</f>
        <v>0</v>
      </c>
      <c r="F68" s="23" t="n">
        <v>300</v>
      </c>
      <c r="G68" s="1" t="n">
        <v>105</v>
      </c>
      <c r="I68" s="1" t="e">
        <f aca="false">(samgung26[[#This Row],["J" PRECIO VENTA ]]/samgung26[[#This Row],[BARRAS]])</f>
        <v>#DIV/0!</v>
      </c>
      <c r="J68" s="1" t="e">
        <f aca="false">(samgung26[[#This Row],["J"PRECIO COMPRA ]]/samgung26[[#This Row],[BARRAS]])</f>
        <v>#DIV/0!</v>
      </c>
      <c r="K68" s="1" t="n">
        <f aca="false">SUMIF(entradas26[CODIGO],samgung26[[#This Row],[CODIGO ]],entradas26[[CAN JUEGOS ]])</f>
        <v>10</v>
      </c>
      <c r="L68" s="1" t="n">
        <f aca="false">SUMIF(entradas26[CODIGO],samgung26[[#This Row],[CODIGO ]],entradas26[CAN BARRAS])</f>
        <v>0</v>
      </c>
      <c r="M68" s="1" t="n">
        <f aca="false">SUMIF(salidas26[[CODIGO ]],samgung26[[#This Row],[CODIGO ]],salidas26[[CANT JUEGOS ]])</f>
        <v>1</v>
      </c>
      <c r="N68" s="1" t="n">
        <f aca="false">SUMIF(salidas26[[CODIGO ]],samgung26[[#This Row],[CODIGO ]],salidas26[CANT BARRAS])</f>
        <v>0</v>
      </c>
      <c r="O68" s="1" t="n">
        <f aca="false">(samgung26[[#This Row],["J"PRECIO COMPRA ]]*samgung26[[#This Row],[STOCK JUEGOS]])</f>
        <v>945</v>
      </c>
      <c r="P68" s="1" t="n">
        <f aca="false">(samgung26[[#This Row],["J" PRECIO VENTA ]]*samgung26[[#This Row],[STOCK JUEGOS]])</f>
        <v>2700</v>
      </c>
      <c r="Q68" s="1" t="e">
        <f aca="false">(samgung26[[#This Row],["B"PRECIO COMPRA]]*samgung26[[#This Row],[STOCK BARRAS]])</f>
        <v>#DIV/0!</v>
      </c>
      <c r="R68" s="1" t="e">
        <f aca="false">(samgung26[[#This Row],["B"PRECIO VENTA ]]*samgung26[[#This Row],[STOCK BARRAS]])</f>
        <v>#DIV/0!</v>
      </c>
      <c r="S68" s="18"/>
      <c r="T68" s="18"/>
      <c r="U68" s="1" t="n">
        <v>505</v>
      </c>
      <c r="W68" s="1" t="s">
        <v>273</v>
      </c>
    </row>
    <row r="69" customFormat="false" ht="15" hidden="false" customHeight="false" outlineLevel="0" collapsed="false">
      <c r="A69" s="1" t="n">
        <v>58</v>
      </c>
      <c r="B69" s="1" t="n">
        <v>2105</v>
      </c>
      <c r="C69" s="29" t="s">
        <v>274</v>
      </c>
      <c r="D69" s="1" t="n">
        <f aca="false">(samgung26[[#This Row],[CANTIDAD INICIAL JUEGO ]]+samgung26[[#This Row],[ENTRADAS JUEGOS ]]-samgung26[[#This Row],[SALIDAS JUEGOS]])</f>
        <v>7</v>
      </c>
      <c r="E69" s="1" t="n">
        <f aca="false">(samgung26[[#This Row],[CANTIDAD INICIAL BARRAS]]+samgung26[[#This Row],[ENTRADAS BARRAS]]-samgung26[[#This Row],[SALIDA BARRAS]])</f>
        <v>0</v>
      </c>
      <c r="F69" s="23" t="n">
        <v>600</v>
      </c>
      <c r="G69" s="36" t="n">
        <v>272</v>
      </c>
      <c r="H69" s="1" t="n">
        <v>4</v>
      </c>
      <c r="I69" s="1" t="n">
        <f aca="false">(samgung26[[#This Row],["J" PRECIO VENTA ]]/samgung26[[#This Row],[BARRAS]])</f>
        <v>150</v>
      </c>
      <c r="J69" s="1" t="n">
        <f aca="false">(samgung26[[#This Row],["J"PRECIO COMPRA ]]/samgung26[[#This Row],[BARRAS]])</f>
        <v>68</v>
      </c>
      <c r="K69" s="1" t="n">
        <f aca="false">SUMIF(entradas26[CODIGO],samgung26[[#This Row],[CODIGO ]],entradas26[[CAN JUEGOS ]])</f>
        <v>0</v>
      </c>
      <c r="L69" s="1" t="n">
        <f aca="false">SUMIF(entradas26[CODIGO],samgung26[[#This Row],[CODIGO ]],entradas26[CAN BARRAS])</f>
        <v>0</v>
      </c>
      <c r="M69" s="1" t="n">
        <f aca="false">SUMIF(salidas26[[CODIGO ]],samgung26[[#This Row],[CODIGO ]],salidas26[[CANT JUEGOS ]])</f>
        <v>3</v>
      </c>
      <c r="N69" s="1" t="n">
        <f aca="false">SUMIF(salidas26[[CODIGO ]],samgung26[[#This Row],[CODIGO ]],salidas26[CANT BARRAS])</f>
        <v>0</v>
      </c>
      <c r="O69" s="1" t="n">
        <f aca="false">(samgung26[[#This Row],["J"PRECIO COMPRA ]]*samgung26[[#This Row],[STOCK JUEGOS]])</f>
        <v>1904</v>
      </c>
      <c r="P69" s="1" t="n">
        <f aca="false">(samgung26[[#This Row],["J" PRECIO VENTA ]]*samgung26[[#This Row],[STOCK JUEGOS]])</f>
        <v>4200</v>
      </c>
      <c r="Q69" s="1" t="n">
        <f aca="false">(samgung26[[#This Row],["B"PRECIO COMPRA]]*samgung26[[#This Row],[STOCK BARRAS]])</f>
        <v>0</v>
      </c>
      <c r="R69" s="1" t="n">
        <f aca="false">(samgung26[[#This Row],["B"PRECIO VENTA ]]*samgung26[[#This Row],[STOCK BARRAS]])</f>
        <v>0</v>
      </c>
      <c r="S69" s="18" t="n">
        <v>10</v>
      </c>
      <c r="T69" s="18"/>
      <c r="U69" s="1" t="n">
        <v>12.8</v>
      </c>
      <c r="W69" s="1" t="s">
        <v>275</v>
      </c>
      <c r="X69" s="0" t="s">
        <v>276</v>
      </c>
    </row>
    <row r="70" customFormat="false" ht="15" hidden="false" customHeight="false" outlineLevel="0" collapsed="false">
      <c r="A70" s="1" t="n">
        <v>59</v>
      </c>
    </row>
    <row r="71" customFormat="false" ht="15" hidden="false" customHeight="false" outlineLevel="0" collapsed="false">
      <c r="A71" s="1" t="n">
        <v>60</v>
      </c>
    </row>
  </sheetData>
  <mergeCells count="1">
    <mergeCell ref="B2:V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V20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X15" activeCellId="0" sqref="X15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6.57"/>
    <col collapsed="false" customWidth="true" hidden="false" outlineLevel="0" max="3" min="3" style="1" width="34"/>
    <col collapsed="false" customWidth="true" hidden="false" outlineLevel="0" max="8" min="4" style="1" width="8.14"/>
    <col collapsed="false" customWidth="true" hidden="true" outlineLevel="0" max="20" min="9" style="1" width="8.14"/>
    <col collapsed="false" customWidth="true" hidden="false" outlineLevel="0" max="22" min="21" style="1" width="8.14"/>
  </cols>
  <sheetData>
    <row r="2" customFormat="false" ht="8.25" hidden="false" customHeight="true" outlineLevel="0" collapsed="false">
      <c r="B2" s="2" t="s">
        <v>277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5" hidden="false" customHeight="fals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21" hidden="false" customHeight="true" outlineLevel="0" collapsed="false">
      <c r="B4" s="3" t="s">
        <v>1</v>
      </c>
      <c r="C4" s="3" t="s">
        <v>2</v>
      </c>
      <c r="D4" s="4" t="s">
        <v>3</v>
      </c>
      <c r="E4" s="5" t="s">
        <v>4</v>
      </c>
      <c r="F4" s="6" t="s">
        <v>5</v>
      </c>
      <c r="G4" s="37" t="s">
        <v>6</v>
      </c>
      <c r="H4" s="8" t="s">
        <v>7</v>
      </c>
      <c r="I4" s="9" t="s">
        <v>8</v>
      </c>
      <c r="J4" s="9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8" t="s">
        <v>14</v>
      </c>
      <c r="P4" s="11" t="s">
        <v>15</v>
      </c>
      <c r="Q4" s="8" t="s">
        <v>16</v>
      </c>
      <c r="R4" s="8" t="s">
        <v>17</v>
      </c>
      <c r="S4" s="11" t="s">
        <v>18</v>
      </c>
      <c r="T4" s="12" t="s">
        <v>19</v>
      </c>
      <c r="U4" s="13" t="s">
        <v>20</v>
      </c>
      <c r="V4" s="14" t="s">
        <v>21</v>
      </c>
    </row>
    <row r="5" customFormat="false" ht="15" hidden="false" customHeight="false" outlineLevel="0" collapsed="false">
      <c r="A5" s="1" t="n">
        <v>1</v>
      </c>
      <c r="B5" s="1" t="n">
        <v>3000</v>
      </c>
      <c r="C5" s="38" t="s">
        <v>278</v>
      </c>
      <c r="D5" s="1" t="n">
        <f aca="false">(haier26[[#This Row],[CANTIDAD INICIAL JUEGO ]]+haier26[[#This Row],[ENTRADAS JUEGOS ]]-haier26[[#This Row],[SALIDAS JUEGOS]])</f>
        <v>13</v>
      </c>
      <c r="E5" s="1" t="n">
        <f aca="false">(haier26[[#This Row],[CANTIDAD INICIAL BARRAS]]+haier26[[#This Row],[ENTRADAS BARRAS]]-haier26[[#This Row],[SALIDA BARRAS]])</f>
        <v>1</v>
      </c>
      <c r="F5" s="23" t="n">
        <v>90</v>
      </c>
      <c r="G5" s="1" t="n">
        <v>54</v>
      </c>
      <c r="H5" s="1" t="n">
        <v>3</v>
      </c>
      <c r="I5" s="1" t="n">
        <f aca="false">(haier26[[#This Row],["J" PRECIO VENTA ]]/haier26[[#This Row],[BARRAS]])</f>
        <v>30</v>
      </c>
      <c r="J5" s="1" t="n">
        <f aca="false">(haier26[[#This Row],["J"PRECIO COMPRA ]]/haier26[[#This Row],[BARRAS]])</f>
        <v>18</v>
      </c>
      <c r="K5" s="1" t="n">
        <f aca="false">SUMIF(entradas26[CODIGO],haier26[[#This Row],[CODIGO ]],entradas26[[CAN JUEGOS ]])</f>
        <v>20</v>
      </c>
      <c r="L5" s="1" t="n">
        <f aca="false">SUMIF(entradas26[CODIGO],haier26[[#This Row],[CODIGO ]],entradas26[CAN BARRAS])</f>
        <v>0</v>
      </c>
      <c r="M5" s="1" t="n">
        <f aca="false">SUMIF(salidas26[[CODIGO ]],haier26[[#This Row],[CODIGO ]],salidas26[[CANT JUEGOS ]])</f>
        <v>11</v>
      </c>
      <c r="N5" s="1" t="n">
        <f aca="false">SUMIF(salidas26[[CODIGO ]],haier26[[#This Row],[CODIGO ]],salidas26[CANT BARRAS])</f>
        <v>0</v>
      </c>
      <c r="O5" s="1" t="n">
        <f aca="false">(haier26[[#This Row],["J"PRECIO COMPRA ]]*haier26[[#This Row],[STOCK JUEGOS]])</f>
        <v>702</v>
      </c>
      <c r="P5" s="1" t="n">
        <f aca="false">(haier26[[#This Row],["J" PRECIO VENTA ]]*haier26[[#This Row],[STOCK JUEGOS]])</f>
        <v>1170</v>
      </c>
      <c r="Q5" s="1" t="n">
        <f aca="false">(haier26[[#This Row],["B"PRECIO COMPRA]]*haier26[[#This Row],[STOCK BARRAS]])</f>
        <v>18</v>
      </c>
      <c r="R5" s="1" t="n">
        <f aca="false">(haier26[[#This Row],["B"PRECIO VENTA ]]*haier26[[#This Row],[STOCK BARRAS]])</f>
        <v>30</v>
      </c>
      <c r="S5" s="18" t="n">
        <v>4</v>
      </c>
      <c r="T5" s="18" t="n">
        <v>1</v>
      </c>
    </row>
    <row r="6" customFormat="false" ht="15" hidden="false" customHeight="false" outlineLevel="0" collapsed="false">
      <c r="A6" s="1" t="n">
        <v>2</v>
      </c>
      <c r="B6" s="1" t="n">
        <v>3001</v>
      </c>
      <c r="C6" s="39" t="s">
        <v>279</v>
      </c>
      <c r="D6" s="1" t="n">
        <f aca="false">(haier26[[#This Row],[CANTIDAD INICIAL JUEGO ]]+haier26[[#This Row],[ENTRADAS JUEGOS ]]-haier26[[#This Row],[SALIDAS JUEGOS]])</f>
        <v>10</v>
      </c>
      <c r="E6" s="1" t="n">
        <f aca="false">(haier26[[#This Row],[CANTIDAD INICIAL BARRAS]]+haier26[[#This Row],[ENTRADAS BARRAS]]-haier26[[#This Row],[SALIDA BARRAS]])</f>
        <v>0</v>
      </c>
      <c r="F6" s="23" t="n">
        <v>100</v>
      </c>
      <c r="G6" s="1" t="n">
        <v>93</v>
      </c>
      <c r="H6" s="1" t="n">
        <v>3</v>
      </c>
      <c r="I6" s="1" t="n">
        <f aca="false">(haier26[[#This Row],["J" PRECIO VENTA ]]/haier26[[#This Row],[BARRAS]])</f>
        <v>33.3333333333333</v>
      </c>
      <c r="J6" s="1" t="n">
        <f aca="false">(haier26[[#This Row],["J"PRECIO COMPRA ]]/haier26[[#This Row],[BARRAS]])</f>
        <v>31</v>
      </c>
      <c r="K6" s="1" t="n">
        <f aca="false">SUMIF(entradas26[CODIGO],haier26[[#This Row],[CODIGO ]],entradas26[[CAN JUEGOS ]])</f>
        <v>0</v>
      </c>
      <c r="L6" s="1" t="n">
        <f aca="false">SUMIF(entradas26[CODIGO],haier26[[#This Row],[CODIGO ]],entradas26[CAN BARRAS])</f>
        <v>0</v>
      </c>
      <c r="M6" s="1" t="n">
        <f aca="false">SUMIF(salidas26[[CODIGO ]],haier26[[#This Row],[CODIGO ]],salidas26[[CANT JUEGOS ]])</f>
        <v>8</v>
      </c>
      <c r="N6" s="1" t="n">
        <f aca="false">SUMIF(salidas26[[CODIGO ]],haier26[[#This Row],[CODIGO ]],salidas26[CANT BARRAS])</f>
        <v>0</v>
      </c>
      <c r="O6" s="1" t="n">
        <f aca="false">(haier26[[#This Row],["J"PRECIO COMPRA ]]*haier26[[#This Row],[STOCK JUEGOS]])</f>
        <v>930</v>
      </c>
      <c r="P6" s="1" t="n">
        <f aca="false">(haier26[[#This Row],["J" PRECIO VENTA ]]*haier26[[#This Row],[STOCK JUEGOS]])</f>
        <v>1000</v>
      </c>
      <c r="Q6" s="1" t="n">
        <f aca="false">(haier26[[#This Row],["B"PRECIO COMPRA]]*haier26[[#This Row],[STOCK BARRAS]])</f>
        <v>0</v>
      </c>
      <c r="R6" s="1" t="n">
        <f aca="false">(haier26[[#This Row],["B"PRECIO VENTA ]]*haier26[[#This Row],[STOCK BARRAS]])</f>
        <v>0</v>
      </c>
      <c r="S6" s="18" t="n">
        <v>18</v>
      </c>
      <c r="T6" s="18"/>
    </row>
    <row r="7" customFormat="false" ht="15" hidden="false" customHeight="false" outlineLevel="0" collapsed="false">
      <c r="A7" s="1" t="n">
        <v>3</v>
      </c>
      <c r="B7" s="1" t="n">
        <v>3003</v>
      </c>
      <c r="C7" s="15" t="s">
        <v>280</v>
      </c>
      <c r="D7" s="1" t="n">
        <f aca="false">(haier26[[#This Row],[CANTIDAD INICIAL JUEGO ]]+haier26[[#This Row],[ENTRADAS JUEGOS ]]-haier26[[#This Row],[SALIDAS JUEGOS]])</f>
        <v>6</v>
      </c>
      <c r="E7" s="1" t="n">
        <f aca="false">(haier26[[#This Row],[CANTIDAD INICIAL BARRAS]]+haier26[[#This Row],[ENTRADAS BARRAS]]-haier26[[#This Row],[SALIDA BARRAS]])</f>
        <v>2</v>
      </c>
      <c r="F7" s="23" t="n">
        <v>160</v>
      </c>
      <c r="G7" s="36" t="n">
        <v>105</v>
      </c>
      <c r="H7" s="1" t="n">
        <v>4</v>
      </c>
      <c r="I7" s="1" t="n">
        <f aca="false">(haier26[[#This Row],["J" PRECIO VENTA ]]/haier26[[#This Row],[BARRAS]])</f>
        <v>40</v>
      </c>
      <c r="J7" s="1" t="n">
        <f aca="false">(haier26[[#This Row],["J"PRECIO COMPRA ]]/haier26[[#This Row],[BARRAS]])</f>
        <v>26.25</v>
      </c>
      <c r="K7" s="1" t="n">
        <f aca="false">SUMIF(entradas26[CODIGO],haier26[[#This Row],[CODIGO ]],entradas26[[CAN JUEGOS ]])</f>
        <v>0</v>
      </c>
      <c r="L7" s="1" t="n">
        <f aca="false">SUMIF(entradas26[CODIGO],haier26[[#This Row],[CODIGO ]],entradas26[CAN BARRAS])</f>
        <v>4</v>
      </c>
      <c r="M7" s="1" t="n">
        <f aca="false">SUMIF(salidas26[[CODIGO ]],haier26[[#This Row],[CODIGO ]],salidas26[[CANT JUEGOS ]])</f>
        <v>6</v>
      </c>
      <c r="N7" s="1" t="n">
        <f aca="false">SUMIF(salidas26[[CODIGO ]],haier26[[#This Row],[CODIGO ]],salidas26[CANT BARRAS])</f>
        <v>4</v>
      </c>
      <c r="O7" s="1" t="n">
        <f aca="false">(haier26[[#This Row],["J"PRECIO COMPRA ]]*haier26[[#This Row],[STOCK JUEGOS]])</f>
        <v>630</v>
      </c>
      <c r="P7" s="1" t="n">
        <f aca="false">(haier26[[#This Row],["J" PRECIO VENTA ]]*haier26[[#This Row],[STOCK JUEGOS]])</f>
        <v>960</v>
      </c>
      <c r="Q7" s="1" t="n">
        <f aca="false">(haier26[[#This Row],["B"PRECIO COMPRA]]*haier26[[#This Row],[STOCK BARRAS]])</f>
        <v>52.5</v>
      </c>
      <c r="R7" s="1" t="n">
        <f aca="false">(haier26[[#This Row],["B"PRECIO VENTA ]]*haier26[[#This Row],[STOCK BARRAS]])</f>
        <v>80</v>
      </c>
      <c r="S7" s="18" t="n">
        <v>12</v>
      </c>
      <c r="T7" s="18" t="n">
        <v>2</v>
      </c>
    </row>
    <row r="8" customFormat="false" ht="15" hidden="false" customHeight="false" outlineLevel="0" collapsed="false">
      <c r="A8" s="1" t="n">
        <v>4</v>
      </c>
      <c r="B8" s="1" t="n">
        <v>3006</v>
      </c>
      <c r="C8" s="1" t="s">
        <v>281</v>
      </c>
      <c r="D8" s="1" t="n">
        <f aca="false">(haier26[[#This Row],[CANTIDAD INICIAL JUEGO ]]+haier26[[#This Row],[ENTRADAS JUEGOS ]]-haier26[[#This Row],[SALIDAS JUEGOS]])</f>
        <v>12</v>
      </c>
      <c r="E8" s="1" t="n">
        <f aca="false">(haier26[[#This Row],[CANTIDAD INICIAL BARRAS]]+haier26[[#This Row],[ENTRADAS BARRAS]]-haier26[[#This Row],[SALIDA BARRAS]])</f>
        <v>0</v>
      </c>
      <c r="F8" s="23" t="n">
        <v>180</v>
      </c>
      <c r="G8" s="36" t="n">
        <v>131</v>
      </c>
      <c r="H8" s="1" t="n">
        <v>4</v>
      </c>
      <c r="I8" s="1" t="n">
        <f aca="false">(haier26[[#This Row],["J" PRECIO VENTA ]]/haier26[[#This Row],[BARRAS]])</f>
        <v>45</v>
      </c>
      <c r="J8" s="1" t="n">
        <f aca="false">(haier26[[#This Row],["J"PRECIO COMPRA ]]/haier26[[#This Row],[BARRAS]])</f>
        <v>32.75</v>
      </c>
      <c r="K8" s="1" t="n">
        <f aca="false">SUMIF(entradas26[CODIGO],haier26[[#This Row],[CODIGO ]],entradas26[[CAN JUEGOS ]])</f>
        <v>0</v>
      </c>
      <c r="L8" s="1" t="n">
        <f aca="false">SUMIF(entradas26[CODIGO],haier26[[#This Row],[CODIGO ]],entradas26[CAN BARRAS])</f>
        <v>0</v>
      </c>
      <c r="M8" s="1" t="n">
        <f aca="false">SUMIF(salidas26[[CODIGO ]],haier26[[#This Row],[CODIGO ]],salidas26[[CANT JUEGOS ]])</f>
        <v>3</v>
      </c>
      <c r="N8" s="1" t="n">
        <f aca="false">SUMIF(salidas26[[CODIGO ]],haier26[[#This Row],[CODIGO ]],salidas26[CANT BARRAS])</f>
        <v>0</v>
      </c>
      <c r="O8" s="1" t="n">
        <f aca="false">(haier26[[#This Row],["J"PRECIO COMPRA ]]*haier26[[#This Row],[STOCK JUEGOS]])</f>
        <v>1572</v>
      </c>
      <c r="P8" s="1" t="n">
        <f aca="false">(haier26[[#This Row],["J" PRECIO VENTA ]]*haier26[[#This Row],[STOCK JUEGOS]])</f>
        <v>2160</v>
      </c>
      <c r="Q8" s="1" t="n">
        <f aca="false">(haier26[[#This Row],["B"PRECIO COMPRA]]*haier26[[#This Row],[STOCK BARRAS]])</f>
        <v>0</v>
      </c>
      <c r="R8" s="1" t="n">
        <f aca="false">(haier26[[#This Row],["B"PRECIO VENTA ]]*haier26[[#This Row],[STOCK BARRAS]])</f>
        <v>0</v>
      </c>
      <c r="S8" s="18" t="n">
        <v>15</v>
      </c>
      <c r="T8" s="18"/>
    </row>
    <row r="9" customFormat="false" ht="15" hidden="false" customHeight="false" outlineLevel="0" collapsed="false">
      <c r="A9" s="1" t="n">
        <v>5</v>
      </c>
      <c r="B9" s="1" t="n">
        <v>3009</v>
      </c>
      <c r="C9" s="1" t="s">
        <v>282</v>
      </c>
      <c r="D9" s="1" t="n">
        <f aca="false">(haier26[[#This Row],[CANTIDAD INICIAL JUEGO ]]+haier26[[#This Row],[ENTRADAS JUEGOS ]]-haier26[[#This Row],[SALIDAS JUEGOS]])</f>
        <v>19</v>
      </c>
      <c r="E9" s="1" t="n">
        <f aca="false">(haier26[[#This Row],[CANTIDAD INICIAL BARRAS]]+haier26[[#This Row],[ENTRADAS BARRAS]]-haier26[[#This Row],[SALIDA BARRAS]])</f>
        <v>3</v>
      </c>
      <c r="F9" s="23" t="n">
        <v>220</v>
      </c>
      <c r="G9" s="36" t="n">
        <v>74</v>
      </c>
      <c r="H9" s="1" t="n">
        <v>4</v>
      </c>
      <c r="I9" s="1" t="n">
        <f aca="false">(haier26[[#This Row],["J" PRECIO VENTA ]]/haier26[[#This Row],[BARRAS]])</f>
        <v>55</v>
      </c>
      <c r="J9" s="1" t="n">
        <f aca="false">(haier26[[#This Row],["J"PRECIO COMPRA ]]/haier26[[#This Row],[BARRAS]])</f>
        <v>18.5</v>
      </c>
      <c r="K9" s="1" t="n">
        <f aca="false">SUMIF(entradas26[CODIGO],haier26[[#This Row],[CODIGO ]],entradas26[[CAN JUEGOS ]])</f>
        <v>0</v>
      </c>
      <c r="L9" s="1" t="n">
        <f aca="false">SUMIF(entradas26[CODIGO],haier26[[#This Row],[CODIGO ]],entradas26[CAN BARRAS])</f>
        <v>0</v>
      </c>
      <c r="M9" s="1" t="n">
        <f aca="false">SUMIF(salidas26[[CODIGO ]],haier26[[#This Row],[CODIGO ]],salidas26[[CANT JUEGOS ]])</f>
        <v>0</v>
      </c>
      <c r="N9" s="1" t="n">
        <f aca="false">SUMIF(salidas26[[CODIGO ]],haier26[[#This Row],[CODIGO ]],salidas26[CANT BARRAS])</f>
        <v>0</v>
      </c>
      <c r="O9" s="1" t="n">
        <f aca="false">(haier26[[#This Row],["J"PRECIO COMPRA ]]*haier26[[#This Row],[STOCK JUEGOS]])</f>
        <v>1406</v>
      </c>
      <c r="P9" s="1" t="n">
        <f aca="false">(haier26[[#This Row],["J" PRECIO VENTA ]]*haier26[[#This Row],[STOCK JUEGOS]])</f>
        <v>4180</v>
      </c>
      <c r="Q9" s="1" t="n">
        <f aca="false">(haier26[[#This Row],["B"PRECIO COMPRA]]*haier26[[#This Row],[STOCK BARRAS]])</f>
        <v>55.5</v>
      </c>
      <c r="R9" s="1" t="n">
        <f aca="false">(haier26[[#This Row],["B"PRECIO VENTA ]]*haier26[[#This Row],[STOCK BARRAS]])</f>
        <v>165</v>
      </c>
      <c r="S9" s="18" t="n">
        <v>19</v>
      </c>
      <c r="T9" s="18" t="n">
        <v>3</v>
      </c>
    </row>
    <row r="10" customFormat="false" ht="15" hidden="false" customHeight="false" outlineLevel="0" collapsed="false">
      <c r="A10" s="1" t="n">
        <v>6</v>
      </c>
      <c r="B10" s="1" t="n">
        <v>3012</v>
      </c>
      <c r="C10" s="1" t="s">
        <v>283</v>
      </c>
      <c r="D10" s="1" t="n">
        <f aca="false">(haier26[[#This Row],[CANTIDAD INICIAL JUEGO ]]+haier26[[#This Row],[ENTRADAS JUEGOS ]]-haier26[[#This Row],[SALIDAS JUEGOS]])</f>
        <v>16</v>
      </c>
      <c r="E10" s="1" t="n">
        <f aca="false">(haier26[[#This Row],[CANTIDAD INICIAL BARRAS]]+haier26[[#This Row],[ENTRADAS BARRAS]]-haier26[[#This Row],[SALIDA BARRAS]])</f>
        <v>8</v>
      </c>
      <c r="F10" s="23" t="n">
        <v>260</v>
      </c>
      <c r="G10" s="36" t="n">
        <v>154</v>
      </c>
      <c r="H10" s="1" t="n">
        <v>10</v>
      </c>
      <c r="I10" s="1" t="n">
        <f aca="false">(haier26[[#This Row],["J" PRECIO VENTA ]]/haier26[[#This Row],[BARRAS]])</f>
        <v>26</v>
      </c>
      <c r="J10" s="1" t="n">
        <f aca="false">(haier26[[#This Row],["J"PRECIO COMPRA ]]/haier26[[#This Row],[BARRAS]])</f>
        <v>15.4</v>
      </c>
      <c r="K10" s="1" t="n">
        <f aca="false">SUMIF(entradas26[CODIGO],haier26[[#This Row],[CODIGO ]],entradas26[[CAN JUEGOS ]])</f>
        <v>0</v>
      </c>
      <c r="L10" s="1" t="n">
        <f aca="false">SUMIF(entradas26[CODIGO],haier26[[#This Row],[CODIGO ]],entradas26[CAN BARRAS])</f>
        <v>0</v>
      </c>
      <c r="M10" s="1" t="n">
        <f aca="false">SUMIF(salidas26[[CODIGO ]],haier26[[#This Row],[CODIGO ]],salidas26[[CANT JUEGOS ]])</f>
        <v>1</v>
      </c>
      <c r="N10" s="1" t="n">
        <f aca="false">SUMIF(salidas26[[CODIGO ]],haier26[[#This Row],[CODIGO ]],salidas26[CANT BARRAS])</f>
        <v>4</v>
      </c>
      <c r="O10" s="1" t="n">
        <f aca="false">(haier26[[#This Row],["J"PRECIO COMPRA ]]*haier26[[#This Row],[STOCK JUEGOS]])</f>
        <v>2464</v>
      </c>
      <c r="P10" s="1" t="n">
        <f aca="false">(haier26[[#This Row],["J" PRECIO VENTA ]]*haier26[[#This Row],[STOCK JUEGOS]])</f>
        <v>4160</v>
      </c>
      <c r="Q10" s="1" t="n">
        <f aca="false">(haier26[[#This Row],["B"PRECIO COMPRA]]*haier26[[#This Row],[STOCK BARRAS]])</f>
        <v>123.2</v>
      </c>
      <c r="R10" s="1" t="n">
        <f aca="false">(haier26[[#This Row],["B"PRECIO VENTA ]]*haier26[[#This Row],[STOCK BARRAS]])</f>
        <v>208</v>
      </c>
      <c r="S10" s="18" t="n">
        <v>17</v>
      </c>
      <c r="T10" s="18" t="n">
        <v>12</v>
      </c>
    </row>
    <row r="11" customFormat="false" ht="15" hidden="false" customHeight="false" outlineLevel="0" collapsed="false">
      <c r="A11" s="1" t="n">
        <v>7</v>
      </c>
      <c r="B11" s="1" t="n">
        <v>3015</v>
      </c>
      <c r="C11" s="1" t="s">
        <v>284</v>
      </c>
      <c r="D11" s="1" t="n">
        <f aca="false">(haier26[[#This Row],[CANTIDAD INICIAL JUEGO ]]+haier26[[#This Row],[ENTRADAS JUEGOS ]]-haier26[[#This Row],[SALIDAS JUEGOS]])</f>
        <v>16</v>
      </c>
      <c r="E11" s="1" t="n">
        <f aca="false">(haier26[[#This Row],[CANTIDAD INICIAL BARRAS]]+haier26[[#This Row],[ENTRADAS BARRAS]]-haier26[[#This Row],[SALIDA BARRAS]])</f>
        <v>8</v>
      </c>
      <c r="F11" s="23" t="n">
        <v>260</v>
      </c>
      <c r="G11" s="1" t="n">
        <v>147</v>
      </c>
      <c r="H11" s="1" t="n">
        <v>10</v>
      </c>
      <c r="I11" s="1" t="n">
        <f aca="false">(haier26[[#This Row],["J" PRECIO VENTA ]]/haier26[[#This Row],[BARRAS]])</f>
        <v>26</v>
      </c>
      <c r="J11" s="1" t="n">
        <f aca="false">(haier26[[#This Row],["J"PRECIO COMPRA ]]/haier26[[#This Row],[BARRAS]])</f>
        <v>14.7</v>
      </c>
      <c r="K11" s="1" t="n">
        <f aca="false">SUMIF(entradas26[CODIGO],haier26[[#This Row],[CODIGO ]],entradas26[[CAN JUEGOS ]])</f>
        <v>0</v>
      </c>
      <c r="L11" s="1" t="n">
        <f aca="false">SUMIF(entradas26[CODIGO],haier26[[#This Row],[CODIGO ]],entradas26[CAN BARRAS])</f>
        <v>10</v>
      </c>
      <c r="M11" s="1" t="n">
        <f aca="false">SUMIF(salidas26[[CODIGO ]],haier26[[#This Row],[CODIGO ]],salidas26[[CANT JUEGOS ]])</f>
        <v>3</v>
      </c>
      <c r="N11" s="1" t="n">
        <f aca="false">SUMIF(salidas26[[CODIGO ]],haier26[[#This Row],[CODIGO ]],salidas26[CANT BARRAS])</f>
        <v>2</v>
      </c>
      <c r="O11" s="1" t="n">
        <f aca="false">(haier26[[#This Row],["J"PRECIO COMPRA ]]*haier26[[#This Row],[STOCK JUEGOS]])</f>
        <v>2352</v>
      </c>
      <c r="P11" s="1" t="n">
        <f aca="false">(haier26[[#This Row],["J" PRECIO VENTA ]]*haier26[[#This Row],[STOCK JUEGOS]])</f>
        <v>4160</v>
      </c>
      <c r="Q11" s="1" t="n">
        <f aca="false">(haier26[[#This Row],["B"PRECIO COMPRA]]*haier26[[#This Row],[STOCK BARRAS]])</f>
        <v>117.6</v>
      </c>
      <c r="R11" s="1" t="n">
        <f aca="false">(haier26[[#This Row],["B"PRECIO VENTA ]]*haier26[[#This Row],[STOCK BARRAS]])</f>
        <v>208</v>
      </c>
      <c r="S11" s="28" t="n">
        <v>19</v>
      </c>
      <c r="T11" s="28"/>
    </row>
    <row r="12" customFormat="false" ht="15" hidden="false" customHeight="false" outlineLevel="0" collapsed="false">
      <c r="A12" s="1" t="n">
        <v>8</v>
      </c>
      <c r="B12" s="1" t="n">
        <v>3018</v>
      </c>
      <c r="C12" s="1" t="s">
        <v>285</v>
      </c>
      <c r="D12" s="1" t="n">
        <f aca="false">(haier26[[#This Row],[CANTIDAD INICIAL JUEGO ]]+haier26[[#This Row],[ENTRADAS JUEGOS ]]-haier26[[#This Row],[SALIDAS JUEGOS]])</f>
        <v>25</v>
      </c>
      <c r="E12" s="1" t="n">
        <f aca="false">(haier26[[#This Row],[CANTIDAD INICIAL BARRAS]]+haier26[[#This Row],[ENTRADAS BARRAS]]-haier26[[#This Row],[SALIDA BARRAS]])</f>
        <v>0</v>
      </c>
      <c r="F12" s="23" t="n">
        <v>250</v>
      </c>
      <c r="G12" s="1" t="n">
        <v>86</v>
      </c>
      <c r="H12" s="1" t="n">
        <v>9</v>
      </c>
      <c r="I12" s="1" t="n">
        <f aca="false">(haier26[[#This Row],["J" PRECIO VENTA ]]/haier26[[#This Row],[BARRAS]])</f>
        <v>27.7777777777778</v>
      </c>
      <c r="J12" s="1" t="n">
        <f aca="false">(haier26[[#This Row],["J"PRECIO COMPRA ]]/haier26[[#This Row],[BARRAS]])</f>
        <v>9.55555555555556</v>
      </c>
      <c r="K12" s="1" t="n">
        <f aca="false">SUMIF(entradas26[CODIGO],haier26[[#This Row],[CODIGO ]],entradas26[[CAN JUEGOS ]])</f>
        <v>20</v>
      </c>
      <c r="L12" s="1" t="n">
        <f aca="false">SUMIF(entradas26[CODIGO],haier26[[#This Row],[CODIGO ]],entradas26[CAN BARRAS])</f>
        <v>0</v>
      </c>
      <c r="M12" s="1" t="n">
        <f aca="false">SUMIF(salidas26[[CODIGO ]],haier26[[#This Row],[CODIGO ]],salidas26[[CANT JUEGOS ]])</f>
        <v>2</v>
      </c>
      <c r="N12" s="1" t="n">
        <f aca="false">SUMIF(salidas26[[CODIGO ]],haier26[[#This Row],[CODIGO ]],salidas26[CANT BARRAS])</f>
        <v>0</v>
      </c>
      <c r="O12" s="1" t="n">
        <f aca="false">(haier26[[#This Row],["J"PRECIO COMPRA ]]*haier26[[#This Row],[STOCK JUEGOS]])</f>
        <v>2150</v>
      </c>
      <c r="P12" s="1" t="n">
        <f aca="false">(haier26[[#This Row],["J" PRECIO VENTA ]]*haier26[[#This Row],[STOCK JUEGOS]])</f>
        <v>6250</v>
      </c>
      <c r="Q12" s="1" t="n">
        <f aca="false">(haier26[[#This Row],["B"PRECIO COMPRA]]*haier26[[#This Row],[STOCK BARRAS]])</f>
        <v>0</v>
      </c>
      <c r="R12" s="1" t="n">
        <f aca="false">(haier26[[#This Row],["B"PRECIO VENTA ]]*haier26[[#This Row],[STOCK BARRAS]])</f>
        <v>0</v>
      </c>
      <c r="S12" s="18" t="n">
        <v>7</v>
      </c>
      <c r="T12" s="18"/>
      <c r="U12" s="1" t="n">
        <v>4.5</v>
      </c>
      <c r="V12" s="1" t="s">
        <v>286</v>
      </c>
    </row>
    <row r="13" customFormat="false" ht="15" hidden="false" customHeight="false" outlineLevel="0" collapsed="false">
      <c r="A13" s="1" t="n">
        <v>9</v>
      </c>
      <c r="B13" s="1" t="n">
        <v>3021</v>
      </c>
      <c r="C13" s="1" t="s">
        <v>287</v>
      </c>
      <c r="D13" s="1" t="n">
        <f aca="false">(haier26[[#This Row],[CANTIDAD INICIAL JUEGO ]]+haier26[[#This Row],[ENTRADAS JUEGOS ]]-haier26[[#This Row],[SALIDAS JUEGOS]])</f>
        <v>0</v>
      </c>
      <c r="E13" s="1" t="n">
        <f aca="false">(haier26[[#This Row],[CANTIDAD INICIAL BARRAS]]+haier26[[#This Row],[ENTRADAS BARRAS]]-haier26[[#This Row],[SALIDA BARRAS]])</f>
        <v>0</v>
      </c>
      <c r="F13" s="23" t="n">
        <v>250</v>
      </c>
      <c r="G13" s="1" t="n">
        <v>210</v>
      </c>
      <c r="H13" s="1" t="n">
        <v>12</v>
      </c>
      <c r="I13" s="1" t="n">
        <f aca="false">(haier26[[#This Row],["J" PRECIO VENTA ]]/haier26[[#This Row],[BARRAS]])</f>
        <v>20.8333333333333</v>
      </c>
      <c r="J13" s="1" t="n">
        <f aca="false">(haier26[[#This Row],["J"PRECIO COMPRA ]]/haier26[[#This Row],[BARRAS]])</f>
        <v>17.5</v>
      </c>
      <c r="K13" s="1" t="n">
        <f aca="false">SUMIF(entradas26[CODIGO],haier26[[#This Row],[CODIGO ]],entradas26[[CAN JUEGOS ]])</f>
        <v>0</v>
      </c>
      <c r="L13" s="1" t="n">
        <f aca="false">SUMIF(entradas26[CODIGO],haier26[[#This Row],[CODIGO ]],entradas26[CAN BARRAS])</f>
        <v>0</v>
      </c>
      <c r="M13" s="1" t="n">
        <f aca="false">SUMIF(salidas26[[CODIGO ]],haier26[[#This Row],[CODIGO ]],salidas26[[CANT JUEGOS ]])</f>
        <v>0</v>
      </c>
      <c r="N13" s="1" t="n">
        <f aca="false">SUMIF(salidas26[[CODIGO ]],haier26[[#This Row],[CODIGO ]],salidas26[CANT BARRAS])</f>
        <v>0</v>
      </c>
      <c r="O13" s="1" t="n">
        <f aca="false">(haier26[[#This Row],["J"PRECIO COMPRA ]]*haier26[[#This Row],[STOCK JUEGOS]])</f>
        <v>0</v>
      </c>
      <c r="P13" s="1" t="n">
        <f aca="false">(haier26[[#This Row],["J" PRECIO VENTA ]]*haier26[[#This Row],[STOCK JUEGOS]])</f>
        <v>0</v>
      </c>
      <c r="Q13" s="1" t="n">
        <f aca="false">(haier26[[#This Row],["B"PRECIO COMPRA]]*haier26[[#This Row],[STOCK BARRAS]])</f>
        <v>0</v>
      </c>
      <c r="R13" s="1" t="n">
        <f aca="false">(haier26[[#This Row],["B"PRECIO VENTA ]]*haier26[[#This Row],[STOCK BARRAS]])</f>
        <v>0</v>
      </c>
      <c r="S13" s="18" t="n">
        <v>0</v>
      </c>
      <c r="T13" s="18" t="n">
        <v>0</v>
      </c>
    </row>
    <row r="14" customFormat="false" ht="15" hidden="false" customHeight="false" outlineLevel="0" collapsed="false">
      <c r="A14" s="1" t="n">
        <v>10</v>
      </c>
      <c r="B14" s="1" t="n">
        <v>3024</v>
      </c>
      <c r="C14" s="1" t="s">
        <v>288</v>
      </c>
      <c r="D14" s="1" t="n">
        <f aca="false">(haier26[[#This Row],[CANTIDAD INICIAL JUEGO ]]+haier26[[#This Row],[ENTRADAS JUEGOS ]]-haier26[[#This Row],[SALIDAS JUEGOS]])</f>
        <v>0</v>
      </c>
      <c r="E14" s="1" t="n">
        <f aca="false">(haier26[[#This Row],[CANTIDAD INICIAL BARRAS]]+haier26[[#This Row],[ENTRADAS BARRAS]]-haier26[[#This Row],[SALIDA BARRAS]])</f>
        <v>0</v>
      </c>
      <c r="F14" s="23" t="n">
        <v>280</v>
      </c>
      <c r="G14" s="1" t="n">
        <v>120</v>
      </c>
      <c r="H14" s="1" t="n">
        <v>10</v>
      </c>
      <c r="I14" s="1" t="n">
        <f aca="false">(haier26[[#This Row],["J" PRECIO VENTA ]]/haier26[[#This Row],[BARRAS]])</f>
        <v>28</v>
      </c>
      <c r="J14" s="1" t="n">
        <f aca="false">(haier26[[#This Row],["J"PRECIO COMPRA ]]/haier26[[#This Row],[BARRAS]])</f>
        <v>12</v>
      </c>
      <c r="K14" s="1" t="n">
        <f aca="false">SUMIF(entradas26[CODIGO],haier26[[#This Row],[CODIGO ]],entradas26[[CAN JUEGOS ]])</f>
        <v>0</v>
      </c>
      <c r="L14" s="1" t="n">
        <f aca="false">SUMIF(entradas26[CODIGO],haier26[[#This Row],[CODIGO ]],entradas26[CAN BARRAS])</f>
        <v>0</v>
      </c>
      <c r="M14" s="1" t="n">
        <f aca="false">SUMIF(salidas26[[CODIGO ]],haier26[[#This Row],[CODIGO ]],salidas26[[CANT JUEGOS ]])</f>
        <v>0</v>
      </c>
      <c r="N14" s="1" t="n">
        <f aca="false">SUMIF(salidas26[[CODIGO ]],haier26[[#This Row],[CODIGO ]],salidas26[CANT BARRAS])</f>
        <v>0</v>
      </c>
      <c r="O14" s="1" t="n">
        <f aca="false">(haier26[[#This Row],["J"PRECIO COMPRA ]]*haier26[[#This Row],[STOCK JUEGOS]])</f>
        <v>0</v>
      </c>
      <c r="P14" s="1" t="n">
        <f aca="false">(haier26[[#This Row],["J" PRECIO VENTA ]]*haier26[[#This Row],[STOCK JUEGOS]])</f>
        <v>0</v>
      </c>
      <c r="Q14" s="1" t="n">
        <f aca="false">(haier26[[#This Row],["B"PRECIO COMPRA]]*haier26[[#This Row],[STOCK BARRAS]])</f>
        <v>0</v>
      </c>
      <c r="R14" s="1" t="n">
        <f aca="false">(haier26[[#This Row],["B"PRECIO VENTA ]]*haier26[[#This Row],[STOCK BARRAS]])</f>
        <v>0</v>
      </c>
      <c r="S14" s="18" t="n">
        <v>0</v>
      </c>
      <c r="T14" s="18" t="n">
        <v>0</v>
      </c>
    </row>
    <row r="15" customFormat="false" ht="15" hidden="false" customHeight="false" outlineLevel="0" collapsed="false">
      <c r="A15" s="1" t="n">
        <v>11</v>
      </c>
      <c r="B15" s="1" t="n">
        <v>3027</v>
      </c>
      <c r="C15" s="15" t="s">
        <v>289</v>
      </c>
      <c r="D15" s="1" t="n">
        <f aca="false">(haier26[[#This Row],[CANTIDAD INICIAL JUEGO ]]+haier26[[#This Row],[ENTRADAS JUEGOS ]]-haier26[[#This Row],[SALIDAS JUEGOS]])</f>
        <v>8</v>
      </c>
      <c r="E15" s="1" t="n">
        <f aca="false">(haier26[[#This Row],[CANTIDAD INICIAL BARRAS]]+haier26[[#This Row],[ENTRADAS BARRAS]]-haier26[[#This Row],[SALIDA BARRAS]])</f>
        <v>8</v>
      </c>
      <c r="F15" s="23" t="n">
        <v>280</v>
      </c>
      <c r="G15" s="1" t="n">
        <v>84</v>
      </c>
      <c r="H15" s="1" t="n">
        <v>9</v>
      </c>
      <c r="I15" s="1" t="n">
        <f aca="false">(haier26[[#This Row],["J" PRECIO VENTA ]]/haier26[[#This Row],[BARRAS]])</f>
        <v>31.1111111111111</v>
      </c>
      <c r="J15" s="1" t="n">
        <f aca="false">(haier26[[#This Row],["J"PRECIO COMPRA ]]/haier26[[#This Row],[BARRAS]])</f>
        <v>9.33333333333333</v>
      </c>
      <c r="K15" s="1" t="n">
        <f aca="false">SUMIF(entradas26[CODIGO],haier26[[#This Row],[CODIGO ]],entradas26[[CAN JUEGOS ]])</f>
        <v>0</v>
      </c>
      <c r="L15" s="1" t="n">
        <f aca="false">SUMIF(entradas26[CODIGO],haier26[[#This Row],[CODIGO ]],entradas26[CAN BARRAS])</f>
        <v>0</v>
      </c>
      <c r="M15" s="1" t="n">
        <f aca="false">SUMIF(salidas26[[CODIGO ]],haier26[[#This Row],[CODIGO ]],salidas26[[CANT JUEGOS ]])</f>
        <v>1</v>
      </c>
      <c r="N15" s="1" t="n">
        <f aca="false">SUMIF(salidas26[[CODIGO ]],haier26[[#This Row],[CODIGO ]],salidas26[CANT BARRAS])</f>
        <v>0</v>
      </c>
      <c r="O15" s="1" t="n">
        <f aca="false">(haier26[[#This Row],["J"PRECIO COMPRA ]]*haier26[[#This Row],[STOCK JUEGOS]])</f>
        <v>672</v>
      </c>
      <c r="P15" s="1" t="n">
        <f aca="false">(haier26[[#This Row],["J" PRECIO VENTA ]]*haier26[[#This Row],[STOCK JUEGOS]])</f>
        <v>2240</v>
      </c>
      <c r="Q15" s="1" t="n">
        <f aca="false">(haier26[[#This Row],["B"PRECIO COMPRA]]*haier26[[#This Row],[STOCK BARRAS]])</f>
        <v>74.6666666666667</v>
      </c>
      <c r="R15" s="1" t="n">
        <f aca="false">(haier26[[#This Row],["B"PRECIO VENTA ]]*haier26[[#This Row],[STOCK BARRAS]])</f>
        <v>248.888888888889</v>
      </c>
      <c r="S15" s="18" t="n">
        <v>9</v>
      </c>
      <c r="T15" s="18" t="n">
        <v>8</v>
      </c>
    </row>
    <row r="16" customFormat="false" ht="15" hidden="false" customHeight="false" outlineLevel="0" collapsed="false">
      <c r="A16" s="1" t="n">
        <v>12</v>
      </c>
      <c r="B16" s="1" t="n">
        <v>3028</v>
      </c>
      <c r="C16" s="15" t="s">
        <v>290</v>
      </c>
      <c r="D16" s="1" t="n">
        <f aca="false">(haier26[[#This Row],[CANTIDAD INICIAL JUEGO ]]+haier26[[#This Row],[ENTRADAS JUEGOS ]]-haier26[[#This Row],[SALIDAS JUEGOS]])</f>
        <v>7</v>
      </c>
      <c r="E16" s="1" t="n">
        <f aca="false">(haier26[[#This Row],[CANTIDAD INICIAL BARRAS]]+haier26[[#This Row],[ENTRADAS BARRAS]]-haier26[[#This Row],[SALIDA BARRAS]])</f>
        <v>0</v>
      </c>
      <c r="F16" s="23" t="n">
        <v>350</v>
      </c>
      <c r="G16" s="1" t="n">
        <v>206</v>
      </c>
      <c r="H16" s="1" t="n">
        <v>14</v>
      </c>
      <c r="I16" s="1" t="n">
        <f aca="false">(haier26[[#This Row],["J" PRECIO VENTA ]]/haier26[[#This Row],[BARRAS]])</f>
        <v>25</v>
      </c>
      <c r="J16" s="1" t="n">
        <f aca="false">(haier26[[#This Row],["J"PRECIO COMPRA ]]/haier26[[#This Row],[BARRAS]])</f>
        <v>14.7142857142857</v>
      </c>
      <c r="K16" s="1" t="n">
        <f aca="false">SUMIF(entradas26[CODIGO],haier26[[#This Row],[CODIGO ]],entradas26[[CAN JUEGOS ]])</f>
        <v>0</v>
      </c>
      <c r="L16" s="1" t="n">
        <f aca="false">SUMIF(entradas26[CODIGO],haier26[[#This Row],[CODIGO ]],entradas26[CAN BARRAS])</f>
        <v>0</v>
      </c>
      <c r="M16" s="1" t="n">
        <f aca="false">SUMIF(salidas26[[CODIGO ]],haier26[[#This Row],[CODIGO ]],salidas26[[CANT JUEGOS ]])</f>
        <v>2</v>
      </c>
      <c r="N16" s="1" t="n">
        <f aca="false">SUMIF(salidas26[[CODIGO ]],haier26[[#This Row],[CODIGO ]],salidas26[CANT BARRAS])</f>
        <v>0</v>
      </c>
      <c r="O16" s="1" t="n">
        <f aca="false">(haier26[[#This Row],["J"PRECIO COMPRA ]]*haier26[[#This Row],[STOCK JUEGOS]])</f>
        <v>1442</v>
      </c>
      <c r="P16" s="1" t="n">
        <f aca="false">(haier26[[#This Row],["J" PRECIO VENTA ]]*haier26[[#This Row],[STOCK JUEGOS]])</f>
        <v>2450</v>
      </c>
      <c r="Q16" s="1" t="n">
        <f aca="false">(haier26[[#This Row],["B"PRECIO COMPRA]]*haier26[[#This Row],[STOCK BARRAS]])</f>
        <v>0</v>
      </c>
      <c r="R16" s="1" t="n">
        <f aca="false">(haier26[[#This Row],["B"PRECIO VENTA ]]*haier26[[#This Row],[STOCK BARRAS]])</f>
        <v>0</v>
      </c>
      <c r="S16" s="18" t="n">
        <v>9</v>
      </c>
      <c r="T16" s="18"/>
    </row>
    <row r="17" customFormat="false" ht="15" hidden="false" customHeight="false" outlineLevel="0" collapsed="false">
      <c r="A17" s="1" t="n">
        <v>13</v>
      </c>
      <c r="B17" s="1" t="n">
        <v>3030</v>
      </c>
      <c r="C17" s="1" t="s">
        <v>291</v>
      </c>
      <c r="D17" s="1" t="n">
        <f aca="false">(haier26[[#This Row],[CANTIDAD INICIAL JUEGO ]]+haier26[[#This Row],[ENTRADAS JUEGOS ]]-haier26[[#This Row],[SALIDAS JUEGOS]])</f>
        <v>18</v>
      </c>
      <c r="E17" s="1" t="n">
        <f aca="false">(haier26[[#This Row],[CANTIDAD INICIAL BARRAS]]+haier26[[#This Row],[ENTRADAS BARRAS]]-haier26[[#This Row],[SALIDA BARRAS]])</f>
        <v>0</v>
      </c>
      <c r="F17" s="23" t="n">
        <v>320</v>
      </c>
      <c r="G17" s="36" t="n">
        <v>259</v>
      </c>
      <c r="H17" s="1" t="n">
        <v>14</v>
      </c>
      <c r="I17" s="1" t="n">
        <f aca="false">(haier26[[#This Row],["J" PRECIO VENTA ]]/haier26[[#This Row],[BARRAS]])</f>
        <v>22.8571428571429</v>
      </c>
      <c r="J17" s="1" t="n">
        <f aca="false">(haier26[[#This Row],["J"PRECIO COMPRA ]]/haier26[[#This Row],[BARRAS]])</f>
        <v>18.5</v>
      </c>
      <c r="K17" s="1" t="n">
        <f aca="false">SUMIF(entradas26[CODIGO],haier26[[#This Row],[CODIGO ]],entradas26[[CAN JUEGOS ]])</f>
        <v>0</v>
      </c>
      <c r="L17" s="1" t="n">
        <f aca="false">SUMIF(entradas26[CODIGO],haier26[[#This Row],[CODIGO ]],entradas26[CAN BARRAS])</f>
        <v>0</v>
      </c>
      <c r="M17" s="1" t="n">
        <f aca="false">SUMIF(salidas26[[CODIGO ]],haier26[[#This Row],[CODIGO ]],salidas26[[CANT JUEGOS ]])</f>
        <v>1</v>
      </c>
      <c r="N17" s="1" t="n">
        <f aca="false">SUMIF(salidas26[[CODIGO ]],haier26[[#This Row],[CODIGO ]],salidas26[CANT BARRAS])</f>
        <v>0</v>
      </c>
      <c r="O17" s="1" t="n">
        <f aca="false">(haier26[[#This Row],["J"PRECIO COMPRA ]]*haier26[[#This Row],[STOCK JUEGOS]])</f>
        <v>4662</v>
      </c>
      <c r="P17" s="1" t="n">
        <f aca="false">(haier26[[#This Row],["J" PRECIO VENTA ]]*haier26[[#This Row],[STOCK JUEGOS]])</f>
        <v>5760</v>
      </c>
      <c r="Q17" s="1" t="n">
        <f aca="false">(haier26[[#This Row],["B"PRECIO COMPRA]]*haier26[[#This Row],[STOCK BARRAS]])</f>
        <v>0</v>
      </c>
      <c r="R17" s="1" t="n">
        <f aca="false">(haier26[[#This Row],["B"PRECIO VENTA ]]*haier26[[#This Row],[STOCK BARRAS]])</f>
        <v>0</v>
      </c>
      <c r="S17" s="18" t="n">
        <v>19</v>
      </c>
      <c r="T17" s="18"/>
    </row>
    <row r="18" customFormat="false" ht="15" hidden="false" customHeight="false" outlineLevel="0" collapsed="false">
      <c r="A18" s="1" t="n">
        <v>14</v>
      </c>
      <c r="B18" s="1" t="n">
        <v>3033</v>
      </c>
      <c r="C18" s="1" t="s">
        <v>292</v>
      </c>
      <c r="D18" s="1" t="n">
        <f aca="false">(haier26[[#This Row],[CANTIDAD INICIAL JUEGO ]]+haier26[[#This Row],[ENTRADAS JUEGOS ]]-haier26[[#This Row],[SALIDAS JUEGOS]])</f>
        <v>3</v>
      </c>
      <c r="E18" s="1" t="n">
        <f aca="false">(haier26[[#This Row],[CANTIDAD INICIAL BARRAS]]+haier26[[#This Row],[ENTRADAS BARRAS]]-haier26[[#This Row],[SALIDA BARRAS]])</f>
        <v>7</v>
      </c>
      <c r="F18" s="23" t="n">
        <v>320</v>
      </c>
      <c r="G18" s="34" t="n">
        <v>124</v>
      </c>
      <c r="H18" s="1" t="n">
        <v>14</v>
      </c>
      <c r="I18" s="1" t="n">
        <f aca="false">(haier26[[#This Row],["J" PRECIO VENTA ]]/haier26[[#This Row],[BARRAS]])</f>
        <v>22.8571428571429</v>
      </c>
      <c r="J18" s="1" t="n">
        <f aca="false">(haier26[[#This Row],["J"PRECIO COMPRA ]]/haier26[[#This Row],[BARRAS]])</f>
        <v>8.85714285714286</v>
      </c>
      <c r="K18" s="1" t="n">
        <f aca="false">SUMIF(entradas26[CODIGO],haier26[[#This Row],[CODIGO ]],entradas26[[CAN JUEGOS ]])</f>
        <v>0</v>
      </c>
      <c r="L18" s="1" t="n">
        <f aca="false">SUMIF(entradas26[CODIGO],haier26[[#This Row],[CODIGO ]],entradas26[CAN BARRAS])</f>
        <v>0</v>
      </c>
      <c r="M18" s="1" t="n">
        <f aca="false">SUMIF(salidas26[[CODIGO ]],haier26[[#This Row],[CODIGO ]],salidas26[[CANT JUEGOS ]])</f>
        <v>4</v>
      </c>
      <c r="N18" s="1" t="n">
        <f aca="false">SUMIF(salidas26[[CODIGO ]],haier26[[#This Row],[CODIGO ]],salidas26[CANT BARRAS])</f>
        <v>0</v>
      </c>
      <c r="O18" s="1" t="n">
        <f aca="false">(haier26[[#This Row],["J"PRECIO COMPRA ]]*haier26[[#This Row],[STOCK JUEGOS]])</f>
        <v>372</v>
      </c>
      <c r="P18" s="1" t="n">
        <f aca="false">(haier26[[#This Row],["J" PRECIO VENTA ]]*haier26[[#This Row],[STOCK JUEGOS]])</f>
        <v>960</v>
      </c>
      <c r="Q18" s="1" t="n">
        <f aca="false">(haier26[[#This Row],["B"PRECIO COMPRA]]*haier26[[#This Row],[STOCK BARRAS]])</f>
        <v>62</v>
      </c>
      <c r="R18" s="1" t="n">
        <f aca="false">(haier26[[#This Row],["B"PRECIO VENTA ]]*haier26[[#This Row],[STOCK BARRAS]])</f>
        <v>160</v>
      </c>
      <c r="S18" s="18" t="n">
        <v>7</v>
      </c>
      <c r="T18" s="18" t="n">
        <v>7</v>
      </c>
    </row>
    <row r="19" customFormat="false" ht="15" hidden="false" customHeight="false" outlineLevel="0" collapsed="false">
      <c r="A19" s="1" t="n">
        <v>15</v>
      </c>
      <c r="B19" s="1" t="n">
        <v>3036</v>
      </c>
      <c r="C19" s="1" t="s">
        <v>293</v>
      </c>
      <c r="D19" s="1" t="n">
        <f aca="false">(haier26[[#This Row],[CANTIDAD INICIAL JUEGO ]]+haier26[[#This Row],[ENTRADAS JUEGOS ]]-haier26[[#This Row],[SALIDAS JUEGOS]])</f>
        <v>13</v>
      </c>
      <c r="E19" s="1" t="n">
        <f aca="false">(haier26[[#This Row],[CANTIDAD INICIAL BARRAS]]+haier26[[#This Row],[ENTRADAS BARRAS]]-haier26[[#This Row],[SALIDA BARRAS]])</f>
        <v>8</v>
      </c>
      <c r="F19" s="23" t="n">
        <v>350</v>
      </c>
      <c r="G19" s="1" t="n">
        <v>250</v>
      </c>
      <c r="H19" s="1" t="n">
        <v>12</v>
      </c>
      <c r="I19" s="1" t="n">
        <f aca="false">(haier26[[#This Row],["J" PRECIO VENTA ]]/haier26[[#This Row],[BARRAS]])</f>
        <v>29.1666666666667</v>
      </c>
      <c r="J19" s="1" t="n">
        <f aca="false">(haier26[[#This Row],["J"PRECIO COMPRA ]]/haier26[[#This Row],[BARRAS]])</f>
        <v>20.8333333333333</v>
      </c>
      <c r="K19" s="1" t="n">
        <f aca="false">SUMIF(entradas26[CODIGO],haier26[[#This Row],[CODIGO ]],entradas26[[CAN JUEGOS ]])</f>
        <v>0</v>
      </c>
      <c r="L19" s="1" t="n">
        <f aca="false">SUMIF(entradas26[CODIGO],haier26[[#This Row],[CODIGO ]],entradas26[CAN BARRAS])</f>
        <v>0</v>
      </c>
      <c r="M19" s="1" t="n">
        <f aca="false">SUMIF(salidas26[[CODIGO ]],haier26[[#This Row],[CODIGO ]],salidas26[[CANT JUEGOS ]])</f>
        <v>1</v>
      </c>
      <c r="N19" s="1" t="n">
        <f aca="false">SUMIF(salidas26[[CODIGO ]],haier26[[#This Row],[CODIGO ]],salidas26[CANT BARRAS])</f>
        <v>0</v>
      </c>
      <c r="O19" s="1" t="n">
        <f aca="false">(haier26[[#This Row],["J"PRECIO COMPRA ]]*haier26[[#This Row],[STOCK JUEGOS]])</f>
        <v>3250</v>
      </c>
      <c r="P19" s="1" t="n">
        <f aca="false">(haier26[[#This Row],["J" PRECIO VENTA ]]*haier26[[#This Row],[STOCK JUEGOS]])</f>
        <v>4550</v>
      </c>
      <c r="Q19" s="1" t="n">
        <f aca="false">(haier26[[#This Row],["B"PRECIO COMPRA]]*haier26[[#This Row],[STOCK BARRAS]])</f>
        <v>166.666666666667</v>
      </c>
      <c r="R19" s="1" t="n">
        <f aca="false">(haier26[[#This Row],["B"PRECIO VENTA ]]*haier26[[#This Row],[STOCK BARRAS]])</f>
        <v>233.333333333333</v>
      </c>
      <c r="S19" s="18" t="n">
        <v>14</v>
      </c>
      <c r="T19" s="18" t="n">
        <v>8</v>
      </c>
    </row>
    <row r="20" customFormat="false" ht="15" hidden="false" customHeight="false" outlineLevel="0" collapsed="false">
      <c r="A20" s="1" t="n">
        <v>16</v>
      </c>
      <c r="B20" s="1" t="n">
        <v>3040</v>
      </c>
      <c r="C20" s="15" t="s">
        <v>294</v>
      </c>
      <c r="D20" s="1" t="n">
        <f aca="false">(haier26[[#This Row],[CANTIDAD INICIAL JUEGO ]]+haier26[[#This Row],[ENTRADAS JUEGOS ]]-haier26[[#This Row],[SALIDAS JUEGOS]])</f>
        <v>18</v>
      </c>
      <c r="E20" s="1" t="n">
        <f aca="false">(haier26[[#This Row],[CANTIDAD INICIAL BARRAS]]+haier26[[#This Row],[ENTRADAS BARRAS]]-haier26[[#This Row],[SALIDA BARRAS]])</f>
        <v>0</v>
      </c>
      <c r="F20" s="23" t="n">
        <v>450</v>
      </c>
      <c r="G20" s="1" t="n">
        <v>335</v>
      </c>
      <c r="H20" s="1" t="n">
        <v>16</v>
      </c>
      <c r="I20" s="1" t="n">
        <f aca="false">(haier26[[#This Row],["J" PRECIO VENTA ]]/haier26[[#This Row],[BARRAS]])</f>
        <v>28.125</v>
      </c>
      <c r="J20" s="1" t="n">
        <f aca="false">(haier26[[#This Row],["J"PRECIO COMPRA ]]/haier26[[#This Row],[BARRAS]])</f>
        <v>20.9375</v>
      </c>
      <c r="K20" s="1" t="n">
        <f aca="false">SUMIF(entradas26[CODIGO],haier26[[#This Row],[CODIGO ]],entradas26[[CAN JUEGOS ]])</f>
        <v>0</v>
      </c>
      <c r="L20" s="1" t="n">
        <f aca="false">SUMIF(entradas26[CODIGO],haier26[[#This Row],[CODIGO ]],entradas26[CAN BARRAS])</f>
        <v>0</v>
      </c>
      <c r="M20" s="1" t="n">
        <f aca="false">SUMIF(salidas26[[CODIGO ]],haier26[[#This Row],[CODIGO ]],salidas26[[CANT JUEGOS ]])</f>
        <v>2</v>
      </c>
      <c r="N20" s="1" t="n">
        <f aca="false">SUMIF(salidas26[[CODIGO ]],haier26[[#This Row],[CODIGO ]],salidas26[CANT BARRAS])</f>
        <v>0</v>
      </c>
      <c r="O20" s="1" t="n">
        <f aca="false">(haier26[[#This Row],["J"PRECIO COMPRA ]]*haier26[[#This Row],[STOCK JUEGOS]])</f>
        <v>6030</v>
      </c>
      <c r="P20" s="1" t="n">
        <f aca="false">(haier26[[#This Row],["J" PRECIO VENTA ]]*haier26[[#This Row],[STOCK JUEGOS]])</f>
        <v>8100</v>
      </c>
      <c r="Q20" s="1" t="n">
        <f aca="false">(haier26[[#This Row],["B"PRECIO COMPRA]]*haier26[[#This Row],[STOCK BARRAS]])</f>
        <v>0</v>
      </c>
      <c r="R20" s="1" t="n">
        <f aca="false">(haier26[[#This Row],["B"PRECIO VENTA ]]*haier26[[#This Row],[STOCK BARRAS]])</f>
        <v>0</v>
      </c>
      <c r="S20" s="18" t="n">
        <v>20</v>
      </c>
      <c r="T20" s="18"/>
    </row>
  </sheetData>
  <mergeCells count="1">
    <mergeCell ref="B2:V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4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T20" activeCellId="0" sqref="T20"/>
    </sheetView>
  </sheetViews>
  <sheetFormatPr defaultColWidth="11.4296875" defaultRowHeight="15" customHeight="false" zeroHeight="false" outlineLevelRow="0" outlineLevelCol="0"/>
  <cols>
    <col collapsed="false" customWidth="true" hidden="false" outlineLevel="0" max="2" min="1" style="1" width="5.43"/>
    <col collapsed="false" customWidth="true" hidden="false" outlineLevel="0" max="3" min="3" style="1" width="34.14"/>
    <col collapsed="false" customWidth="true" hidden="false" outlineLevel="0" max="4" min="4" style="1" width="7.72"/>
    <col collapsed="false" customWidth="true" hidden="false" outlineLevel="0" max="5" min="5" style="1" width="7.86"/>
    <col collapsed="false" customWidth="true" hidden="false" outlineLevel="0" max="6" min="6" style="1" width="6.43"/>
    <col collapsed="false" customWidth="true" hidden="false" outlineLevel="0" max="7" min="7" style="1" width="5.86"/>
    <col collapsed="false" customWidth="true" hidden="false" outlineLevel="0" max="8" min="8" style="1" width="5.3"/>
    <col collapsed="false" customWidth="true" hidden="true" outlineLevel="0" max="9" min="9" style="1" width="6.7"/>
    <col collapsed="false" customWidth="true" hidden="true" outlineLevel="0" max="10" min="10" style="1" width="10"/>
    <col collapsed="false" customWidth="true" hidden="true" outlineLevel="0" max="11" min="11" style="1" width="9.71"/>
    <col collapsed="false" customWidth="true" hidden="true" outlineLevel="0" max="16" min="12" style="1" width="8.43"/>
    <col collapsed="false" customWidth="true" hidden="false" outlineLevel="0" max="17" min="17" style="1" width="17.36"/>
    <col collapsed="false" customWidth="true" hidden="false" outlineLevel="0" max="18" min="18" style="1" width="21.63"/>
    <col collapsed="false" customWidth="true" hidden="false" outlineLevel="0" max="19" min="19" style="1" width="26.21"/>
    <col collapsed="false" customWidth="true" hidden="false" outlineLevel="0" max="20" min="20" style="1" width="14.81"/>
    <col collapsed="false" customWidth="true" hidden="false" outlineLevel="0" max="21" min="21" style="1" width="12"/>
    <col collapsed="false" customWidth="true" hidden="false" outlineLevel="0" max="22" min="22" style="1" width="10.29"/>
  </cols>
  <sheetData>
    <row r="1" customFormat="false" ht="19.5" hidden="false" customHeight="true" outlineLevel="0" collapsed="false"/>
    <row r="2" customFormat="false" ht="11.25" hidden="false" customHeight="true" outlineLevel="0" collapsed="false">
      <c r="B2" s="2" t="s">
        <v>295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5" hidden="false" customHeight="fals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19.5" hidden="false" customHeight="true" outlineLevel="0" collapsed="false">
      <c r="B4" s="40" t="s">
        <v>1</v>
      </c>
      <c r="C4" s="40" t="s">
        <v>2</v>
      </c>
      <c r="D4" s="41" t="s">
        <v>3</v>
      </c>
      <c r="E4" s="42" t="s">
        <v>4</v>
      </c>
      <c r="F4" s="43" t="s">
        <v>5</v>
      </c>
      <c r="G4" s="44" t="s">
        <v>6</v>
      </c>
      <c r="H4" s="45" t="s">
        <v>7</v>
      </c>
      <c r="I4" s="46" t="s">
        <v>8</v>
      </c>
      <c r="J4" s="46" t="s">
        <v>9</v>
      </c>
      <c r="K4" s="45" t="s">
        <v>10</v>
      </c>
      <c r="L4" s="45" t="s">
        <v>11</v>
      </c>
      <c r="M4" s="45" t="s">
        <v>12</v>
      </c>
      <c r="N4" s="47" t="s">
        <v>13</v>
      </c>
      <c r="O4" s="45" t="s">
        <v>14</v>
      </c>
      <c r="P4" s="48" t="s">
        <v>15</v>
      </c>
      <c r="Q4" s="45" t="s">
        <v>16</v>
      </c>
      <c r="R4" s="45" t="s">
        <v>17</v>
      </c>
      <c r="S4" s="48" t="s">
        <v>18</v>
      </c>
      <c r="T4" s="49" t="s">
        <v>19</v>
      </c>
      <c r="U4" s="50" t="s">
        <v>20</v>
      </c>
      <c r="V4" s="51" t="s">
        <v>21</v>
      </c>
      <c r="W4" s="15" t="s">
        <v>22</v>
      </c>
    </row>
    <row r="5" customFormat="false" ht="31.1" hidden="false" customHeight="false" outlineLevel="0" collapsed="false">
      <c r="A5" s="1" t="n">
        <v>1</v>
      </c>
      <c r="B5" s="1" t="n">
        <v>4000</v>
      </c>
      <c r="C5" s="52" t="s">
        <v>296</v>
      </c>
      <c r="D5" s="1" t="n">
        <f aca="false">(daewoo26[[#This Row],[CANTIDAD INICIAL JUEGO ]]+daewoo26[[#This Row],[ENTRADAS JUEGOS ]]-daewoo26[[#This Row],[SALIDAS JUEGOS]])</f>
        <v>17</v>
      </c>
      <c r="E5" s="1" t="n">
        <f aca="false">(daewoo26[[#This Row],[CANTIDAD INICIAL BARRAS]]+daewoo26[[#This Row],[ENTRADAS BARRAS]]-daewoo26[[#This Row],[SALIDA BARRAS]])</f>
        <v>0</v>
      </c>
      <c r="F5" s="17" t="n">
        <v>60</v>
      </c>
      <c r="G5" s="1" t="n">
        <v>21</v>
      </c>
      <c r="H5" s="1" t="n">
        <v>2</v>
      </c>
      <c r="I5" s="1" t="n">
        <f aca="false">(daewoo26[[#This Row],["J" PRECIO VENTA ]]/daewoo26[[#This Row],[BARRAS]])</f>
        <v>30</v>
      </c>
      <c r="J5" s="1" t="n">
        <f aca="false">(daewoo26[[#This Row],["J"PRECIO COMPRA ]]/daewoo26[[#This Row],[BARRAS]])</f>
        <v>10.5</v>
      </c>
      <c r="K5" s="1" t="n">
        <f aca="false">SUMIF(entradas26[CODIGO],daewoo26[[#This Row],[CODIGO ]],entradas26[[CAN JUEGOS ]])</f>
        <v>20</v>
      </c>
      <c r="L5" s="1" t="n">
        <f aca="false">SUMIF(entradas26[CODIGO],daewoo26[[#This Row],[CODIGO ]],entradas26[CAN BARRAS])</f>
        <v>0</v>
      </c>
      <c r="M5" s="1" t="n">
        <f aca="false">SUMIF(salidas26[[CODIGO ]],daewoo26[[#This Row],[CODIGO ]],salidas26[[CANT JUEGOS ]])</f>
        <v>21</v>
      </c>
      <c r="N5" s="1" t="n">
        <f aca="false">SUMIF(salidas26[[CODIGO ]],daewoo26[[#This Row],[CODIGO ]],salidas26[CANT BARRAS])</f>
        <v>0</v>
      </c>
      <c r="O5" s="1" t="n">
        <f aca="false">(daewoo26[[#This Row],["J"PRECIO COMPRA ]]*daewoo26[[#This Row],[STOCK JUEGOS]])</f>
        <v>357</v>
      </c>
      <c r="P5" s="1" t="n">
        <f aca="false">(daewoo26[[#This Row],["J" PRECIO VENTA ]]*daewoo26[[#This Row],[STOCK JUEGOS]])</f>
        <v>1020</v>
      </c>
      <c r="Q5" s="1" t="n">
        <f aca="false">(daewoo26[[#This Row],["B"PRECIO COMPRA]]*daewoo26[[#This Row],[STOCK BARRAS]])</f>
        <v>0</v>
      </c>
      <c r="R5" s="1" t="n">
        <f aca="false">(daewoo26[[#This Row],["B"PRECIO VENTA ]]*daewoo26[[#This Row],[STOCK BARRAS]])</f>
        <v>0</v>
      </c>
      <c r="S5" s="18" t="n">
        <v>18</v>
      </c>
      <c r="T5" s="18"/>
      <c r="U5" s="1" t="n">
        <v>1.3</v>
      </c>
      <c r="V5" s="1" t="s">
        <v>297</v>
      </c>
      <c r="W5" s="53"/>
    </row>
    <row r="6" customFormat="false" ht="15" hidden="false" customHeight="false" outlineLevel="0" collapsed="false">
      <c r="A6" s="1" t="n">
        <v>2</v>
      </c>
      <c r="B6" s="1" t="n">
        <v>4002</v>
      </c>
      <c r="C6" s="15" t="s">
        <v>298</v>
      </c>
      <c r="D6" s="1" t="n">
        <f aca="false">(daewoo26[[#This Row],[CANTIDAD INICIAL JUEGO ]]+daewoo26[[#This Row],[ENTRADAS JUEGOS ]]-daewoo26[[#This Row],[SALIDAS JUEGOS]])</f>
        <v>28</v>
      </c>
      <c r="E6" s="1" t="n">
        <f aca="false">(daewoo26[[#This Row],[CANTIDAD INICIAL BARRAS]]+daewoo26[[#This Row],[ENTRADAS BARRAS]]-daewoo26[[#This Row],[SALIDA BARRAS]])</f>
        <v>0</v>
      </c>
      <c r="F6" s="17" t="n">
        <v>60</v>
      </c>
      <c r="G6" s="1" t="n">
        <v>35</v>
      </c>
      <c r="H6" s="1" t="n">
        <v>2</v>
      </c>
      <c r="I6" s="1" t="n">
        <f aca="false">(daewoo26[[#This Row],["J" PRECIO VENTA ]]/daewoo26[[#This Row],[BARRAS]])</f>
        <v>30</v>
      </c>
      <c r="J6" s="1" t="n">
        <f aca="false">(daewoo26[[#This Row],["J"PRECIO COMPRA ]]/daewoo26[[#This Row],[BARRAS]])</f>
        <v>17.5</v>
      </c>
      <c r="K6" s="1" t="n">
        <f aca="false">SUMIF(entradas26[CODIGO],daewoo26[[#This Row],[CODIGO ]],entradas26[[CAN JUEGOS ]])</f>
        <v>20</v>
      </c>
      <c r="L6" s="1" t="n">
        <f aca="false">SUMIF(entradas26[CODIGO],daewoo26[[#This Row],[CODIGO ]],entradas26[CAN BARRAS])</f>
        <v>0</v>
      </c>
      <c r="M6" s="1" t="n">
        <f aca="false">SUMIF(salidas26[[CODIGO ]],daewoo26[[#This Row],[CODIGO ]],salidas26[[CANT JUEGOS ]])</f>
        <v>2</v>
      </c>
      <c r="N6" s="1" t="n">
        <f aca="false">SUMIF(salidas26[[CODIGO ]],daewoo26[[#This Row],[CODIGO ]],salidas26[CANT BARRAS])</f>
        <v>0</v>
      </c>
      <c r="O6" s="1" t="n">
        <f aca="false">(daewoo26[[#This Row],["J"PRECIO COMPRA ]]*daewoo26[[#This Row],[STOCK JUEGOS]])</f>
        <v>980</v>
      </c>
      <c r="P6" s="1" t="n">
        <f aca="false">(daewoo26[[#This Row],["J" PRECIO VENTA ]]*daewoo26[[#This Row],[STOCK JUEGOS]])</f>
        <v>1680</v>
      </c>
      <c r="Q6" s="1" t="n">
        <f aca="false">(daewoo26[[#This Row],["B"PRECIO COMPRA]]*daewoo26[[#This Row],[STOCK BARRAS]])</f>
        <v>0</v>
      </c>
      <c r="R6" s="1" t="n">
        <f aca="false">(daewoo26[[#This Row],["B"PRECIO VENTA ]]*daewoo26[[#This Row],[STOCK BARRAS]])</f>
        <v>0</v>
      </c>
      <c r="S6" s="18" t="n">
        <v>10</v>
      </c>
      <c r="T6" s="18"/>
      <c r="U6" s="1" t="n">
        <v>1.5</v>
      </c>
      <c r="V6" s="1" t="s">
        <v>299</v>
      </c>
      <c r="W6" s="53"/>
    </row>
    <row r="7" customFormat="false" ht="15" hidden="false" customHeight="false" outlineLevel="0" collapsed="false">
      <c r="A7" s="1" t="n">
        <v>3</v>
      </c>
      <c r="B7" s="1" t="n">
        <v>4003</v>
      </c>
      <c r="C7" s="1" t="s">
        <v>300</v>
      </c>
      <c r="D7" s="1" t="n">
        <f aca="false">(daewoo26[[#This Row],[CANTIDAD INICIAL JUEGO ]]+daewoo26[[#This Row],[ENTRADAS JUEGOS ]]-daewoo26[[#This Row],[SALIDAS JUEGOS]])</f>
        <v>16</v>
      </c>
      <c r="E7" s="1" t="n">
        <f aca="false">(daewoo26[[#This Row],[CANTIDAD INICIAL BARRAS]]+daewoo26[[#This Row],[ENTRADAS BARRAS]]-daewoo26[[#This Row],[SALIDA BARRAS]])</f>
        <v>1</v>
      </c>
      <c r="F7" s="54" t="n">
        <v>90</v>
      </c>
      <c r="G7" s="1" t="n">
        <v>35</v>
      </c>
      <c r="H7" s="1" t="n">
        <v>3</v>
      </c>
      <c r="I7" s="1" t="n">
        <f aca="false">(daewoo26[[#This Row],["J" PRECIO VENTA ]]/daewoo26[[#This Row],[BARRAS]])</f>
        <v>30</v>
      </c>
      <c r="J7" s="1" t="n">
        <f aca="false">(daewoo26[[#This Row],["J"PRECIO COMPRA ]]/daewoo26[[#This Row],[BARRAS]])</f>
        <v>11.6666666666667</v>
      </c>
      <c r="K7" s="1" t="n">
        <f aca="false">SUMIF(entradas26[CODIGO],daewoo26[[#This Row],[CODIGO ]],entradas26[[CAN JUEGOS ]])</f>
        <v>0</v>
      </c>
      <c r="L7" s="1" t="n">
        <f aca="false">SUMIF(entradas26[CODIGO],daewoo26[[#This Row],[CODIGO ]],entradas26[CAN BARRAS])</f>
        <v>0</v>
      </c>
      <c r="M7" s="1" t="n">
        <f aca="false">SUMIF(salidas26[[CODIGO ]],daewoo26[[#This Row],[CODIGO ]],salidas26[[CANT JUEGOS ]])</f>
        <v>11</v>
      </c>
      <c r="N7" s="1" t="n">
        <f aca="false">SUMIF(salidas26[[CODIGO ]],daewoo26[[#This Row],[CODIGO ]],salidas26[CANT BARRAS])</f>
        <v>1</v>
      </c>
      <c r="O7" s="1" t="n">
        <f aca="false">(daewoo26[[#This Row],["J"PRECIO COMPRA ]]*daewoo26[[#This Row],[STOCK JUEGOS]])</f>
        <v>560</v>
      </c>
      <c r="P7" s="1" t="n">
        <f aca="false">(daewoo26[[#This Row],["J" PRECIO VENTA ]]*daewoo26[[#This Row],[STOCK JUEGOS]])</f>
        <v>1440</v>
      </c>
      <c r="Q7" s="1" t="n">
        <f aca="false">(daewoo26[[#This Row],["B"PRECIO COMPRA]]*daewoo26[[#This Row],[STOCK BARRAS]])</f>
        <v>11.6666666666667</v>
      </c>
      <c r="R7" s="1" t="n">
        <f aca="false">(daewoo26[[#This Row],["B"PRECIO VENTA ]]*daewoo26[[#This Row],[STOCK BARRAS]])</f>
        <v>30</v>
      </c>
      <c r="S7" s="18" t="n">
        <v>27</v>
      </c>
      <c r="T7" s="18" t="n">
        <v>2</v>
      </c>
      <c r="U7" s="1" t="n">
        <v>1.9</v>
      </c>
      <c r="V7" s="1" t="s">
        <v>301</v>
      </c>
      <c r="W7" s="53"/>
    </row>
    <row r="8" customFormat="false" ht="15" hidden="false" customHeight="false" outlineLevel="0" collapsed="false">
      <c r="A8" s="1" t="n">
        <v>4</v>
      </c>
      <c r="B8" s="1" t="n">
        <v>4009</v>
      </c>
      <c r="C8" s="1" t="s">
        <v>302</v>
      </c>
      <c r="D8" s="1" t="n">
        <f aca="false">(daewoo26[[#This Row],[CANTIDAD INICIAL JUEGO ]]+daewoo26[[#This Row],[ENTRADAS JUEGOS ]]-daewoo26[[#This Row],[SALIDAS JUEGOS]])</f>
        <v>30</v>
      </c>
      <c r="E8" s="1" t="n">
        <f aca="false">(daewoo26[[#This Row],[CANTIDAD INICIAL BARRAS]]+daewoo26[[#This Row],[ENTRADAS BARRAS]]-daewoo26[[#This Row],[SALIDA BARRAS]])</f>
        <v>3</v>
      </c>
      <c r="F8" s="17" t="n">
        <v>160</v>
      </c>
      <c r="G8" s="34" t="n">
        <v>67</v>
      </c>
      <c r="H8" s="1" t="n">
        <v>8</v>
      </c>
      <c r="I8" s="1" t="n">
        <f aca="false">(daewoo26[[#This Row],["J" PRECIO VENTA ]]/daewoo26[[#This Row],[BARRAS]])</f>
        <v>20</v>
      </c>
      <c r="J8" s="1" t="n">
        <f aca="false">(daewoo26[[#This Row],["J"PRECIO COMPRA ]]/daewoo26[[#This Row],[BARRAS]])</f>
        <v>8.375</v>
      </c>
      <c r="K8" s="1" t="n">
        <f aca="false">SUMIF(entradas26[CODIGO],daewoo26[[#This Row],[CODIGO ]],entradas26[[CAN JUEGOS ]])</f>
        <v>20</v>
      </c>
      <c r="L8" s="1" t="n">
        <f aca="false">SUMIF(entradas26[CODIGO],daewoo26[[#This Row],[CODIGO ]],entradas26[CAN BARRAS])</f>
        <v>0</v>
      </c>
      <c r="M8" s="1" t="n">
        <f aca="false">SUMIF(salidas26[[CODIGO ]],daewoo26[[#This Row],[CODIGO ]],salidas26[[CANT JUEGOS ]])</f>
        <v>7</v>
      </c>
      <c r="N8" s="1" t="n">
        <f aca="false">SUMIF(salidas26[[CODIGO ]],daewoo26[[#This Row],[CODIGO ]],salidas26[CANT BARRAS])</f>
        <v>0</v>
      </c>
      <c r="O8" s="1" t="n">
        <f aca="false">(daewoo26[[#This Row],["J"PRECIO COMPRA ]]*daewoo26[[#This Row],[STOCK JUEGOS]])</f>
        <v>2010</v>
      </c>
      <c r="P8" s="1" t="n">
        <f aca="false">(daewoo26[[#This Row],["J" PRECIO VENTA ]]*daewoo26[[#This Row],[STOCK JUEGOS]])</f>
        <v>4800</v>
      </c>
      <c r="Q8" s="1" t="n">
        <f aca="false">(daewoo26[[#This Row],["B"PRECIO COMPRA]]*daewoo26[[#This Row],[STOCK BARRAS]])</f>
        <v>25.125</v>
      </c>
      <c r="R8" s="1" t="n">
        <f aca="false">(daewoo26[[#This Row],["B"PRECIO VENTA ]]*daewoo26[[#This Row],[STOCK BARRAS]])</f>
        <v>60</v>
      </c>
      <c r="S8" s="18" t="n">
        <v>17</v>
      </c>
      <c r="T8" s="18" t="n">
        <v>3</v>
      </c>
      <c r="U8" s="1" t="n">
        <v>3.5</v>
      </c>
      <c r="V8" s="1" t="s">
        <v>303</v>
      </c>
      <c r="W8" s="53"/>
    </row>
    <row r="9" customFormat="false" ht="15" hidden="false" customHeight="false" outlineLevel="0" collapsed="false">
      <c r="A9" s="1" t="n">
        <v>5</v>
      </c>
      <c r="B9" s="1" t="n">
        <v>4010</v>
      </c>
      <c r="C9" s="15" t="s">
        <v>304</v>
      </c>
      <c r="D9" s="1" t="n">
        <f aca="false">(daewoo26[[#This Row],[CANTIDAD INICIAL JUEGO ]]+daewoo26[[#This Row],[ENTRADAS JUEGOS ]]-daewoo26[[#This Row],[SALIDAS JUEGOS]])</f>
        <v>12</v>
      </c>
      <c r="E9" s="1" t="n">
        <f aca="false">(daewoo26[[#This Row],[CANTIDAD INICIAL BARRAS]]+daewoo26[[#This Row],[ENTRADAS BARRAS]]-daewoo26[[#This Row],[SALIDA BARRAS]])</f>
        <v>1</v>
      </c>
      <c r="F9" s="17" t="n">
        <v>160</v>
      </c>
      <c r="G9" s="1" t="n">
        <v>44</v>
      </c>
      <c r="H9" s="1" t="n">
        <v>3</v>
      </c>
      <c r="I9" s="1" t="n">
        <f aca="false">(daewoo26[[#This Row],["J" PRECIO VENTA ]]/daewoo26[[#This Row],[BARRAS]])</f>
        <v>53.3333333333333</v>
      </c>
      <c r="J9" s="1" t="n">
        <f aca="false">(daewoo26[[#This Row],["J"PRECIO COMPRA ]]/daewoo26[[#This Row],[BARRAS]])</f>
        <v>14.6666666666667</v>
      </c>
      <c r="K9" s="1" t="n">
        <f aca="false">SUMIF(entradas26[CODIGO],daewoo26[[#This Row],[CODIGO ]],entradas26[[CAN JUEGOS ]])</f>
        <v>0</v>
      </c>
      <c r="L9" s="1" t="n">
        <f aca="false">SUMIF(entradas26[CODIGO],daewoo26[[#This Row],[CODIGO ]],entradas26[CAN BARRAS])</f>
        <v>3</v>
      </c>
      <c r="M9" s="1" t="n">
        <f aca="false">SUMIF(salidas26[[CODIGO ]],daewoo26[[#This Row],[CODIGO ]],salidas26[[CANT JUEGOS ]])</f>
        <v>6</v>
      </c>
      <c r="N9" s="1" t="n">
        <f aca="false">SUMIF(salidas26[[CODIGO ]],daewoo26[[#This Row],[CODIGO ]],salidas26[CANT BARRAS])</f>
        <v>3</v>
      </c>
      <c r="O9" s="1" t="n">
        <f aca="false">(daewoo26[[#This Row],["J"PRECIO COMPRA ]]*daewoo26[[#This Row],[STOCK JUEGOS]])</f>
        <v>528</v>
      </c>
      <c r="P9" s="1" t="n">
        <f aca="false">(daewoo26[[#This Row],["J" PRECIO VENTA ]]*daewoo26[[#This Row],[STOCK JUEGOS]])</f>
        <v>1920</v>
      </c>
      <c r="Q9" s="1" t="n">
        <f aca="false">(daewoo26[[#This Row],["B"PRECIO COMPRA]]*daewoo26[[#This Row],[STOCK BARRAS]])</f>
        <v>14.6666666666667</v>
      </c>
      <c r="R9" s="1" t="n">
        <f aca="false">(daewoo26[[#This Row],["B"PRECIO VENTA ]]*daewoo26[[#This Row],[STOCK BARRAS]])</f>
        <v>53.3333333333333</v>
      </c>
      <c r="S9" s="28" t="n">
        <v>18</v>
      </c>
      <c r="T9" s="28" t="n">
        <v>1</v>
      </c>
      <c r="U9" s="1" t="n">
        <v>1.75</v>
      </c>
      <c r="V9" s="1" t="s">
        <v>305</v>
      </c>
      <c r="W9" s="53" t="s">
        <v>306</v>
      </c>
    </row>
    <row r="10" customFormat="false" ht="15" hidden="false" customHeight="false" outlineLevel="0" collapsed="false">
      <c r="A10" s="1" t="n">
        <v>6</v>
      </c>
      <c r="B10" s="1" t="n">
        <v>4011</v>
      </c>
      <c r="C10" s="15" t="s">
        <v>307</v>
      </c>
      <c r="D10" s="1" t="n">
        <f aca="false">(daewoo26[[#This Row],[CANTIDAD INICIAL JUEGO ]]+daewoo26[[#This Row],[ENTRADAS JUEGOS ]]-daewoo26[[#This Row],[SALIDAS JUEGOS]])</f>
        <v>9</v>
      </c>
      <c r="E10" s="1" t="n">
        <f aca="false">(daewoo26[[#This Row],[CANTIDAD INICIAL BARRAS]]+daewoo26[[#This Row],[ENTRADAS BARRAS]]-daewoo26[[#This Row],[SALIDA BARRAS]])</f>
        <v>0</v>
      </c>
      <c r="F10" s="17" t="n">
        <v>160</v>
      </c>
      <c r="G10" s="1" t="n">
        <v>39</v>
      </c>
      <c r="H10" s="1" t="n">
        <v>3</v>
      </c>
      <c r="I10" s="1" t="n">
        <f aca="false">(daewoo26[[#This Row],["J" PRECIO VENTA ]]/daewoo26[[#This Row],[BARRAS]])</f>
        <v>53.3333333333333</v>
      </c>
      <c r="J10" s="1" t="n">
        <f aca="false">(daewoo26[[#This Row],["J"PRECIO COMPRA ]]/daewoo26[[#This Row],[BARRAS]])</f>
        <v>13</v>
      </c>
      <c r="K10" s="1" t="n">
        <f aca="false">SUMIF(entradas26[CODIGO],daewoo26[[#This Row],[CODIGO ]],entradas26[[CAN JUEGOS ]])</f>
        <v>0</v>
      </c>
      <c r="L10" s="1" t="n">
        <f aca="false">SUMIF(entradas26[CODIGO],daewoo26[[#This Row],[CODIGO ]],entradas26[CAN BARRAS])</f>
        <v>3</v>
      </c>
      <c r="M10" s="1" t="n">
        <f aca="false">SUMIF(salidas26[[CODIGO ]],daewoo26[[#This Row],[CODIGO ]],salidas26[[CANT JUEGOS ]])</f>
        <v>8</v>
      </c>
      <c r="N10" s="1" t="n">
        <f aca="false">SUMIF(salidas26[[CODIGO ]],daewoo26[[#This Row],[CODIGO ]],salidas26[CANT BARRAS])</f>
        <v>4</v>
      </c>
      <c r="O10" s="1" t="n">
        <f aca="false">(daewoo26[[#This Row],["J"PRECIO COMPRA ]]*daewoo26[[#This Row],[STOCK JUEGOS]])</f>
        <v>351</v>
      </c>
      <c r="P10" s="1" t="n">
        <f aca="false">(daewoo26[[#This Row],["J" PRECIO VENTA ]]*daewoo26[[#This Row],[STOCK JUEGOS]])</f>
        <v>1440</v>
      </c>
      <c r="Q10" s="1" t="n">
        <f aca="false">(daewoo26[[#This Row],["B"PRECIO COMPRA]]*daewoo26[[#This Row],[STOCK BARRAS]])</f>
        <v>0</v>
      </c>
      <c r="R10" s="1" t="n">
        <f aca="false">(daewoo26[[#This Row],["B"PRECIO VENTA ]]*daewoo26[[#This Row],[STOCK BARRAS]])</f>
        <v>0</v>
      </c>
      <c r="S10" s="28" t="n">
        <v>17</v>
      </c>
      <c r="T10" s="28" t="n">
        <v>1</v>
      </c>
      <c r="U10" s="1" t="n">
        <v>2.2</v>
      </c>
      <c r="V10" s="1" t="s">
        <v>308</v>
      </c>
      <c r="W10" s="53" t="s">
        <v>309</v>
      </c>
    </row>
    <row r="11" customFormat="false" ht="15" hidden="false" customHeight="false" outlineLevel="0" collapsed="false">
      <c r="A11" s="1" t="n">
        <v>7</v>
      </c>
      <c r="B11" s="1" t="n">
        <v>4015</v>
      </c>
      <c r="C11" s="15" t="s">
        <v>310</v>
      </c>
      <c r="D11" s="1" t="n">
        <f aca="false">(daewoo26[[#This Row],[CANTIDAD INICIAL JUEGO ]]+daewoo26[[#This Row],[ENTRADAS JUEGOS ]]-daewoo26[[#This Row],[SALIDAS JUEGOS]])</f>
        <v>7</v>
      </c>
      <c r="E11" s="1" t="n">
        <f aca="false">(daewoo26[[#This Row],[CANTIDAD INICIAL BARRAS]]+daewoo26[[#This Row],[ENTRADAS BARRAS]]-daewoo26[[#This Row],[SALIDA BARRAS]])</f>
        <v>7</v>
      </c>
      <c r="F11" s="17" t="n">
        <v>200</v>
      </c>
      <c r="G11" s="1" t="n">
        <v>93</v>
      </c>
      <c r="H11" s="1" t="n">
        <v>9</v>
      </c>
      <c r="I11" s="1" t="n">
        <f aca="false">(daewoo26[[#This Row],["J" PRECIO VENTA ]]/daewoo26[[#This Row],[BARRAS]])</f>
        <v>22.2222222222222</v>
      </c>
      <c r="J11" s="1" t="n">
        <f aca="false">(daewoo26[[#This Row],["J"PRECIO COMPRA ]]/daewoo26[[#This Row],[BARRAS]])</f>
        <v>10.3333333333333</v>
      </c>
      <c r="K11" s="1" t="n">
        <f aca="false">SUMIF(entradas26[CODIGO],daewoo26[[#This Row],[CODIGO ]],entradas26[[CAN JUEGOS ]])</f>
        <v>8</v>
      </c>
      <c r="L11" s="1" t="n">
        <f aca="false">SUMIF(entradas26[CODIGO],daewoo26[[#This Row],[CODIGO ]],entradas26[CAN BARRAS])</f>
        <v>0</v>
      </c>
      <c r="M11" s="1" t="n">
        <f aca="false">SUMIF(salidas26[[CODIGO ]],daewoo26[[#This Row],[CODIGO ]],salidas26[[CANT JUEGOS ]])</f>
        <v>4</v>
      </c>
      <c r="N11" s="1" t="n">
        <f aca="false">SUMIF(salidas26[[CODIGO ]],daewoo26[[#This Row],[CODIGO ]],salidas26[CANT BARRAS])</f>
        <v>0</v>
      </c>
      <c r="O11" s="1" t="n">
        <f aca="false">(daewoo26[[#This Row],["J"PRECIO COMPRA ]]*daewoo26[[#This Row],[STOCK JUEGOS]])</f>
        <v>651</v>
      </c>
      <c r="P11" s="1" t="n">
        <f aca="false">(daewoo26[[#This Row],["J" PRECIO VENTA ]]*daewoo26[[#This Row],[STOCK JUEGOS]])</f>
        <v>1400</v>
      </c>
      <c r="Q11" s="1" t="n">
        <f aca="false">(daewoo26[[#This Row],["B"PRECIO COMPRA]]*daewoo26[[#This Row],[STOCK BARRAS]])</f>
        <v>72.3333333333333</v>
      </c>
      <c r="R11" s="1" t="n">
        <f aca="false">(daewoo26[[#This Row],["B"PRECIO VENTA ]]*daewoo26[[#This Row],[STOCK BARRAS]])</f>
        <v>155.555555555556</v>
      </c>
      <c r="S11" s="18" t="n">
        <v>3</v>
      </c>
      <c r="T11" s="18" t="n">
        <v>7</v>
      </c>
      <c r="U11" s="1" t="n">
        <v>4.6</v>
      </c>
      <c r="V11" s="1" t="s">
        <v>311</v>
      </c>
      <c r="W11" s="53"/>
    </row>
    <row r="12" customFormat="false" ht="15" hidden="false" customHeight="false" outlineLevel="0" collapsed="false">
      <c r="A12" s="1" t="n">
        <v>8</v>
      </c>
      <c r="B12" s="1" t="n">
        <v>4018</v>
      </c>
      <c r="C12" s="15" t="s">
        <v>312</v>
      </c>
      <c r="D12" s="1" t="n">
        <f aca="false">(daewoo26[[#This Row],[CANTIDAD INICIAL JUEGO ]]+daewoo26[[#This Row],[ENTRADAS JUEGOS ]]-daewoo26[[#This Row],[SALIDAS JUEGOS]])</f>
        <v>10</v>
      </c>
      <c r="E12" s="1" t="n">
        <f aca="false">(daewoo26[[#This Row],[CANTIDAD INICIAL BARRAS]]+daewoo26[[#This Row],[ENTRADAS BARRAS]]-daewoo26[[#This Row],[SALIDA BARRAS]])</f>
        <v>8</v>
      </c>
      <c r="F12" s="17" t="n">
        <v>200</v>
      </c>
      <c r="G12" s="1" t="n">
        <v>93</v>
      </c>
      <c r="H12" s="1" t="n">
        <v>1</v>
      </c>
      <c r="I12" s="1" t="n">
        <f aca="false">(daewoo26[[#This Row],["J" PRECIO VENTA ]]/daewoo26[[#This Row],[BARRAS]])</f>
        <v>200</v>
      </c>
      <c r="J12" s="1" t="n">
        <f aca="false">(daewoo26[[#This Row],["J"PRECIO COMPRA ]]/daewoo26[[#This Row],[BARRAS]])</f>
        <v>93</v>
      </c>
      <c r="K12" s="1" t="n">
        <f aca="false">SUMIF(entradas26[CODIGO],daewoo26[[#This Row],[CODIGO ]],entradas26[[CAN JUEGOS ]])</f>
        <v>11</v>
      </c>
      <c r="L12" s="1" t="n">
        <f aca="false">SUMIF(entradas26[CODIGO],daewoo26[[#This Row],[CODIGO ]],entradas26[CAN BARRAS])</f>
        <v>9</v>
      </c>
      <c r="M12" s="1" t="n">
        <f aca="false">SUMIF(salidas26[[CODIGO ]],daewoo26[[#This Row],[CODIGO ]],salidas26[[CANT JUEGOS ]])</f>
        <v>1</v>
      </c>
      <c r="N12" s="1" t="n">
        <f aca="false">SUMIF(salidas26[[CODIGO ]],daewoo26[[#This Row],[CODIGO ]],salidas26[CANT BARRAS])</f>
        <v>1</v>
      </c>
      <c r="O12" s="1" t="n">
        <f aca="false">(daewoo26[[#This Row],["J"PRECIO COMPRA ]]*daewoo26[[#This Row],[STOCK JUEGOS]])</f>
        <v>930</v>
      </c>
      <c r="P12" s="1" t="n">
        <f aca="false">(daewoo26[[#This Row],["J" PRECIO VENTA ]]*daewoo26[[#This Row],[STOCK JUEGOS]])</f>
        <v>2000</v>
      </c>
      <c r="Q12" s="1" t="n">
        <f aca="false">(daewoo26[[#This Row],["B"PRECIO COMPRA]]*daewoo26[[#This Row],[STOCK BARRAS]])</f>
        <v>744</v>
      </c>
      <c r="R12" s="1" t="n">
        <f aca="false">(daewoo26[[#This Row],["B"PRECIO VENTA ]]*daewoo26[[#This Row],[STOCK BARRAS]])</f>
        <v>1600</v>
      </c>
      <c r="S12" s="18" t="n">
        <v>0</v>
      </c>
      <c r="T12" s="18" t="n">
        <v>0</v>
      </c>
      <c r="U12" s="1" t="n">
        <v>4.5</v>
      </c>
      <c r="V12" s="1" t="s">
        <v>313</v>
      </c>
      <c r="W12" s="53"/>
    </row>
    <row r="13" customFormat="false" ht="15" hidden="false" customHeight="false" outlineLevel="0" collapsed="false">
      <c r="A13" s="1" t="n">
        <v>9</v>
      </c>
      <c r="B13" s="1" t="n">
        <v>4020</v>
      </c>
      <c r="C13" s="15" t="s">
        <v>314</v>
      </c>
      <c r="D13" s="1" t="n">
        <f aca="false">(daewoo26[[#This Row],[CANTIDAD INICIAL JUEGO ]]+daewoo26[[#This Row],[ENTRADAS JUEGOS ]]-daewoo26[[#This Row],[SALIDAS JUEGOS]])</f>
        <v>17</v>
      </c>
      <c r="E13" s="1" t="n">
        <f aca="false">(daewoo26[[#This Row],[CANTIDAD INICIAL BARRAS]]+daewoo26[[#This Row],[ENTRADAS BARRAS]]-daewoo26[[#This Row],[SALIDA BARRAS]])</f>
        <v>8</v>
      </c>
      <c r="F13" s="17" t="n">
        <v>250</v>
      </c>
      <c r="G13" s="1" t="n">
        <v>140</v>
      </c>
      <c r="H13" s="1" t="n">
        <v>10</v>
      </c>
      <c r="I13" s="1" t="n">
        <f aca="false">(daewoo26[[#This Row],["J" PRECIO VENTA ]]/daewoo26[[#This Row],[BARRAS]])</f>
        <v>25</v>
      </c>
      <c r="J13" s="1" t="n">
        <f aca="false">(daewoo26[[#This Row],["J"PRECIO COMPRA ]]/daewoo26[[#This Row],[BARRAS]])</f>
        <v>14</v>
      </c>
      <c r="K13" s="1" t="n">
        <f aca="false">SUMIF(entradas26[CODIGO],daewoo26[[#This Row],[CODIGO ]],entradas26[[CAN JUEGOS ]])</f>
        <v>0</v>
      </c>
      <c r="L13" s="1" t="n">
        <f aca="false">SUMIF(entradas26[CODIGO],daewoo26[[#This Row],[CODIGO ]],entradas26[CAN BARRAS])</f>
        <v>10</v>
      </c>
      <c r="M13" s="1" t="n">
        <f aca="false">SUMIF(salidas26[[CODIGO ]],daewoo26[[#This Row],[CODIGO ]],salidas26[[CANT JUEGOS ]])</f>
        <v>3</v>
      </c>
      <c r="N13" s="1" t="n">
        <f aca="false">SUMIF(salidas26[[CODIGO ]],daewoo26[[#This Row],[CODIGO ]],salidas26[CANT BARRAS])</f>
        <v>2</v>
      </c>
      <c r="O13" s="1" t="n">
        <f aca="false">(daewoo26[[#This Row],["J"PRECIO COMPRA ]]*daewoo26[[#This Row],[STOCK JUEGOS]])</f>
        <v>2380</v>
      </c>
      <c r="P13" s="1" t="n">
        <f aca="false">(daewoo26[[#This Row],["J" PRECIO VENTA ]]*daewoo26[[#This Row],[STOCK JUEGOS]])</f>
        <v>4250</v>
      </c>
      <c r="Q13" s="1" t="n">
        <f aca="false">(daewoo26[[#This Row],["B"PRECIO COMPRA]]*daewoo26[[#This Row],[STOCK BARRAS]])</f>
        <v>112</v>
      </c>
      <c r="R13" s="1" t="n">
        <f aca="false">(daewoo26[[#This Row],["B"PRECIO VENTA ]]*daewoo26[[#This Row],[STOCK BARRAS]])</f>
        <v>200</v>
      </c>
      <c r="S13" s="18" t="n">
        <v>20</v>
      </c>
      <c r="T13" s="18"/>
      <c r="W13" s="53"/>
    </row>
    <row r="14" s="1" customFormat="true" ht="15" hidden="false" customHeight="false" outlineLevel="0" collapsed="false">
      <c r="A14" s="1" t="n">
        <v>10</v>
      </c>
      <c r="B14" s="1" t="n">
        <v>4021</v>
      </c>
      <c r="C14" s="15" t="s">
        <v>315</v>
      </c>
      <c r="D14" s="1" t="n">
        <f aca="false">(daewoo26[[#This Row],[CANTIDAD INICIAL JUEGO ]]+daewoo26[[#This Row],[ENTRADAS JUEGOS ]]-daewoo26[[#This Row],[SALIDAS JUEGOS]])</f>
        <v>15</v>
      </c>
      <c r="E14" s="1" t="n">
        <f aca="false">(daewoo26[[#This Row],[CANTIDAD INICIAL BARRAS]]+daewoo26[[#This Row],[ENTRADAS BARRAS]]-daewoo26[[#This Row],[SALIDA BARRAS]])</f>
        <v>7</v>
      </c>
      <c r="F14" s="27" t="n">
        <v>200</v>
      </c>
      <c r="G14" s="1" t="n">
        <v>76</v>
      </c>
      <c r="H14" s="1" t="n">
        <v>8</v>
      </c>
      <c r="I14" s="1" t="n">
        <f aca="false">(daewoo26[[#This Row],["J" PRECIO VENTA ]]/daewoo26[[#This Row],[BARRAS]])</f>
        <v>25</v>
      </c>
      <c r="J14" s="1" t="n">
        <f aca="false">(daewoo26[[#This Row],["J"PRECIO COMPRA ]]/daewoo26[[#This Row],[BARRAS]])</f>
        <v>9.5</v>
      </c>
      <c r="K14" s="1" t="n">
        <f aca="false">SUMIF(entradas26[CODIGO],daewoo26[[#This Row],[CODIGO ]],entradas26[[CAN JUEGOS ]])</f>
        <v>20</v>
      </c>
      <c r="L14" s="1" t="n">
        <f aca="false">SUMIF(entradas26[CODIGO],daewoo26[[#This Row],[CODIGO ]],entradas26[CAN BARRAS])</f>
        <v>24</v>
      </c>
      <c r="M14" s="1" t="n">
        <f aca="false">SUMIF(salidas26[[CODIGO ]],daewoo26[[#This Row],[CODIGO ]],salidas26[[CANT JUEGOS ]])</f>
        <v>5</v>
      </c>
      <c r="N14" s="1" t="n">
        <f aca="false">SUMIF(salidas26[[CODIGO ]],daewoo26[[#This Row],[CODIGO ]],salidas26[CANT BARRAS])</f>
        <v>17</v>
      </c>
      <c r="O14" s="1" t="n">
        <f aca="false">(daewoo26[[#This Row],["J"PRECIO COMPRA ]]*daewoo26[[#This Row],[STOCK JUEGOS]])</f>
        <v>1140</v>
      </c>
      <c r="P14" s="1" t="n">
        <f aca="false">(daewoo26[[#This Row],["J" PRECIO VENTA ]]*daewoo26[[#This Row],[STOCK JUEGOS]])</f>
        <v>3000</v>
      </c>
      <c r="Q14" s="1" t="n">
        <f aca="false">(daewoo26[[#This Row],["B"PRECIO COMPRA]]*daewoo26[[#This Row],[STOCK BARRAS]])</f>
        <v>66.5</v>
      </c>
      <c r="R14" s="1" t="n">
        <f aca="false">(daewoo26[[#This Row],["B"PRECIO VENTA ]]*daewoo26[[#This Row],[STOCK BARRAS]])</f>
        <v>175</v>
      </c>
      <c r="U14" s="1" t="n">
        <v>3.71</v>
      </c>
      <c r="V14" s="1" t="s">
        <v>316</v>
      </c>
    </row>
  </sheetData>
  <mergeCells count="1">
    <mergeCell ref="B2:V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V33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C9" activeCellId="0" sqref="C9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7.26"/>
    <col collapsed="false" customWidth="true" hidden="false" outlineLevel="0" max="3" min="3" style="1" width="30.14"/>
    <col collapsed="false" customWidth="true" hidden="false" outlineLevel="0" max="6" min="4" style="1" width="8.14"/>
    <col collapsed="false" customWidth="true" hidden="false" outlineLevel="0" max="7" min="7" style="1" width="16.2"/>
    <col collapsed="false" customWidth="true" hidden="false" outlineLevel="0" max="8" min="8" style="1" width="8.14"/>
    <col collapsed="false" customWidth="true" hidden="true" outlineLevel="0" max="19" min="9" style="1" width="8.14"/>
    <col collapsed="false" customWidth="true" hidden="false" outlineLevel="0" max="20" min="20" style="1" width="13.96"/>
    <col collapsed="false" customWidth="true" hidden="false" outlineLevel="0" max="21" min="21" style="1" width="14.28"/>
    <col collapsed="false" customWidth="true" hidden="false" outlineLevel="0" max="22" min="22" style="1" width="14.92"/>
  </cols>
  <sheetData>
    <row r="2" customFormat="false" ht="15" hidden="false" customHeight="false" outlineLevel="0" collapsed="false">
      <c r="B2" s="55" t="s">
        <v>317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</row>
    <row r="3" customFormat="false" ht="15" hidden="false" customHeight="false" outlineLevel="0" collapsed="false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customFormat="false" ht="23.25" hidden="false" customHeight="true" outlineLevel="0" collapsed="false">
      <c r="B4" s="3" t="s">
        <v>1</v>
      </c>
      <c r="C4" s="3" t="s">
        <v>2</v>
      </c>
      <c r="D4" s="4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9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8" t="s">
        <v>14</v>
      </c>
      <c r="P4" s="11" t="s">
        <v>15</v>
      </c>
      <c r="Q4" s="8" t="s">
        <v>16</v>
      </c>
      <c r="R4" s="8" t="s">
        <v>17</v>
      </c>
      <c r="S4" s="11" t="s">
        <v>18</v>
      </c>
      <c r="T4" s="12" t="s">
        <v>19</v>
      </c>
      <c r="U4" s="13" t="s">
        <v>20</v>
      </c>
      <c r="V4" s="14" t="s">
        <v>21</v>
      </c>
    </row>
    <row r="5" customFormat="false" ht="15" hidden="false" customHeight="false" outlineLevel="0" collapsed="false">
      <c r="A5" s="1" t="n">
        <v>1</v>
      </c>
      <c r="B5" s="1" t="n">
        <v>5000</v>
      </c>
      <c r="C5" s="15" t="s">
        <v>318</v>
      </c>
      <c r="D5" s="1" t="n">
        <f aca="false">(sony26[[#This Row],[CANTIDAD INICIAL JUEGO ]]+sony26[[#This Row],[ENTRADAS JUEGOS ]]-sony26[[#This Row],[SALIDAS JUEGOS]])</f>
        <v>8</v>
      </c>
      <c r="E5" s="1" t="n">
        <f aca="false">(sony26[[#This Row],[CANTIDAD INICIAL BARRAS]]+sony26[[#This Row],[ENTRADAS BARRAS]]-sony26[[#This Row],[SALIDA BARRAS]])</f>
        <v>0</v>
      </c>
      <c r="F5" s="23" t="n">
        <v>90</v>
      </c>
      <c r="G5" s="1" t="n">
        <v>39</v>
      </c>
      <c r="H5" s="1" t="n">
        <v>3</v>
      </c>
      <c r="I5" s="1" t="n">
        <f aca="false">(sony26[[#This Row],["J" PRECIO VENTA ]]/sony26[[#This Row],[BARRAS]])</f>
        <v>30</v>
      </c>
      <c r="J5" s="1" t="n">
        <f aca="false">(sony26[[#This Row],["J"PRECIO COMPRA ]]/sony26[[#This Row],[BARRAS]])</f>
        <v>13</v>
      </c>
      <c r="K5" s="1" t="n">
        <f aca="false">SUMIF(entradas26[CODIGO],sony26[[#This Row],[CODIGO ]],entradas26[[CAN JUEGOS ]])</f>
        <v>0</v>
      </c>
      <c r="L5" s="1" t="n">
        <f aca="false">SUMIF(entradas26[CODIGO],sony26[[#This Row],[CODIGO ]],entradas26[CAN BARRAS])</f>
        <v>0</v>
      </c>
      <c r="M5" s="1" t="n">
        <f aca="false">SUMIF(salidas26[[CODIGO ]],sony26[[#This Row],[CODIGO ]],salidas26[[CANT JUEGOS ]])</f>
        <v>2</v>
      </c>
      <c r="N5" s="1" t="n">
        <f aca="false">SUMIF(salidas26[[CODIGO ]],sony26[[#This Row],[CODIGO ]],salidas26[CANT BARRAS])</f>
        <v>0</v>
      </c>
      <c r="O5" s="1" t="n">
        <f aca="false">(sony26[[#This Row],["J"PRECIO COMPRA ]]*sony26[[#This Row],[STOCK JUEGOS]])</f>
        <v>312</v>
      </c>
      <c r="P5" s="1" t="n">
        <f aca="false">(sony26[[#This Row],["J" PRECIO VENTA ]]*sony26[[#This Row],[STOCK JUEGOS]])</f>
        <v>720</v>
      </c>
      <c r="Q5" s="1" t="n">
        <f aca="false">(sony26[[#This Row],["B"PRECIO COMPRA]]*sony26[[#This Row],[STOCK BARRAS]])</f>
        <v>0</v>
      </c>
      <c r="R5" s="1" t="n">
        <f aca="false">(sony26[[#This Row],["B"PRECIO VENTA ]]*sony26[[#This Row],[STOCK BARRAS]])</f>
        <v>0</v>
      </c>
      <c r="S5" s="18" t="n">
        <v>10</v>
      </c>
      <c r="T5" s="18"/>
    </row>
    <row r="6" customFormat="false" ht="15" hidden="false" customHeight="false" outlineLevel="0" collapsed="false">
      <c r="A6" s="1" t="n">
        <v>2</v>
      </c>
      <c r="B6" s="1" t="n">
        <v>5001</v>
      </c>
      <c r="C6" s="1" t="s">
        <v>319</v>
      </c>
      <c r="D6" s="1" t="n">
        <f aca="false">(sony26[[#This Row],[CANTIDAD INICIAL JUEGO ]]+sony26[[#This Row],[ENTRADAS JUEGOS ]]-sony26[[#This Row],[SALIDAS JUEGOS]])</f>
        <v>11</v>
      </c>
      <c r="E6" s="1" t="n">
        <f aca="false">(sony26[[#This Row],[CANTIDAD INICIAL BARRAS]]+sony26[[#This Row],[ENTRADAS BARRAS]]-sony26[[#This Row],[SALIDA BARRAS]])</f>
        <v>0</v>
      </c>
      <c r="F6" s="23" t="n">
        <v>100</v>
      </c>
      <c r="G6" s="1" t="n">
        <v>85</v>
      </c>
      <c r="H6" s="1" t="n">
        <v>4</v>
      </c>
      <c r="I6" s="1" t="n">
        <f aca="false">(sony26[[#This Row],["J" PRECIO VENTA ]]/sony26[[#This Row],[BARRAS]])</f>
        <v>25</v>
      </c>
      <c r="J6" s="1" t="n">
        <f aca="false">(sony26[[#This Row],["J"PRECIO COMPRA ]]/sony26[[#This Row],[BARRAS]])</f>
        <v>21.25</v>
      </c>
      <c r="K6" s="1" t="n">
        <f aca="false">SUMIF(entradas26[CODIGO],sony26[[#This Row],[CODIGO ]],entradas26[[CAN JUEGOS ]])</f>
        <v>0</v>
      </c>
      <c r="L6" s="1" t="n">
        <f aca="false">SUMIF(entradas26[CODIGO],sony26[[#This Row],[CODIGO ]],entradas26[CAN BARRAS])</f>
        <v>0</v>
      </c>
      <c r="M6" s="1" t="n">
        <f aca="false">SUMIF(salidas26[[CODIGO ]],sony26[[#This Row],[CODIGO ]],salidas26[[CANT JUEGOS ]])</f>
        <v>2</v>
      </c>
      <c r="N6" s="1" t="n">
        <f aca="false">SUMIF(salidas26[[CODIGO ]],sony26[[#This Row],[CODIGO ]],salidas26[CANT BARRAS])</f>
        <v>0</v>
      </c>
      <c r="O6" s="1" t="n">
        <f aca="false">(sony26[[#This Row],["J"PRECIO COMPRA ]]*sony26[[#This Row],[STOCK JUEGOS]])</f>
        <v>935</v>
      </c>
      <c r="P6" s="1" t="n">
        <f aca="false">(sony26[[#This Row],["J" PRECIO VENTA ]]*sony26[[#This Row],[STOCK JUEGOS]])</f>
        <v>1100</v>
      </c>
      <c r="Q6" s="1" t="n">
        <f aca="false">(sony26[[#This Row],["B"PRECIO COMPRA]]*sony26[[#This Row],[STOCK BARRAS]])</f>
        <v>0</v>
      </c>
      <c r="R6" s="1" t="n">
        <f aca="false">(sony26[[#This Row],["B"PRECIO VENTA ]]*sony26[[#This Row],[STOCK BARRAS]])</f>
        <v>0</v>
      </c>
      <c r="S6" s="18" t="n">
        <v>13</v>
      </c>
      <c r="T6" s="18"/>
    </row>
    <row r="7" customFormat="false" ht="15" hidden="false" customHeight="false" outlineLevel="0" collapsed="false">
      <c r="A7" s="1" t="n">
        <v>3</v>
      </c>
      <c r="B7" s="1" t="n">
        <v>5002</v>
      </c>
      <c r="C7" s="15" t="s">
        <v>320</v>
      </c>
      <c r="D7" s="1" t="n">
        <f aca="false">(sony26[[#This Row],[CANTIDAD INICIAL JUEGO ]]+sony26[[#This Row],[ENTRADAS JUEGOS ]]-sony26[[#This Row],[SALIDAS JUEGOS]])</f>
        <v>2</v>
      </c>
      <c r="E7" s="1" t="n">
        <f aca="false">(sony26[[#This Row],[CANTIDAD INICIAL BARRAS]]+sony26[[#This Row],[ENTRADAS BARRAS]]-sony26[[#This Row],[SALIDA BARRAS]])</f>
        <v>0</v>
      </c>
      <c r="F7" s="23" t="n">
        <v>90</v>
      </c>
      <c r="G7" s="1" t="n">
        <v>46</v>
      </c>
      <c r="H7" s="1" t="n">
        <v>3</v>
      </c>
      <c r="I7" s="1" t="n">
        <f aca="false">(sony26[[#This Row],["J" PRECIO VENTA ]]/sony26[[#This Row],[BARRAS]])</f>
        <v>30</v>
      </c>
      <c r="J7" s="1" t="n">
        <f aca="false">(sony26[[#This Row],["J"PRECIO COMPRA ]]/sony26[[#This Row],[BARRAS]])</f>
        <v>15.3333333333333</v>
      </c>
      <c r="K7" s="1" t="n">
        <f aca="false">SUMIF(entradas26[CODIGO],sony26[[#This Row],[CODIGO ]],entradas26[[CAN JUEGOS ]])</f>
        <v>0</v>
      </c>
      <c r="L7" s="1" t="n">
        <f aca="false">SUMIF(entradas26[CODIGO],sony26[[#This Row],[CODIGO ]],entradas26[CAN BARRAS])</f>
        <v>0</v>
      </c>
      <c r="M7" s="1" t="n">
        <f aca="false">SUMIF(salidas26[[CODIGO ]],sony26[[#This Row],[CODIGO ]],salidas26[[CANT JUEGOS ]])</f>
        <v>7</v>
      </c>
      <c r="N7" s="1" t="n">
        <f aca="false">SUMIF(salidas26[[CODIGO ]],sony26[[#This Row],[CODIGO ]],salidas26[CANT BARRAS])</f>
        <v>0</v>
      </c>
      <c r="O7" s="1" t="n">
        <f aca="false">(sony26[[#This Row],["J"PRECIO COMPRA ]]*sony26[[#This Row],[STOCK JUEGOS]])</f>
        <v>92</v>
      </c>
      <c r="P7" s="1" t="n">
        <f aca="false">(sony26[[#This Row],["J" PRECIO VENTA ]]*sony26[[#This Row],[STOCK JUEGOS]])</f>
        <v>180</v>
      </c>
      <c r="Q7" s="1" t="n">
        <f aca="false">(sony26[[#This Row],["B"PRECIO COMPRA]]*sony26[[#This Row],[STOCK BARRAS]])</f>
        <v>0</v>
      </c>
      <c r="R7" s="1" t="n">
        <f aca="false">(sony26[[#This Row],["B"PRECIO VENTA ]]*sony26[[#This Row],[STOCK BARRAS]])</f>
        <v>0</v>
      </c>
      <c r="S7" s="18" t="n">
        <v>9</v>
      </c>
      <c r="T7" s="18"/>
    </row>
    <row r="8" customFormat="false" ht="15" hidden="false" customHeight="false" outlineLevel="0" collapsed="false">
      <c r="A8" s="1" t="n">
        <v>4</v>
      </c>
      <c r="B8" s="1" t="n">
        <v>5003</v>
      </c>
      <c r="C8" s="1" t="s">
        <v>321</v>
      </c>
      <c r="D8" s="1" t="n">
        <f aca="false">(sony26[[#This Row],[CANTIDAD INICIAL JUEGO ]]+sony26[[#This Row],[ENTRADAS JUEGOS ]]-sony26[[#This Row],[SALIDAS JUEGOS]])</f>
        <v>2</v>
      </c>
      <c r="E8" s="1" t="n">
        <f aca="false">(sony26[[#This Row],[CANTIDAD INICIAL BARRAS]]+sony26[[#This Row],[ENTRADAS BARRAS]]-sony26[[#This Row],[SALIDA BARRAS]])</f>
        <v>0</v>
      </c>
      <c r="F8" s="23" t="n">
        <v>120</v>
      </c>
      <c r="G8" s="1" t="n">
        <v>60</v>
      </c>
      <c r="H8" s="1" t="n">
        <v>4</v>
      </c>
      <c r="I8" s="1" t="n">
        <f aca="false">(sony26[[#This Row],["J" PRECIO VENTA ]]/sony26[[#This Row],[BARRAS]])</f>
        <v>30</v>
      </c>
      <c r="J8" s="1" t="n">
        <f aca="false">(sony26[[#This Row],["J"PRECIO COMPRA ]]/sony26[[#This Row],[BARRAS]])</f>
        <v>15</v>
      </c>
      <c r="K8" s="1" t="n">
        <f aca="false">SUMIF(entradas26[CODIGO],sony26[[#This Row],[CODIGO ]],entradas26[[CAN JUEGOS ]])</f>
        <v>0</v>
      </c>
      <c r="L8" s="1" t="n">
        <f aca="false">SUMIF(entradas26[CODIGO],sony26[[#This Row],[CODIGO ]],entradas26[CAN BARRAS])</f>
        <v>0</v>
      </c>
      <c r="M8" s="1" t="n">
        <f aca="false">SUMIF(salidas26[[CODIGO ]],sony26[[#This Row],[CODIGO ]],salidas26[[CANT JUEGOS ]])</f>
        <v>0</v>
      </c>
      <c r="N8" s="1" t="n">
        <f aca="false">SUMIF(salidas26[[CODIGO ]],sony26[[#This Row],[CODIGO ]],salidas26[CANT BARRAS])</f>
        <v>0</v>
      </c>
      <c r="O8" s="1" t="n">
        <f aca="false">(sony26[[#This Row],["J"PRECIO COMPRA ]]*sony26[[#This Row],[STOCK JUEGOS]])</f>
        <v>120</v>
      </c>
      <c r="P8" s="1" t="n">
        <f aca="false">(sony26[[#This Row],["J" PRECIO VENTA ]]*sony26[[#This Row],[STOCK JUEGOS]])</f>
        <v>240</v>
      </c>
      <c r="Q8" s="1" t="n">
        <f aca="false">(sony26[[#This Row],["B"PRECIO COMPRA]]*sony26[[#This Row],[STOCK BARRAS]])</f>
        <v>0</v>
      </c>
      <c r="R8" s="1" t="n">
        <f aca="false">(sony26[[#This Row],["B"PRECIO VENTA ]]*sony26[[#This Row],[STOCK BARRAS]])</f>
        <v>0</v>
      </c>
      <c r="S8" s="18" t="n">
        <v>2</v>
      </c>
      <c r="T8" s="18"/>
    </row>
    <row r="9" customFormat="false" ht="15" hidden="false" customHeight="false" outlineLevel="0" collapsed="false">
      <c r="A9" s="1" t="n">
        <v>5</v>
      </c>
      <c r="B9" s="1" t="n">
        <v>5006</v>
      </c>
      <c r="C9" s="1" t="s">
        <v>322</v>
      </c>
      <c r="D9" s="1" t="n">
        <f aca="false">(sony26[[#This Row],[CANTIDAD INICIAL JUEGO ]]+sony26[[#This Row],[ENTRADAS JUEGOS ]]-sony26[[#This Row],[SALIDAS JUEGOS]])</f>
        <v>32</v>
      </c>
      <c r="E9" s="1" t="n">
        <f aca="false">(sony26[[#This Row],[CANTIDAD INICIAL BARRAS]]+sony26[[#This Row],[ENTRADAS BARRAS]]-sony26[[#This Row],[SALIDA BARRAS]])</f>
        <v>2</v>
      </c>
      <c r="F9" s="23" t="n">
        <v>90</v>
      </c>
      <c r="G9" s="1" t="n">
        <v>43</v>
      </c>
      <c r="H9" s="1" t="n">
        <v>3</v>
      </c>
      <c r="I9" s="1" t="n">
        <f aca="false">(sony26[[#This Row],["J" PRECIO VENTA ]]/sony26[[#This Row],[BARRAS]])</f>
        <v>30</v>
      </c>
      <c r="J9" s="1" t="n">
        <f aca="false">(sony26[[#This Row],["J"PRECIO COMPRA ]]/sony26[[#This Row],[BARRAS]])</f>
        <v>14.3333333333333</v>
      </c>
      <c r="K9" s="1" t="n">
        <f aca="false">SUMIF(entradas26[CODIGO],sony26[[#This Row],[CODIGO ]],entradas26[[CAN JUEGOS ]])</f>
        <v>32</v>
      </c>
      <c r="L9" s="1" t="n">
        <f aca="false">SUMIF(entradas26[CODIGO],sony26[[#This Row],[CODIGO ]],entradas26[CAN BARRAS])</f>
        <v>4</v>
      </c>
      <c r="M9" s="1" t="n">
        <f aca="false">SUMIF(salidas26[[CODIGO ]],sony26[[#This Row],[CODIGO ]],salidas26[[CANT JUEGOS ]])</f>
        <v>12</v>
      </c>
      <c r="N9" s="1" t="n">
        <f aca="false">SUMIF(salidas26[[CODIGO ]],sony26[[#This Row],[CODIGO ]],salidas26[CANT BARRAS])</f>
        <v>2</v>
      </c>
      <c r="O9" s="1" t="n">
        <f aca="false">(sony26[[#This Row],["J"PRECIO COMPRA ]]*sony26[[#This Row],[STOCK JUEGOS]])</f>
        <v>1376</v>
      </c>
      <c r="P9" s="1" t="n">
        <f aca="false">(sony26[[#This Row],["J" PRECIO VENTA ]]*sony26[[#This Row],[STOCK JUEGOS]])</f>
        <v>2880</v>
      </c>
      <c r="Q9" s="1" t="n">
        <f aca="false">(sony26[[#This Row],["B"PRECIO COMPRA]]*sony26[[#This Row],[STOCK BARRAS]])</f>
        <v>28.6666666666667</v>
      </c>
      <c r="R9" s="1" t="n">
        <f aca="false">(sony26[[#This Row],["B"PRECIO VENTA ]]*sony26[[#This Row],[STOCK BARRAS]])</f>
        <v>60</v>
      </c>
      <c r="S9" s="18" t="n">
        <v>12</v>
      </c>
      <c r="T9" s="18"/>
      <c r="U9" s="1" t="n">
        <v>1.8</v>
      </c>
    </row>
    <row r="10" customFormat="false" ht="15" hidden="false" customHeight="false" outlineLevel="0" collapsed="false">
      <c r="A10" s="1" t="n">
        <v>6</v>
      </c>
      <c r="B10" s="1" t="n">
        <v>5009</v>
      </c>
      <c r="C10" s="1" t="s">
        <v>323</v>
      </c>
      <c r="D10" s="1" t="n">
        <f aca="false">(sony26[[#This Row],[CANTIDAD INICIAL JUEGO ]]+sony26[[#This Row],[ENTRADAS JUEGOS ]]-sony26[[#This Row],[SALIDAS JUEGOS]])</f>
        <v>17</v>
      </c>
      <c r="E10" s="1" t="n">
        <f aca="false">(sony26[[#This Row],[CANTIDAD INICIAL BARRAS]]+sony26[[#This Row],[ENTRADAS BARRAS]]-sony26[[#This Row],[SALIDA BARRAS]])</f>
        <v>8</v>
      </c>
      <c r="F10" s="23" t="n">
        <v>150</v>
      </c>
      <c r="G10" s="1" t="n">
        <v>90</v>
      </c>
      <c r="H10" s="1" t="n">
        <v>10</v>
      </c>
      <c r="I10" s="1" t="n">
        <f aca="false">(sony26[[#This Row],["J" PRECIO VENTA ]]/sony26[[#This Row],[BARRAS]])</f>
        <v>15</v>
      </c>
      <c r="J10" s="1" t="n">
        <f aca="false">(sony26[[#This Row],["J"PRECIO COMPRA ]]/sony26[[#This Row],[BARRAS]])</f>
        <v>9</v>
      </c>
      <c r="K10" s="1" t="n">
        <f aca="false">SUMIF(entradas26[CODIGO],sony26[[#This Row],[CODIGO ]],entradas26[[CAN JUEGOS ]])</f>
        <v>0</v>
      </c>
      <c r="L10" s="1" t="n">
        <f aca="false">SUMIF(entradas26[CODIGO],sony26[[#This Row],[CODIGO ]],entradas26[CAN BARRAS])</f>
        <v>10</v>
      </c>
      <c r="M10" s="1" t="n">
        <f aca="false">SUMIF(salidas26[[CODIGO ]],sony26[[#This Row],[CODIGO ]],salidas26[[CANT JUEGOS ]])</f>
        <v>1</v>
      </c>
      <c r="N10" s="1" t="n">
        <f aca="false">SUMIF(salidas26[[CODIGO ]],sony26[[#This Row],[CODIGO ]],salidas26[CANT BARRAS])</f>
        <v>6</v>
      </c>
      <c r="O10" s="1" t="n">
        <f aca="false">(sony26[[#This Row],["J"PRECIO COMPRA ]]*sony26[[#This Row],[STOCK JUEGOS]])</f>
        <v>1530</v>
      </c>
      <c r="P10" s="1" t="n">
        <f aca="false">(sony26[[#This Row],["J" PRECIO VENTA ]]*sony26[[#This Row],[STOCK JUEGOS]])</f>
        <v>2550</v>
      </c>
      <c r="Q10" s="1" t="n">
        <f aca="false">(sony26[[#This Row],["B"PRECIO COMPRA]]*sony26[[#This Row],[STOCK BARRAS]])</f>
        <v>72</v>
      </c>
      <c r="R10" s="1" t="n">
        <f aca="false">(sony26[[#This Row],["B"PRECIO VENTA ]]*sony26[[#This Row],[STOCK BARRAS]])</f>
        <v>120</v>
      </c>
      <c r="S10" s="18" t="n">
        <v>18</v>
      </c>
      <c r="T10" s="18" t="n">
        <v>4</v>
      </c>
    </row>
    <row r="11" customFormat="false" ht="15" hidden="false" customHeight="false" outlineLevel="0" collapsed="false">
      <c r="A11" s="1" t="n">
        <v>7</v>
      </c>
      <c r="B11" s="1" t="n">
        <v>5010</v>
      </c>
      <c r="C11" s="15" t="s">
        <v>324</v>
      </c>
      <c r="D11" s="1" t="n">
        <f aca="false">(sony26[[#This Row],[CANTIDAD INICIAL JUEGO ]]+sony26[[#This Row],[ENTRADAS JUEGOS ]]-sony26[[#This Row],[SALIDAS JUEGOS]])</f>
        <v>23</v>
      </c>
      <c r="E11" s="1" t="n">
        <f aca="false">(sony26[[#This Row],[CANTIDAD INICIAL BARRAS]]+sony26[[#This Row],[ENTRADAS BARRAS]]-sony26[[#This Row],[SALIDA BARRAS]])</f>
        <v>0</v>
      </c>
      <c r="F11" s="23" t="n">
        <v>180</v>
      </c>
      <c r="G11" s="1" t="n">
        <v>59</v>
      </c>
      <c r="H11" s="1" t="n">
        <v>4</v>
      </c>
      <c r="I11" s="1" t="n">
        <f aca="false">(sony26[[#This Row],["J" PRECIO VENTA ]]/sony26[[#This Row],[BARRAS]])</f>
        <v>45</v>
      </c>
      <c r="J11" s="1" t="n">
        <f aca="false">(sony26[[#This Row],["J"PRECIO COMPRA ]]/sony26[[#This Row],[BARRAS]])</f>
        <v>14.75</v>
      </c>
      <c r="K11" s="1" t="n">
        <f aca="false">SUMIF(entradas26[CODIGO],sony26[[#This Row],[CODIGO ]],entradas26[[CAN JUEGOS ]])</f>
        <v>20</v>
      </c>
      <c r="L11" s="1" t="n">
        <f aca="false">SUMIF(entradas26[CODIGO],sony26[[#This Row],[CODIGO ]],entradas26[CAN BARRAS])</f>
        <v>0</v>
      </c>
      <c r="M11" s="1" t="n">
        <f aca="false">SUMIF(salidas26[[CODIGO ]],sony26[[#This Row],[CODIGO ]],salidas26[[CANT JUEGOS ]])</f>
        <v>5</v>
      </c>
      <c r="N11" s="1" t="n">
        <f aca="false">SUMIF(salidas26[[CODIGO ]],sony26[[#This Row],[CODIGO ]],salidas26[CANT BARRAS])</f>
        <v>0</v>
      </c>
      <c r="O11" s="1" t="n">
        <f aca="false">(sony26[[#This Row],["J"PRECIO COMPRA ]]*sony26[[#This Row],[STOCK JUEGOS]])</f>
        <v>1357</v>
      </c>
      <c r="P11" s="1" t="n">
        <f aca="false">(sony26[[#This Row],["J" PRECIO VENTA ]]*sony26[[#This Row],[STOCK JUEGOS]])</f>
        <v>4140</v>
      </c>
      <c r="Q11" s="1" t="n">
        <f aca="false">(sony26[[#This Row],["B"PRECIO COMPRA]]*sony26[[#This Row],[STOCK BARRAS]])</f>
        <v>0</v>
      </c>
      <c r="R11" s="1" t="n">
        <f aca="false">(sony26[[#This Row],["B"PRECIO VENTA ]]*sony26[[#This Row],[STOCK BARRAS]])</f>
        <v>0</v>
      </c>
      <c r="S11" s="18" t="n">
        <v>8</v>
      </c>
      <c r="T11" s="18"/>
      <c r="U11" s="1" t="n">
        <v>3.1</v>
      </c>
      <c r="V11" s="1" t="s">
        <v>325</v>
      </c>
    </row>
    <row r="12" customFormat="false" ht="15" hidden="false" customHeight="false" outlineLevel="0" collapsed="false">
      <c r="A12" s="1" t="n">
        <v>8</v>
      </c>
      <c r="B12" s="1" t="n">
        <v>5012</v>
      </c>
      <c r="C12" s="1" t="s">
        <v>326</v>
      </c>
      <c r="D12" s="1" t="n">
        <f aca="false">(sony26[[#This Row],[CANTIDAD INICIAL JUEGO ]]+sony26[[#This Row],[ENTRADAS JUEGOS ]]-sony26[[#This Row],[SALIDAS JUEGOS]])</f>
        <v>11</v>
      </c>
      <c r="E12" s="1" t="n">
        <f aca="false">(sony26[[#This Row],[CANTIDAD INICIAL BARRAS]]+sony26[[#This Row],[ENTRADAS BARRAS]]-sony26[[#This Row],[SALIDA BARRAS]])</f>
        <v>2</v>
      </c>
      <c r="F12" s="23" t="n">
        <v>200</v>
      </c>
      <c r="G12" s="1" t="n">
        <v>94</v>
      </c>
      <c r="H12" s="1" t="n">
        <v>10</v>
      </c>
      <c r="I12" s="1" t="n">
        <f aca="false">(sony26[[#This Row],["J" PRECIO VENTA ]]/sony26[[#This Row],[BARRAS]])</f>
        <v>20</v>
      </c>
      <c r="J12" s="1" t="n">
        <f aca="false">(sony26[[#This Row],["J"PRECIO COMPRA ]]/sony26[[#This Row],[BARRAS]])</f>
        <v>9.4</v>
      </c>
      <c r="K12" s="1" t="n">
        <f aca="false">SUMIF(entradas26[CODIGO],sony26[[#This Row],[CODIGO ]],entradas26[[CAN JUEGOS ]])</f>
        <v>0</v>
      </c>
      <c r="L12" s="1" t="n">
        <f aca="false">SUMIF(entradas26[CODIGO],sony26[[#This Row],[CODIGO ]],entradas26[CAN BARRAS])</f>
        <v>0</v>
      </c>
      <c r="M12" s="1" t="n">
        <f aca="false">SUMIF(salidas26[[CODIGO ]],sony26[[#This Row],[CODIGO ]],salidas26[[CANT JUEGOS ]])</f>
        <v>4</v>
      </c>
      <c r="N12" s="1" t="n">
        <f aca="false">SUMIF(salidas26[[CODIGO ]],sony26[[#This Row],[CODIGO ]],salidas26[CANT BARRAS])</f>
        <v>0</v>
      </c>
      <c r="O12" s="1" t="n">
        <f aca="false">(sony26[[#This Row],["J"PRECIO COMPRA ]]*sony26[[#This Row],[STOCK JUEGOS]])</f>
        <v>1034</v>
      </c>
      <c r="P12" s="1" t="n">
        <f aca="false">(sony26[[#This Row],["J" PRECIO VENTA ]]*sony26[[#This Row],[STOCK JUEGOS]])</f>
        <v>2200</v>
      </c>
      <c r="Q12" s="1" t="n">
        <f aca="false">(sony26[[#This Row],["B"PRECIO COMPRA]]*sony26[[#This Row],[STOCK BARRAS]])</f>
        <v>18.8</v>
      </c>
      <c r="R12" s="1" t="n">
        <f aca="false">(sony26[[#This Row],["B"PRECIO VENTA ]]*sony26[[#This Row],[STOCK BARRAS]])</f>
        <v>40</v>
      </c>
      <c r="S12" s="18" t="n">
        <v>15</v>
      </c>
      <c r="T12" s="18" t="n">
        <v>2</v>
      </c>
    </row>
    <row r="13" customFormat="false" ht="15" hidden="false" customHeight="false" outlineLevel="0" collapsed="false">
      <c r="A13" s="1" t="n">
        <v>9</v>
      </c>
      <c r="B13" s="1" t="n">
        <v>5015</v>
      </c>
      <c r="C13" s="1" t="s">
        <v>327</v>
      </c>
      <c r="D13" s="1" t="n">
        <f aca="false">(sony26[[#This Row],[CANTIDAD INICIAL JUEGO ]]+sony26[[#This Row],[ENTRADAS JUEGOS ]]-sony26[[#This Row],[SALIDAS JUEGOS]])</f>
        <v>21</v>
      </c>
      <c r="E13" s="1" t="n">
        <f aca="false">(sony26[[#This Row],[CANTIDAD INICIAL BARRAS]]+sony26[[#This Row],[ENTRADAS BARRAS]]-sony26[[#This Row],[SALIDA BARRAS]])</f>
        <v>0</v>
      </c>
      <c r="F13" s="23" t="n">
        <v>160</v>
      </c>
      <c r="G13" s="1" t="n">
        <v>100</v>
      </c>
      <c r="H13" s="1" t="n">
        <v>3</v>
      </c>
      <c r="I13" s="1" t="n">
        <f aca="false">(sony26[[#This Row],["J" PRECIO VENTA ]]/sony26[[#This Row],[BARRAS]])</f>
        <v>53.3333333333333</v>
      </c>
      <c r="J13" s="1" t="n">
        <f aca="false">(sony26[[#This Row],["J"PRECIO COMPRA ]]/sony26[[#This Row],[BARRAS]])</f>
        <v>33.3333333333333</v>
      </c>
      <c r="K13" s="1" t="n">
        <f aca="false">SUMIF(entradas26[CODIGO],sony26[[#This Row],[CODIGO ]],entradas26[[CAN JUEGOS ]])</f>
        <v>20</v>
      </c>
      <c r="L13" s="1" t="n">
        <f aca="false">SUMIF(entradas26[CODIGO],sony26[[#This Row],[CODIGO ]],entradas26[CAN BARRAS])</f>
        <v>0</v>
      </c>
      <c r="M13" s="1" t="n">
        <f aca="false">SUMIF(salidas26[[CODIGO ]],sony26[[#This Row],[CODIGO ]],salidas26[[CANT JUEGOS ]])</f>
        <v>1</v>
      </c>
      <c r="N13" s="1" t="n">
        <f aca="false">SUMIF(salidas26[[CODIGO ]],sony26[[#This Row],[CODIGO ]],salidas26[CANT BARRAS])</f>
        <v>0</v>
      </c>
      <c r="O13" s="1" t="n">
        <f aca="false">(sony26[[#This Row],["J"PRECIO COMPRA ]]*sony26[[#This Row],[STOCK JUEGOS]])</f>
        <v>2100</v>
      </c>
      <c r="P13" s="1" t="n">
        <f aca="false">(sony26[[#This Row],["J" PRECIO VENTA ]]*sony26[[#This Row],[STOCK JUEGOS]])</f>
        <v>3360</v>
      </c>
      <c r="Q13" s="1" t="n">
        <f aca="false">(sony26[[#This Row],["B"PRECIO COMPRA]]*sony26[[#This Row],[STOCK BARRAS]])</f>
        <v>0</v>
      </c>
      <c r="R13" s="1" t="n">
        <f aca="false">(sony26[[#This Row],["B"PRECIO VENTA ]]*sony26[[#This Row],[STOCK BARRAS]])</f>
        <v>0</v>
      </c>
      <c r="S13" s="18" t="n">
        <v>2</v>
      </c>
      <c r="T13" s="18"/>
      <c r="U13" s="1" t="n">
        <v>2.6</v>
      </c>
      <c r="V13" s="1" t="s">
        <v>328</v>
      </c>
    </row>
    <row r="14" customFormat="false" ht="15" hidden="false" customHeight="false" outlineLevel="0" collapsed="false">
      <c r="A14" s="1" t="n">
        <v>10</v>
      </c>
      <c r="B14" s="1" t="n">
        <v>5018</v>
      </c>
      <c r="C14" s="1" t="s">
        <v>329</v>
      </c>
      <c r="D14" s="1" t="n">
        <f aca="false">(sony26[[#This Row],[CANTIDAD INICIAL JUEGO ]]+sony26[[#This Row],[ENTRADAS JUEGOS ]]-sony26[[#This Row],[SALIDAS JUEGOS]])</f>
        <v>24</v>
      </c>
      <c r="E14" s="1" t="n">
        <f aca="false">(sony26[[#This Row],[CANTIDAD INICIAL BARRAS]]+sony26[[#This Row],[ENTRADAS BARRAS]]-sony26[[#This Row],[SALIDA BARRAS]])</f>
        <v>0</v>
      </c>
      <c r="F14" s="23" t="n">
        <v>200</v>
      </c>
      <c r="G14" s="1" t="n">
        <v>91</v>
      </c>
      <c r="H14" s="1" t="n">
        <v>10</v>
      </c>
      <c r="I14" s="1" t="n">
        <f aca="false">(sony26[[#This Row],["J" PRECIO VENTA ]]/sony26[[#This Row],[BARRAS]])</f>
        <v>20</v>
      </c>
      <c r="J14" s="1" t="n">
        <f aca="false">(sony26[[#This Row],["J"PRECIO COMPRA ]]/sony26[[#This Row],[BARRAS]])</f>
        <v>9.1</v>
      </c>
      <c r="K14" s="1" t="n">
        <f aca="false">SUMIF(entradas26[CODIGO],sony26[[#This Row],[CODIGO ]],entradas26[[CAN JUEGOS ]])</f>
        <v>20</v>
      </c>
      <c r="L14" s="1" t="n">
        <f aca="false">SUMIF(entradas26[CODIGO],sony26[[#This Row],[CODIGO ]],entradas26[CAN BARRAS])</f>
        <v>20</v>
      </c>
      <c r="M14" s="1" t="n">
        <f aca="false">SUMIF(salidas26[[CODIGO ]],sony26[[#This Row],[CODIGO ]],salidas26[[CANT JUEGOS ]])</f>
        <v>8</v>
      </c>
      <c r="N14" s="1" t="n">
        <f aca="false">SUMIF(salidas26[[CODIGO ]],sony26[[#This Row],[CODIGO ]],salidas26[CANT BARRAS])</f>
        <v>24</v>
      </c>
      <c r="O14" s="1" t="n">
        <f aca="false">(sony26[[#This Row],["J"PRECIO COMPRA ]]*sony26[[#This Row],[STOCK JUEGOS]])</f>
        <v>2184</v>
      </c>
      <c r="P14" s="1" t="n">
        <f aca="false">(sony26[[#This Row],["J" PRECIO VENTA ]]*sony26[[#This Row],[STOCK JUEGOS]])</f>
        <v>4800</v>
      </c>
      <c r="Q14" s="1" t="n">
        <f aca="false">(sony26[[#This Row],["B"PRECIO COMPRA]]*sony26[[#This Row],[STOCK BARRAS]])</f>
        <v>0</v>
      </c>
      <c r="R14" s="1" t="n">
        <f aca="false">(sony26[[#This Row],["B"PRECIO VENTA ]]*sony26[[#This Row],[STOCK BARRAS]])</f>
        <v>0</v>
      </c>
      <c r="S14" s="18" t="n">
        <v>12</v>
      </c>
      <c r="T14" s="18" t="n">
        <v>4</v>
      </c>
      <c r="U14" s="1" t="n">
        <v>3.8</v>
      </c>
    </row>
    <row r="15" customFormat="false" ht="15" hidden="false" customHeight="false" outlineLevel="0" collapsed="false">
      <c r="A15" s="1" t="n">
        <v>11</v>
      </c>
      <c r="B15" s="1" t="n">
        <v>5021</v>
      </c>
      <c r="C15" s="1" t="s">
        <v>330</v>
      </c>
      <c r="D15" s="1" t="n">
        <f aca="false">(sony26[[#This Row],[CANTIDAD INICIAL JUEGO ]]+sony26[[#This Row],[ENTRADAS JUEGOS ]]-sony26[[#This Row],[SALIDAS JUEGOS]])</f>
        <v>19</v>
      </c>
      <c r="E15" s="1" t="n">
        <f aca="false">(sony26[[#This Row],[CANTIDAD INICIAL BARRAS]]+sony26[[#This Row],[ENTRADAS BARRAS]]-sony26[[#This Row],[SALIDA BARRAS]])</f>
        <v>0</v>
      </c>
      <c r="F15" s="23" t="n">
        <v>150</v>
      </c>
      <c r="G15" s="34" t="n">
        <v>29</v>
      </c>
      <c r="H15" s="1" t="n">
        <v>1</v>
      </c>
      <c r="I15" s="1" t="n">
        <f aca="false">(sony26[[#This Row],["J" PRECIO VENTA ]]/sony26[[#This Row],[BARRAS]])</f>
        <v>150</v>
      </c>
      <c r="J15" s="1" t="n">
        <f aca="false">(sony26[[#This Row],["J"PRECIO COMPRA ]]/sony26[[#This Row],[BARRAS]])</f>
        <v>29</v>
      </c>
      <c r="K15" s="1" t="n">
        <f aca="false">SUMIF(entradas26[CODIGO],sony26[[#This Row],[CODIGO ]],entradas26[[CAN JUEGOS ]])</f>
        <v>20</v>
      </c>
      <c r="L15" s="1" t="n">
        <f aca="false">SUMIF(entradas26[CODIGO],sony26[[#This Row],[CODIGO ]],entradas26[CAN BARRAS])</f>
        <v>0</v>
      </c>
      <c r="M15" s="1" t="n">
        <f aca="false">SUMIF(salidas26[[CODIGO ]],sony26[[#This Row],[CODIGO ]],salidas26[[CANT JUEGOS ]])</f>
        <v>1</v>
      </c>
      <c r="N15" s="1" t="n">
        <f aca="false">SUMIF(salidas26[[CODIGO ]],sony26[[#This Row],[CODIGO ]],salidas26[CANT BARRAS])</f>
        <v>0</v>
      </c>
      <c r="O15" s="1" t="n">
        <f aca="false">(sony26[[#This Row],["J"PRECIO COMPRA ]]*sony26[[#This Row],[STOCK JUEGOS]])</f>
        <v>551</v>
      </c>
      <c r="P15" s="1" t="n">
        <f aca="false">(sony26[[#This Row],["J" PRECIO VENTA ]]*sony26[[#This Row],[STOCK JUEGOS]])</f>
        <v>2850</v>
      </c>
      <c r="Q15" s="1" t="n">
        <f aca="false">(sony26[[#This Row],["B"PRECIO COMPRA]]*sony26[[#This Row],[STOCK BARRAS]])</f>
        <v>0</v>
      </c>
      <c r="R15" s="1" t="n">
        <f aca="false">(sony26[[#This Row],["B"PRECIO VENTA ]]*sony26[[#This Row],[STOCK BARRAS]])</f>
        <v>0</v>
      </c>
      <c r="U15" s="1" t="n">
        <v>1.5</v>
      </c>
      <c r="V15" s="1" t="s">
        <v>331</v>
      </c>
    </row>
    <row r="16" customFormat="false" ht="15" hidden="false" customHeight="false" outlineLevel="0" collapsed="false">
      <c r="A16" s="1" t="n">
        <v>12</v>
      </c>
      <c r="B16" s="1" t="n">
        <v>5022</v>
      </c>
      <c r="C16" s="15" t="s">
        <v>332</v>
      </c>
      <c r="D16" s="1" t="n">
        <f aca="false">(sony26[[#This Row],[CANTIDAD INICIAL JUEGO ]]+sony26[[#This Row],[ENTRADAS JUEGOS ]]-sony26[[#This Row],[SALIDAS JUEGOS]])</f>
        <v>1</v>
      </c>
      <c r="E16" s="1" t="n">
        <f aca="false">(sony26[[#This Row],[CANTIDAD INICIAL BARRAS]]+sony26[[#This Row],[ENTRADAS BARRAS]]-sony26[[#This Row],[SALIDA BARRAS]])</f>
        <v>0</v>
      </c>
      <c r="F16" s="23" t="n">
        <v>140</v>
      </c>
      <c r="G16" s="1" t="n">
        <v>60</v>
      </c>
      <c r="H16" s="1" t="n">
        <v>1</v>
      </c>
      <c r="I16" s="1" t="n">
        <f aca="false">(sony26[[#This Row],["J" PRECIO VENTA ]]/sony26[[#This Row],[BARRAS]])</f>
        <v>140</v>
      </c>
      <c r="J16" s="1" t="n">
        <f aca="false">(sony26[[#This Row],["J"PRECIO COMPRA ]]/sony26[[#This Row],[BARRAS]])</f>
        <v>60</v>
      </c>
      <c r="K16" s="1" t="n">
        <f aca="false">SUMIF(entradas26[CODIGO],sony26[[#This Row],[CODIGO ]],entradas26[[CAN JUEGOS ]])</f>
        <v>0</v>
      </c>
      <c r="L16" s="1" t="n">
        <f aca="false">SUMIF(entradas26[CODIGO],sony26[[#This Row],[CODIGO ]],entradas26[CAN BARRAS])</f>
        <v>0</v>
      </c>
      <c r="M16" s="1" t="n">
        <f aca="false">SUMIF(salidas26[[CODIGO ]],sony26[[#This Row],[CODIGO ]],salidas26[[CANT JUEGOS ]])</f>
        <v>1</v>
      </c>
      <c r="N16" s="1" t="n">
        <f aca="false">SUMIF(salidas26[[CODIGO ]],sony26[[#This Row],[CODIGO ]],salidas26[CANT BARRAS])</f>
        <v>0</v>
      </c>
      <c r="O16" s="1" t="n">
        <f aca="false">(sony26[[#This Row],["J"PRECIO COMPRA ]]*sony26[[#This Row],[STOCK JUEGOS]])</f>
        <v>60</v>
      </c>
      <c r="P16" s="1" t="n">
        <f aca="false">(sony26[[#This Row],["J" PRECIO VENTA ]]*sony26[[#This Row],[STOCK JUEGOS]])</f>
        <v>140</v>
      </c>
      <c r="Q16" s="1" t="n">
        <f aca="false">(sony26[[#This Row],["B"PRECIO COMPRA]]*sony26[[#This Row],[STOCK BARRAS]])</f>
        <v>0</v>
      </c>
      <c r="R16" s="1" t="n">
        <f aca="false">(sony26[[#This Row],["B"PRECIO VENTA ]]*sony26[[#This Row],[STOCK BARRAS]])</f>
        <v>0</v>
      </c>
      <c r="S16" s="18" t="n">
        <v>2</v>
      </c>
      <c r="T16" s="18"/>
    </row>
    <row r="17" customFormat="false" ht="15" hidden="false" customHeight="false" outlineLevel="0" collapsed="false">
      <c r="A17" s="1" t="n">
        <v>13</v>
      </c>
      <c r="B17" s="1" t="n">
        <v>5024</v>
      </c>
      <c r="C17" s="1" t="s">
        <v>333</v>
      </c>
      <c r="D17" s="1" t="n">
        <f aca="false">(sony26[[#This Row],[CANTIDAD INICIAL JUEGO ]]+sony26[[#This Row],[ENTRADAS JUEGOS ]]-sony26[[#This Row],[SALIDAS JUEGOS]])</f>
        <v>22</v>
      </c>
      <c r="E17" s="1" t="n">
        <f aca="false">(sony26[[#This Row],[CANTIDAD INICIAL BARRAS]]+sony26[[#This Row],[ENTRADAS BARRAS]]-sony26[[#This Row],[SALIDA BARRAS]])</f>
        <v>0</v>
      </c>
      <c r="F17" s="23" t="n">
        <v>150</v>
      </c>
      <c r="G17" s="1" t="n">
        <v>47</v>
      </c>
      <c r="H17" s="1" t="n">
        <v>1</v>
      </c>
      <c r="I17" s="1" t="n">
        <f aca="false">(sony26[[#This Row],["J" PRECIO VENTA ]]/sony26[[#This Row],[BARRAS]])</f>
        <v>150</v>
      </c>
      <c r="J17" s="1" t="n">
        <f aca="false">(sony26[[#This Row],["J"PRECIO COMPRA ]]/sony26[[#This Row],[BARRAS]])</f>
        <v>47</v>
      </c>
      <c r="K17" s="1" t="n">
        <f aca="false">SUMIF(entradas26[CODIGO],sony26[[#This Row],[CODIGO ]],entradas26[[CAN JUEGOS ]])</f>
        <v>0</v>
      </c>
      <c r="L17" s="1" t="n">
        <f aca="false">SUMIF(entradas26[CODIGO],sony26[[#This Row],[CODIGO ]],entradas26[CAN BARRAS])</f>
        <v>0</v>
      </c>
      <c r="M17" s="1" t="n">
        <f aca="false">SUMIF(salidas26[[CODIGO ]],sony26[[#This Row],[CODIGO ]],salidas26[[CANT JUEGOS ]])</f>
        <v>0</v>
      </c>
      <c r="N17" s="1" t="n">
        <f aca="false">SUMIF(salidas26[[CODIGO ]],sony26[[#This Row],[CODIGO ]],salidas26[CANT BARRAS])</f>
        <v>0</v>
      </c>
      <c r="O17" s="1" t="n">
        <f aca="false">(sony26[[#This Row],["J"PRECIO COMPRA ]]*sony26[[#This Row],[STOCK JUEGOS]])</f>
        <v>1034</v>
      </c>
      <c r="P17" s="1" t="n">
        <f aca="false">(sony26[[#This Row],["J" PRECIO VENTA ]]*sony26[[#This Row],[STOCK JUEGOS]])</f>
        <v>3300</v>
      </c>
      <c r="Q17" s="1" t="n">
        <f aca="false">(sony26[[#This Row],["B"PRECIO COMPRA]]*sony26[[#This Row],[STOCK BARRAS]])</f>
        <v>0</v>
      </c>
      <c r="R17" s="1" t="n">
        <f aca="false">(sony26[[#This Row],["B"PRECIO VENTA ]]*sony26[[#This Row],[STOCK BARRAS]])</f>
        <v>0</v>
      </c>
      <c r="S17" s="18" t="n">
        <v>22</v>
      </c>
      <c r="T17" s="18"/>
    </row>
    <row r="18" customFormat="false" ht="15" hidden="false" customHeight="false" outlineLevel="0" collapsed="false">
      <c r="A18" s="1" t="n">
        <v>14</v>
      </c>
      <c r="B18" s="1" t="n">
        <v>5025</v>
      </c>
      <c r="C18" s="15" t="s">
        <v>334</v>
      </c>
      <c r="D18" s="1" t="n">
        <f aca="false">(sony26[[#This Row],[CANTIDAD INICIAL JUEGO ]]+sony26[[#This Row],[ENTRADAS JUEGOS ]]-sony26[[#This Row],[SALIDAS JUEGOS]])</f>
        <v>16</v>
      </c>
      <c r="E18" s="1" t="n">
        <f aca="false">(sony26[[#This Row],[CANTIDAD INICIAL BARRAS]]+sony26[[#This Row],[ENTRADAS BARRAS]]-sony26[[#This Row],[SALIDA BARRAS]])</f>
        <v>0</v>
      </c>
      <c r="F18" s="23" t="n">
        <v>150</v>
      </c>
      <c r="G18" s="1" t="n">
        <v>76</v>
      </c>
      <c r="H18" s="1" t="n">
        <v>2</v>
      </c>
      <c r="I18" s="1" t="n">
        <f aca="false">(sony26[[#This Row],["J" PRECIO VENTA ]]/sony26[[#This Row],[BARRAS]])</f>
        <v>75</v>
      </c>
      <c r="J18" s="1" t="n">
        <f aca="false">(sony26[[#This Row],["J"PRECIO COMPRA ]]/sony26[[#This Row],[BARRAS]])</f>
        <v>38</v>
      </c>
      <c r="K18" s="1" t="n">
        <f aca="false">SUMIF(entradas26[CODIGO],sony26[[#This Row],[CODIGO ]],entradas26[[CAN JUEGOS ]])</f>
        <v>0</v>
      </c>
      <c r="L18" s="1" t="n">
        <f aca="false">SUMIF(entradas26[CODIGO],sony26[[#This Row],[CODIGO ]],entradas26[CAN BARRAS])</f>
        <v>0</v>
      </c>
      <c r="M18" s="1" t="n">
        <f aca="false">SUMIF(salidas26[[CODIGO ]],sony26[[#This Row],[CODIGO ]],salidas26[[CANT JUEGOS ]])</f>
        <v>1</v>
      </c>
      <c r="N18" s="1" t="n">
        <f aca="false">SUMIF(salidas26[[CODIGO ]],sony26[[#This Row],[CODIGO ]],salidas26[CANT BARRAS])</f>
        <v>0</v>
      </c>
      <c r="O18" s="1" t="n">
        <f aca="false">(sony26[[#This Row],["J"PRECIO COMPRA ]]*sony26[[#This Row],[STOCK JUEGOS]])</f>
        <v>1216</v>
      </c>
      <c r="P18" s="1" t="n">
        <f aca="false">(sony26[[#This Row],["J" PRECIO VENTA ]]*sony26[[#This Row],[STOCK JUEGOS]])</f>
        <v>2400</v>
      </c>
      <c r="Q18" s="1" t="n">
        <f aca="false">(sony26[[#This Row],["B"PRECIO COMPRA]]*sony26[[#This Row],[STOCK BARRAS]])</f>
        <v>0</v>
      </c>
      <c r="R18" s="1" t="n">
        <f aca="false">(sony26[[#This Row],["B"PRECIO VENTA ]]*sony26[[#This Row],[STOCK BARRAS]])</f>
        <v>0</v>
      </c>
      <c r="S18" s="18" t="n">
        <v>17</v>
      </c>
      <c r="T18" s="18"/>
    </row>
    <row r="19" customFormat="false" ht="15" hidden="false" customHeight="false" outlineLevel="0" collapsed="false">
      <c r="A19" s="1" t="n">
        <v>15</v>
      </c>
      <c r="B19" s="1" t="n">
        <v>5026</v>
      </c>
      <c r="C19" s="15" t="s">
        <v>335</v>
      </c>
      <c r="D19" s="1" t="n">
        <f aca="false">(sony26[[#This Row],[CANTIDAD INICIAL JUEGO ]]+sony26[[#This Row],[ENTRADAS JUEGOS ]]-sony26[[#This Row],[SALIDAS JUEGOS]])</f>
        <v>2</v>
      </c>
      <c r="E19" s="1" t="n">
        <f aca="false">(sony26[[#This Row],[CANTIDAD INICIAL BARRAS]]+sony26[[#This Row],[ENTRADAS BARRAS]]-sony26[[#This Row],[SALIDA BARRAS]])</f>
        <v>0</v>
      </c>
      <c r="F19" s="23" t="n">
        <v>240</v>
      </c>
      <c r="G19" s="1" t="n">
        <v>220</v>
      </c>
      <c r="H19" s="1" t="n">
        <v>12</v>
      </c>
      <c r="I19" s="1" t="n">
        <f aca="false">(sony26[[#This Row],["J" PRECIO VENTA ]]/sony26[[#This Row],[BARRAS]])</f>
        <v>20</v>
      </c>
      <c r="J19" s="1" t="n">
        <f aca="false">(sony26[[#This Row],["J"PRECIO COMPRA ]]/sony26[[#This Row],[BARRAS]])</f>
        <v>18.3333333333333</v>
      </c>
      <c r="K19" s="1" t="n">
        <f aca="false">SUMIF(entradas26[CODIGO],sony26[[#This Row],[CODIGO ]],entradas26[[CAN JUEGOS ]])</f>
        <v>0</v>
      </c>
      <c r="L19" s="1" t="n">
        <f aca="false">SUMIF(entradas26[CODIGO],sony26[[#This Row],[CODIGO ]],entradas26[CAN BARRAS])</f>
        <v>0</v>
      </c>
      <c r="M19" s="1" t="n">
        <f aca="false">SUMIF(salidas26[[CODIGO ]],sony26[[#This Row],[CODIGO ]],salidas26[[CANT JUEGOS ]])</f>
        <v>0</v>
      </c>
      <c r="N19" s="1" t="n">
        <f aca="false">SUMIF(salidas26[[CODIGO ]],sony26[[#This Row],[CODIGO ]],salidas26[CANT BARRAS])</f>
        <v>0</v>
      </c>
      <c r="O19" s="1" t="n">
        <f aca="false">(sony26[[#This Row],["J"PRECIO COMPRA ]]*sony26[[#This Row],[STOCK JUEGOS]])</f>
        <v>440</v>
      </c>
      <c r="P19" s="1" t="n">
        <f aca="false">(sony26[[#This Row],["J" PRECIO VENTA ]]*sony26[[#This Row],[STOCK JUEGOS]])</f>
        <v>480</v>
      </c>
      <c r="Q19" s="1" t="n">
        <f aca="false">(sony26[[#This Row],["B"PRECIO COMPRA]]*sony26[[#This Row],[STOCK BARRAS]])</f>
        <v>0</v>
      </c>
      <c r="R19" s="1" t="n">
        <f aca="false">(sony26[[#This Row],["B"PRECIO VENTA ]]*sony26[[#This Row],[STOCK BARRAS]])</f>
        <v>0</v>
      </c>
      <c r="S19" s="18" t="n">
        <v>2</v>
      </c>
      <c r="T19" s="18"/>
    </row>
    <row r="20" customFormat="false" ht="15" hidden="false" customHeight="false" outlineLevel="0" collapsed="false">
      <c r="A20" s="1" t="n">
        <v>16</v>
      </c>
      <c r="B20" s="1" t="n">
        <v>5027</v>
      </c>
      <c r="C20" s="1" t="s">
        <v>336</v>
      </c>
      <c r="D20" s="1" t="n">
        <f aca="false">(sony26[[#This Row],[CANTIDAD INICIAL JUEGO ]]+sony26[[#This Row],[ENTRADAS JUEGOS ]]-sony26[[#This Row],[SALIDAS JUEGOS]])</f>
        <v>19</v>
      </c>
      <c r="E20" s="1" t="n">
        <f aca="false">(sony26[[#This Row],[CANTIDAD INICIAL BARRAS]]+sony26[[#This Row],[ENTRADAS BARRAS]]-sony26[[#This Row],[SALIDA BARRAS]])</f>
        <v>0</v>
      </c>
      <c r="F20" s="23" t="n">
        <v>150</v>
      </c>
      <c r="G20" s="1" t="n">
        <v>42</v>
      </c>
      <c r="H20" s="1" t="n">
        <v>1</v>
      </c>
      <c r="I20" s="1" t="n">
        <f aca="false">(sony26[[#This Row],["J" PRECIO VENTA ]]/sony26[[#This Row],[BARRAS]])</f>
        <v>150</v>
      </c>
      <c r="J20" s="1" t="n">
        <f aca="false">(sony26[[#This Row],["J"PRECIO COMPRA ]]/sony26[[#This Row],[BARRAS]])</f>
        <v>42</v>
      </c>
      <c r="K20" s="1" t="n">
        <f aca="false">SUMIF(entradas26[CODIGO],sony26[[#This Row],[CODIGO ]],entradas26[[CAN JUEGOS ]])</f>
        <v>0</v>
      </c>
      <c r="L20" s="1" t="n">
        <f aca="false">SUMIF(entradas26[CODIGO],sony26[[#This Row],[CODIGO ]],entradas26[CAN BARRAS])</f>
        <v>0</v>
      </c>
      <c r="M20" s="1" t="n">
        <f aca="false">SUMIF(salidas26[[CODIGO ]],sony26[[#This Row],[CODIGO ]],salidas26[[CANT JUEGOS ]])</f>
        <v>1</v>
      </c>
      <c r="N20" s="1" t="n">
        <f aca="false">SUMIF(salidas26[[CODIGO ]],sony26[[#This Row],[CODIGO ]],salidas26[CANT BARRAS])</f>
        <v>0</v>
      </c>
      <c r="O20" s="1" t="n">
        <f aca="false">(sony26[[#This Row],["J"PRECIO COMPRA ]]*sony26[[#This Row],[STOCK JUEGOS]])</f>
        <v>798</v>
      </c>
      <c r="P20" s="1" t="n">
        <f aca="false">(sony26[[#This Row],["J" PRECIO VENTA ]]*sony26[[#This Row],[STOCK JUEGOS]])</f>
        <v>2850</v>
      </c>
      <c r="Q20" s="1" t="n">
        <f aca="false">(sony26[[#This Row],["B"PRECIO COMPRA]]*sony26[[#This Row],[STOCK BARRAS]])</f>
        <v>0</v>
      </c>
      <c r="R20" s="1" t="n">
        <f aca="false">(sony26[[#This Row],["B"PRECIO VENTA ]]*sony26[[#This Row],[STOCK BARRAS]])</f>
        <v>0</v>
      </c>
      <c r="S20" s="18" t="n">
        <v>20</v>
      </c>
      <c r="T20" s="18"/>
    </row>
    <row r="21" s="1" customFormat="true" ht="15" hidden="false" customHeight="false" outlineLevel="0" collapsed="false">
      <c r="A21" s="1" t="n">
        <v>29</v>
      </c>
      <c r="B21" s="1" t="n">
        <v>5029</v>
      </c>
      <c r="C21" s="15" t="s">
        <v>337</v>
      </c>
      <c r="D21" s="1" t="n">
        <f aca="false">(sony26[[#This Row],[CANTIDAD INICIAL JUEGO ]]+sony26[[#This Row],[ENTRADAS JUEGOS ]]-sony26[[#This Row],[SALIDAS JUEGOS]])</f>
        <v>19</v>
      </c>
      <c r="E21" s="1" t="n">
        <f aca="false">(sony26[[#This Row],[CANTIDAD INICIAL BARRAS]]+sony26[[#This Row],[ENTRADAS BARRAS]]-sony26[[#This Row],[SALIDA BARRAS]])</f>
        <v>0</v>
      </c>
      <c r="F21" s="32" t="n">
        <v>200</v>
      </c>
      <c r="G21" s="1" t="n">
        <v>106</v>
      </c>
      <c r="H21" s="1" t="n">
        <v>1</v>
      </c>
      <c r="I21" s="1" t="n">
        <f aca="false">(sony26[[#This Row],["J" PRECIO VENTA ]]/sony26[[#This Row],[BARRAS]])</f>
        <v>200</v>
      </c>
      <c r="J21" s="1" t="n">
        <f aca="false">(sony26[[#This Row],["J"PRECIO COMPRA ]]/sony26[[#This Row],[BARRAS]])</f>
        <v>106</v>
      </c>
      <c r="K21" s="1" t="n">
        <f aca="false">SUMIF(entradas26[CODIGO],sony26[[#This Row],[CODIGO ]],entradas26[[CAN JUEGOS ]])</f>
        <v>20</v>
      </c>
      <c r="L21" s="1" t="n">
        <f aca="false">SUMIF(entradas26[CODIGO],sony26[[#This Row],[CODIGO ]],entradas26[CAN BARRAS])</f>
        <v>0</v>
      </c>
      <c r="M21" s="1" t="n">
        <f aca="false">SUMIF(salidas26[[CODIGO ]],sony26[[#This Row],[CODIGO ]],salidas26[[CANT JUEGOS ]])</f>
        <v>1</v>
      </c>
      <c r="N21" s="1" t="n">
        <f aca="false">SUMIF(salidas26[[CODIGO ]],sony26[[#This Row],[CODIGO ]],salidas26[CANT BARRAS])</f>
        <v>0</v>
      </c>
      <c r="O21" s="1" t="n">
        <f aca="false">(sony26[[#This Row],["J"PRECIO COMPRA ]]*sony26[[#This Row],[STOCK JUEGOS]])</f>
        <v>2014</v>
      </c>
      <c r="P21" s="1" t="n">
        <f aca="false">(sony26[[#This Row],["J" PRECIO VENTA ]]*sony26[[#This Row],[STOCK JUEGOS]])</f>
        <v>3800</v>
      </c>
      <c r="Q21" s="1" t="n">
        <f aca="false">(sony26[[#This Row],["B"PRECIO COMPRA]]*sony26[[#This Row],[STOCK BARRAS]])</f>
        <v>0</v>
      </c>
      <c r="R21" s="1" t="n">
        <f aca="false">(sony26[[#This Row],["B"PRECIO VENTA ]]*sony26[[#This Row],[STOCK BARRAS]])</f>
        <v>0</v>
      </c>
      <c r="U21" s="1" t="n">
        <v>5.14</v>
      </c>
      <c r="V21" s="1" t="s">
        <v>338</v>
      </c>
    </row>
    <row r="22" customFormat="false" ht="15" hidden="false" customHeight="false" outlineLevel="0" collapsed="false">
      <c r="A22" s="1" t="n">
        <v>17</v>
      </c>
      <c r="B22" s="1" t="n">
        <v>5028</v>
      </c>
      <c r="C22" s="15" t="s">
        <v>339</v>
      </c>
      <c r="D22" s="1" t="n">
        <f aca="false">(sony26[[#This Row],[CANTIDAD INICIAL JUEGO ]]+sony26[[#This Row],[ENTRADAS JUEGOS ]]-sony26[[#This Row],[SALIDAS JUEGOS]])</f>
        <v>18</v>
      </c>
      <c r="E22" s="1" t="n">
        <f aca="false">(sony26[[#This Row],[CANTIDAD INICIAL BARRAS]]+sony26[[#This Row],[ENTRADAS BARRAS]]-sony26[[#This Row],[SALIDA BARRAS]])</f>
        <v>0</v>
      </c>
      <c r="F22" s="23" t="n">
        <v>250</v>
      </c>
      <c r="G22" s="1" t="n">
        <v>79</v>
      </c>
      <c r="H22" s="1" t="n">
        <v>7</v>
      </c>
      <c r="I22" s="1" t="n">
        <f aca="false">(sony26[[#This Row],["J" PRECIO VENTA ]]/sony26[[#This Row],[BARRAS]])</f>
        <v>35.7142857142857</v>
      </c>
      <c r="J22" s="1" t="n">
        <f aca="false">(sony26[[#This Row],["J"PRECIO COMPRA ]]/sony26[[#This Row],[BARRAS]])</f>
        <v>11.2857142857143</v>
      </c>
      <c r="K22" s="1" t="n">
        <f aca="false">SUMIF(entradas26[CODIGO],sony26[[#This Row],[CODIGO ]],entradas26[[CAN JUEGOS ]])</f>
        <v>0</v>
      </c>
      <c r="L22" s="1" t="n">
        <f aca="false">SUMIF(entradas26[CODIGO],sony26[[#This Row],[CODIGO ]],entradas26[CAN BARRAS])</f>
        <v>0</v>
      </c>
      <c r="M22" s="1" t="n">
        <f aca="false">SUMIF(salidas26[[CODIGO ]],sony26[[#This Row],[CODIGO ]],salidas26[[CANT JUEGOS ]])</f>
        <v>0</v>
      </c>
      <c r="N22" s="1" t="n">
        <f aca="false">SUMIF(salidas26[[CODIGO ]],sony26[[#This Row],[CODIGO ]],salidas26[CANT BARRAS])</f>
        <v>0</v>
      </c>
      <c r="O22" s="1" t="n">
        <f aca="false">(sony26[[#This Row],["J"PRECIO COMPRA ]]*sony26[[#This Row],[STOCK JUEGOS]])</f>
        <v>1422</v>
      </c>
      <c r="P22" s="1" t="n">
        <f aca="false">(sony26[[#This Row],["J" PRECIO VENTA ]]*sony26[[#This Row],[STOCK JUEGOS]])</f>
        <v>4500</v>
      </c>
      <c r="Q22" s="1" t="n">
        <f aca="false">(sony26[[#This Row],["B"PRECIO COMPRA]]*sony26[[#This Row],[STOCK BARRAS]])</f>
        <v>0</v>
      </c>
      <c r="R22" s="1" t="n">
        <f aca="false">(sony26[[#This Row],["B"PRECIO VENTA ]]*sony26[[#This Row],[STOCK BARRAS]])</f>
        <v>0</v>
      </c>
      <c r="S22" s="18" t="n">
        <v>18</v>
      </c>
      <c r="T22" s="18"/>
    </row>
    <row r="23" customFormat="false" ht="15" hidden="false" customHeight="false" outlineLevel="0" collapsed="false">
      <c r="A23" s="1" t="n">
        <v>18</v>
      </c>
      <c r="B23" s="1" t="n">
        <v>5030</v>
      </c>
      <c r="C23" s="1" t="s">
        <v>340</v>
      </c>
      <c r="D23" s="1" t="n">
        <f aca="false">(sony26[[#This Row],[CANTIDAD INICIAL JUEGO ]]+sony26[[#This Row],[ENTRADAS JUEGOS ]]-sony26[[#This Row],[SALIDAS JUEGOS]])</f>
        <v>16</v>
      </c>
      <c r="E23" s="1" t="n">
        <f aca="false">(sony26[[#This Row],[CANTIDAD INICIAL BARRAS]]+sony26[[#This Row],[ENTRADAS BARRAS]]-sony26[[#This Row],[SALIDA BARRAS]])</f>
        <v>0</v>
      </c>
      <c r="F23" s="23" t="n">
        <v>240</v>
      </c>
      <c r="G23" s="1" t="n">
        <v>164</v>
      </c>
      <c r="H23" s="1" t="n">
        <v>8</v>
      </c>
      <c r="I23" s="1" t="n">
        <f aca="false">(sony26[[#This Row],["J" PRECIO VENTA ]]/sony26[[#This Row],[BARRAS]])</f>
        <v>30</v>
      </c>
      <c r="J23" s="1" t="n">
        <f aca="false">(sony26[[#This Row],["J"PRECIO COMPRA ]]/sony26[[#This Row],[BARRAS]])</f>
        <v>20.5</v>
      </c>
      <c r="K23" s="1" t="n">
        <f aca="false">SUMIF(entradas26[CODIGO],sony26[[#This Row],[CODIGO ]],entradas26[[CAN JUEGOS ]])</f>
        <v>0</v>
      </c>
      <c r="L23" s="1" t="n">
        <f aca="false">SUMIF(entradas26[CODIGO],sony26[[#This Row],[CODIGO ]],entradas26[CAN BARRAS])</f>
        <v>0</v>
      </c>
      <c r="M23" s="1" t="n">
        <f aca="false">SUMIF(salidas26[[CODIGO ]],sony26[[#This Row],[CODIGO ]],salidas26[[CANT JUEGOS ]])</f>
        <v>1</v>
      </c>
      <c r="N23" s="1" t="n">
        <f aca="false">SUMIF(salidas26[[CODIGO ]],sony26[[#This Row],[CODIGO ]],salidas26[CANT BARRAS])</f>
        <v>0</v>
      </c>
      <c r="O23" s="1" t="n">
        <f aca="false">(sony26[[#This Row],["J"PRECIO COMPRA ]]*sony26[[#This Row],[STOCK JUEGOS]])</f>
        <v>2624</v>
      </c>
      <c r="P23" s="1" t="n">
        <f aca="false">(sony26[[#This Row],["J" PRECIO VENTA ]]*sony26[[#This Row],[STOCK JUEGOS]])</f>
        <v>3840</v>
      </c>
      <c r="Q23" s="1" t="n">
        <f aca="false">(sony26[[#This Row],["B"PRECIO COMPRA]]*sony26[[#This Row],[STOCK BARRAS]])</f>
        <v>0</v>
      </c>
      <c r="R23" s="1" t="n">
        <f aca="false">(sony26[[#This Row],["B"PRECIO VENTA ]]*sony26[[#This Row],[STOCK BARRAS]])</f>
        <v>0</v>
      </c>
      <c r="S23" s="18" t="n">
        <v>17</v>
      </c>
      <c r="T23" s="18"/>
    </row>
    <row r="24" customFormat="false" ht="15" hidden="false" customHeight="false" outlineLevel="0" collapsed="false">
      <c r="A24" s="1" t="n">
        <v>19</v>
      </c>
      <c r="B24" s="1" t="n">
        <v>5031</v>
      </c>
      <c r="C24" s="1" t="s">
        <v>341</v>
      </c>
      <c r="D24" s="1" t="n">
        <f aca="false">(sony26[[#This Row],[CANTIDAD INICIAL JUEGO ]]+sony26[[#This Row],[ENTRADAS JUEGOS ]]-sony26[[#This Row],[SALIDAS JUEGOS]])</f>
        <v>32</v>
      </c>
      <c r="E24" s="1" t="n">
        <f aca="false">(sony26[[#This Row],[CANTIDAD INICIAL BARRAS]]+sony26[[#This Row],[ENTRADAS BARRAS]]-sony26[[#This Row],[SALIDA BARRAS]])</f>
        <v>0</v>
      </c>
      <c r="F24" s="32" t="n">
        <v>250</v>
      </c>
      <c r="G24" s="1" t="n">
        <v>120</v>
      </c>
      <c r="H24" s="1" t="n">
        <v>2</v>
      </c>
      <c r="I24" s="1" t="n">
        <f aca="false">(sony26[[#This Row],["J" PRECIO VENTA ]]/sony26[[#This Row],[BARRAS]])</f>
        <v>125</v>
      </c>
      <c r="J24" s="1" t="n">
        <f aca="false">(sony26[[#This Row],["J"PRECIO COMPRA ]]/sony26[[#This Row],[BARRAS]])</f>
        <v>60</v>
      </c>
      <c r="K24" s="1" t="n">
        <f aca="false">SUMIF(entradas26[CODIGO],sony26[[#This Row],[CODIGO ]],entradas26[[CAN JUEGOS ]])</f>
        <v>0</v>
      </c>
      <c r="L24" s="1" t="n">
        <f aca="false">SUMIF(entradas26[CODIGO],sony26[[#This Row],[CODIGO ]],entradas26[CAN BARRAS])</f>
        <v>0</v>
      </c>
      <c r="M24" s="1" t="n">
        <f aca="false">SUMIF(salidas26[[CODIGO ]],sony26[[#This Row],[CODIGO ]],salidas26[[CANT JUEGOS ]])</f>
        <v>8</v>
      </c>
      <c r="N24" s="1" t="n">
        <f aca="false">SUMIF(salidas26[[CODIGO ]],sony26[[#This Row],[CODIGO ]],salidas26[CANT BARRAS])</f>
        <v>0</v>
      </c>
      <c r="O24" s="1" t="n">
        <f aca="false">(sony26[[#This Row],["J"PRECIO COMPRA ]]*sony26[[#This Row],[STOCK JUEGOS]])</f>
        <v>3840</v>
      </c>
      <c r="P24" s="1" t="n">
        <f aca="false">(sony26[[#This Row],["J" PRECIO VENTA ]]*sony26[[#This Row],[STOCK JUEGOS]])</f>
        <v>8000</v>
      </c>
      <c r="Q24" s="1" t="n">
        <f aca="false">(sony26[[#This Row],["B"PRECIO COMPRA]]*sony26[[#This Row],[STOCK BARRAS]])</f>
        <v>0</v>
      </c>
      <c r="R24" s="1" t="n">
        <f aca="false">(sony26[[#This Row],["B"PRECIO VENTA ]]*sony26[[#This Row],[STOCK BARRAS]])</f>
        <v>0</v>
      </c>
      <c r="S24" s="18" t="n">
        <v>40</v>
      </c>
      <c r="T24" s="18"/>
      <c r="U24" s="1" t="n">
        <v>5.2</v>
      </c>
    </row>
    <row r="25" customFormat="false" ht="15" hidden="false" customHeight="false" outlineLevel="0" collapsed="false">
      <c r="A25" s="1" t="n">
        <v>20</v>
      </c>
      <c r="B25" s="1" t="n">
        <v>5032</v>
      </c>
      <c r="C25" s="15" t="s">
        <v>342</v>
      </c>
      <c r="D25" s="1" t="n">
        <f aca="false">(sony26[[#This Row],[CANTIDAD INICIAL JUEGO ]]+sony26[[#This Row],[ENTRADAS JUEGOS ]]-sony26[[#This Row],[SALIDAS JUEGOS]])</f>
        <v>4</v>
      </c>
      <c r="E25" s="1" t="n">
        <f aca="false">(sony26[[#This Row],[CANTIDAD INICIAL BARRAS]]+sony26[[#This Row],[ENTRADAS BARRAS]]-sony26[[#This Row],[SALIDA BARRAS]])</f>
        <v>0</v>
      </c>
      <c r="F25" s="23" t="n">
        <v>200</v>
      </c>
      <c r="G25" s="1" t="n">
        <v>82</v>
      </c>
      <c r="H25" s="1" t="n">
        <v>1</v>
      </c>
      <c r="I25" s="1" t="n">
        <f aca="false">(sony26[[#This Row],["J" PRECIO VENTA ]]/sony26[[#This Row],[BARRAS]])</f>
        <v>200</v>
      </c>
      <c r="J25" s="1" t="n">
        <f aca="false">(sony26[[#This Row],["J"PRECIO COMPRA ]]/sony26[[#This Row],[BARRAS]])</f>
        <v>82</v>
      </c>
      <c r="K25" s="1" t="n">
        <f aca="false">SUMIF(entradas26[CODIGO],sony26[[#This Row],[CODIGO ]],entradas26[[CAN JUEGOS ]])</f>
        <v>0</v>
      </c>
      <c r="L25" s="1" t="n">
        <f aca="false">SUMIF(entradas26[CODIGO],sony26[[#This Row],[CODIGO ]],entradas26[CAN BARRAS])</f>
        <v>0</v>
      </c>
      <c r="M25" s="1" t="n">
        <f aca="false">SUMIF(salidas26[[CODIGO ]],sony26[[#This Row],[CODIGO ]],salidas26[[CANT JUEGOS ]])</f>
        <v>0</v>
      </c>
      <c r="N25" s="1" t="n">
        <f aca="false">SUMIF(salidas26[[CODIGO ]],sony26[[#This Row],[CODIGO ]],salidas26[CANT BARRAS])</f>
        <v>0</v>
      </c>
      <c r="O25" s="1" t="n">
        <f aca="false">(sony26[[#This Row],["J"PRECIO COMPRA ]]*sony26[[#This Row],[STOCK JUEGOS]])</f>
        <v>328</v>
      </c>
      <c r="P25" s="1" t="n">
        <f aca="false">(sony26[[#This Row],["J" PRECIO VENTA ]]*sony26[[#This Row],[STOCK JUEGOS]])</f>
        <v>800</v>
      </c>
      <c r="Q25" s="1" t="n">
        <f aca="false">(sony26[[#This Row],["B"PRECIO COMPRA]]*sony26[[#This Row],[STOCK BARRAS]])</f>
        <v>0</v>
      </c>
      <c r="R25" s="1" t="n">
        <f aca="false">(sony26[[#This Row],["B"PRECIO VENTA ]]*sony26[[#This Row],[STOCK BARRAS]])</f>
        <v>0</v>
      </c>
      <c r="S25" s="18" t="n">
        <v>4</v>
      </c>
      <c r="T25" s="18"/>
    </row>
    <row r="26" customFormat="false" ht="15" hidden="false" customHeight="false" outlineLevel="0" collapsed="false">
      <c r="A26" s="1" t="n">
        <v>21</v>
      </c>
      <c r="B26" s="1" t="n">
        <v>5033</v>
      </c>
      <c r="C26" s="15" t="s">
        <v>343</v>
      </c>
      <c r="D26" s="1" t="n">
        <f aca="false">(sony26[[#This Row],[CANTIDAD INICIAL JUEGO ]]+sony26[[#This Row],[ENTRADAS JUEGOS ]]-sony26[[#This Row],[SALIDAS JUEGOS]])</f>
        <v>5</v>
      </c>
      <c r="E26" s="1" t="n">
        <f aca="false">(sony26[[#This Row],[CANTIDAD INICIAL BARRAS]]+sony26[[#This Row],[ENTRADAS BARRAS]]-sony26[[#This Row],[SALIDA BARRAS]])</f>
        <v>0</v>
      </c>
      <c r="F26" s="23" t="n">
        <v>200</v>
      </c>
      <c r="G26" s="1" t="n">
        <v>82</v>
      </c>
      <c r="H26" s="1" t="n">
        <v>1</v>
      </c>
      <c r="I26" s="1" t="n">
        <f aca="false">(sony26[[#This Row],["J" PRECIO VENTA ]]/sony26[[#This Row],[BARRAS]])</f>
        <v>200</v>
      </c>
      <c r="J26" s="1" t="n">
        <f aca="false">(sony26[[#This Row],["J"PRECIO COMPRA ]]/sony26[[#This Row],[BARRAS]])</f>
        <v>82</v>
      </c>
      <c r="K26" s="1" t="n">
        <f aca="false">SUMIF(entradas26[CODIGO],sony26[[#This Row],[CODIGO ]],entradas26[[CAN JUEGOS ]])</f>
        <v>0</v>
      </c>
      <c r="L26" s="1" t="n">
        <f aca="false">SUMIF(entradas26[CODIGO],sony26[[#This Row],[CODIGO ]],entradas26[CAN BARRAS])</f>
        <v>0</v>
      </c>
      <c r="M26" s="1" t="n">
        <f aca="false">SUMIF(salidas26[[CODIGO ]],sony26[[#This Row],[CODIGO ]],salidas26[[CANT JUEGOS ]])</f>
        <v>0</v>
      </c>
      <c r="N26" s="1" t="n">
        <f aca="false">SUMIF(salidas26[[CODIGO ]],sony26[[#This Row],[CODIGO ]],salidas26[CANT BARRAS])</f>
        <v>0</v>
      </c>
      <c r="O26" s="1" t="n">
        <f aca="false">(sony26[[#This Row],["J"PRECIO COMPRA ]]*sony26[[#This Row],[STOCK JUEGOS]])</f>
        <v>410</v>
      </c>
      <c r="P26" s="1" t="n">
        <f aca="false">(sony26[[#This Row],["J" PRECIO VENTA ]]*sony26[[#This Row],[STOCK JUEGOS]])</f>
        <v>1000</v>
      </c>
      <c r="Q26" s="1" t="n">
        <f aca="false">(sony26[[#This Row],["B"PRECIO COMPRA]]*sony26[[#This Row],[STOCK BARRAS]])</f>
        <v>0</v>
      </c>
      <c r="R26" s="1" t="n">
        <f aca="false">(sony26[[#This Row],["B"PRECIO VENTA ]]*sony26[[#This Row],[STOCK BARRAS]])</f>
        <v>0</v>
      </c>
      <c r="S26" s="18" t="n">
        <v>5</v>
      </c>
      <c r="T26" s="18"/>
    </row>
    <row r="27" customFormat="false" ht="15" hidden="false" customHeight="false" outlineLevel="0" collapsed="false">
      <c r="A27" s="1" t="n">
        <v>22</v>
      </c>
      <c r="B27" s="1" t="n">
        <v>5034</v>
      </c>
      <c r="C27" s="15" t="s">
        <v>344</v>
      </c>
      <c r="D27" s="1" t="n">
        <f aca="false">(sony26[[#This Row],[CANTIDAD INICIAL JUEGO ]]+sony26[[#This Row],[ENTRADAS JUEGOS ]]-sony26[[#This Row],[SALIDAS JUEGOS]])</f>
        <v>20</v>
      </c>
      <c r="E27" s="1" t="n">
        <f aca="false">(sony26[[#This Row],[CANTIDAD INICIAL BARRAS]]+sony26[[#This Row],[ENTRADAS BARRAS]]-sony26[[#This Row],[SALIDA BARRAS]])</f>
        <v>0</v>
      </c>
      <c r="F27" s="23" t="n">
        <v>240</v>
      </c>
      <c r="G27" s="1" t="n">
        <v>58</v>
      </c>
      <c r="H27" s="1" t="n">
        <v>2</v>
      </c>
      <c r="I27" s="1" t="n">
        <f aca="false">(sony26[[#This Row],["J" PRECIO VENTA ]]/sony26[[#This Row],[BARRAS]])</f>
        <v>120</v>
      </c>
      <c r="J27" s="1" t="n">
        <f aca="false">(sony26[[#This Row],["J"PRECIO COMPRA ]]/sony26[[#This Row],[BARRAS]])</f>
        <v>29</v>
      </c>
      <c r="K27" s="1" t="n">
        <f aca="false">SUMIF(entradas26[CODIGO],sony26[[#This Row],[CODIGO ]],entradas26[[CAN JUEGOS ]])</f>
        <v>0</v>
      </c>
      <c r="L27" s="1" t="n">
        <f aca="false">SUMIF(entradas26[CODIGO],sony26[[#This Row],[CODIGO ]],entradas26[CAN BARRAS])</f>
        <v>0</v>
      </c>
      <c r="M27" s="1" t="n">
        <f aca="false">SUMIF(salidas26[[CODIGO ]],sony26[[#This Row],[CODIGO ]],salidas26[[CANT JUEGOS ]])</f>
        <v>0</v>
      </c>
      <c r="N27" s="1" t="n">
        <f aca="false">SUMIF(salidas26[[CODIGO ]],sony26[[#This Row],[CODIGO ]],salidas26[CANT BARRAS])</f>
        <v>0</v>
      </c>
      <c r="O27" s="1" t="n">
        <f aca="false">(sony26[[#This Row],["J"PRECIO COMPRA ]]*sony26[[#This Row],[STOCK JUEGOS]])</f>
        <v>1160</v>
      </c>
      <c r="P27" s="1" t="n">
        <f aca="false">(sony26[[#This Row],["J" PRECIO VENTA ]]*sony26[[#This Row],[STOCK JUEGOS]])</f>
        <v>4800</v>
      </c>
      <c r="Q27" s="1" t="n">
        <f aca="false">(sony26[[#This Row],["B"PRECIO COMPRA]]*sony26[[#This Row],[STOCK BARRAS]])</f>
        <v>0</v>
      </c>
      <c r="R27" s="1" t="n">
        <f aca="false">(sony26[[#This Row],["B"PRECIO VENTA ]]*sony26[[#This Row],[STOCK BARRAS]])</f>
        <v>0</v>
      </c>
      <c r="S27" s="18" t="n">
        <v>20</v>
      </c>
      <c r="T27" s="18"/>
    </row>
    <row r="28" customFormat="false" ht="15" hidden="false" customHeight="false" outlineLevel="0" collapsed="false">
      <c r="A28" s="1" t="n">
        <v>23</v>
      </c>
      <c r="B28" s="1" t="n">
        <v>5035</v>
      </c>
      <c r="C28" s="15" t="s">
        <v>345</v>
      </c>
      <c r="D28" s="1" t="n">
        <f aca="false">(sony26[[#This Row],[CANTIDAD INICIAL JUEGO ]]+sony26[[#This Row],[ENTRADAS JUEGOS ]]-sony26[[#This Row],[SALIDAS JUEGOS]])</f>
        <v>20</v>
      </c>
      <c r="E28" s="1" t="n">
        <f aca="false">(sony26[[#This Row],[CANTIDAD INICIAL BARRAS]]+sony26[[#This Row],[ENTRADAS BARRAS]]-sony26[[#This Row],[SALIDA BARRAS]])</f>
        <v>1</v>
      </c>
      <c r="F28" s="23" t="n">
        <v>350</v>
      </c>
      <c r="G28" s="1" t="n">
        <v>79.5</v>
      </c>
      <c r="H28" s="1" t="n">
        <v>2</v>
      </c>
      <c r="I28" s="1" t="n">
        <f aca="false">(sony26[[#This Row],["J" PRECIO VENTA ]]/sony26[[#This Row],[BARRAS]])</f>
        <v>175</v>
      </c>
      <c r="J28" s="1" t="n">
        <f aca="false">(sony26[[#This Row],["J"PRECIO COMPRA ]]/sony26[[#This Row],[BARRAS]])</f>
        <v>39.75</v>
      </c>
      <c r="K28" s="1" t="n">
        <f aca="false">SUMIF(entradas26[CODIGO],sony26[[#This Row],[CODIGO ]],entradas26[[CAN JUEGOS ]])</f>
        <v>0</v>
      </c>
      <c r="L28" s="1" t="n">
        <f aca="false">SUMIF(entradas26[CODIGO],sony26[[#This Row],[CODIGO ]],entradas26[CAN BARRAS])</f>
        <v>0</v>
      </c>
      <c r="M28" s="1" t="n">
        <f aca="false">SUMIF(salidas26[[CODIGO ]],sony26[[#This Row],[CODIGO ]],salidas26[[CANT JUEGOS ]])</f>
        <v>0</v>
      </c>
      <c r="N28" s="1" t="n">
        <f aca="false">SUMIF(salidas26[[CODIGO ]],sony26[[#This Row],[CODIGO ]],salidas26[CANT BARRAS])</f>
        <v>0</v>
      </c>
      <c r="O28" s="1" t="n">
        <f aca="false">(sony26[[#This Row],["J"PRECIO COMPRA ]]*sony26[[#This Row],[STOCK JUEGOS]])</f>
        <v>1590</v>
      </c>
      <c r="P28" s="1" t="n">
        <f aca="false">(sony26[[#This Row],["J" PRECIO VENTA ]]*sony26[[#This Row],[STOCK JUEGOS]])</f>
        <v>7000</v>
      </c>
      <c r="Q28" s="1" t="n">
        <f aca="false">(sony26[[#This Row],["B"PRECIO COMPRA]]*sony26[[#This Row],[STOCK BARRAS]])</f>
        <v>39.75</v>
      </c>
      <c r="R28" s="1" t="n">
        <f aca="false">(sony26[[#This Row],["B"PRECIO VENTA ]]*sony26[[#This Row],[STOCK BARRAS]])</f>
        <v>175</v>
      </c>
      <c r="S28" s="18" t="n">
        <v>20</v>
      </c>
      <c r="T28" s="18" t="n">
        <v>1</v>
      </c>
    </row>
    <row r="29" customFormat="false" ht="15" hidden="false" customHeight="false" outlineLevel="0" collapsed="false">
      <c r="A29" s="1" t="n">
        <v>24</v>
      </c>
      <c r="B29" s="1" t="n">
        <v>5036</v>
      </c>
      <c r="C29" s="15" t="s">
        <v>346</v>
      </c>
      <c r="D29" s="1" t="n">
        <f aca="false">(sony26[[#This Row],[CANTIDAD INICIAL JUEGO ]]+sony26[[#This Row],[ENTRADAS JUEGOS ]]-sony26[[#This Row],[SALIDAS JUEGOS]])</f>
        <v>7</v>
      </c>
      <c r="E29" s="1" t="n">
        <f aca="false">(sony26[[#This Row],[CANTIDAD INICIAL BARRAS]]+sony26[[#This Row],[ENTRADAS BARRAS]]-sony26[[#This Row],[SALIDA BARRAS]])</f>
        <v>0</v>
      </c>
      <c r="F29" s="23" t="n">
        <v>320</v>
      </c>
      <c r="G29" s="1" t="n">
        <v>215</v>
      </c>
      <c r="H29" s="1" t="n">
        <v>10</v>
      </c>
      <c r="I29" s="1" t="n">
        <f aca="false">(sony26[[#This Row],["J" PRECIO VENTA ]]/sony26[[#This Row],[BARRAS]])</f>
        <v>32</v>
      </c>
      <c r="J29" s="1" t="n">
        <f aca="false">(sony26[[#This Row],["J"PRECIO COMPRA ]]/sony26[[#This Row],[BARRAS]])</f>
        <v>21.5</v>
      </c>
      <c r="K29" s="1" t="n">
        <f aca="false">SUMIF(entradas26[CODIGO],sony26[[#This Row],[CODIGO ]],entradas26[[CAN JUEGOS ]])</f>
        <v>0</v>
      </c>
      <c r="L29" s="1" t="n">
        <f aca="false">SUMIF(entradas26[CODIGO],sony26[[#This Row],[CODIGO ]],entradas26[CAN BARRAS])</f>
        <v>0</v>
      </c>
      <c r="M29" s="1" t="n">
        <f aca="false">SUMIF(salidas26[[CODIGO ]],sony26[[#This Row],[CODIGO ]],salidas26[[CANT JUEGOS ]])</f>
        <v>0</v>
      </c>
      <c r="N29" s="1" t="n">
        <f aca="false">SUMIF(salidas26[[CODIGO ]],sony26[[#This Row],[CODIGO ]],salidas26[CANT BARRAS])</f>
        <v>0</v>
      </c>
      <c r="O29" s="1" t="n">
        <f aca="false">(sony26[[#This Row],["J"PRECIO COMPRA ]]*sony26[[#This Row],[STOCK JUEGOS]])</f>
        <v>1505</v>
      </c>
      <c r="P29" s="1" t="n">
        <f aca="false">(sony26[[#This Row],["J" PRECIO VENTA ]]*sony26[[#This Row],[STOCK JUEGOS]])</f>
        <v>2240</v>
      </c>
      <c r="Q29" s="1" t="n">
        <f aca="false">(sony26[[#This Row],["B"PRECIO COMPRA]]*sony26[[#This Row],[STOCK BARRAS]])</f>
        <v>0</v>
      </c>
      <c r="R29" s="1" t="n">
        <f aca="false">(sony26[[#This Row],["B"PRECIO VENTA ]]*sony26[[#This Row],[STOCK BARRAS]])</f>
        <v>0</v>
      </c>
      <c r="S29" s="18" t="n">
        <v>7</v>
      </c>
      <c r="T29" s="18"/>
    </row>
    <row r="30" customFormat="false" ht="15" hidden="false" customHeight="false" outlineLevel="0" collapsed="false">
      <c r="A30" s="1" t="n">
        <v>25</v>
      </c>
      <c r="B30" s="1" t="n">
        <v>5038</v>
      </c>
      <c r="C30" s="1" t="s">
        <v>347</v>
      </c>
      <c r="D30" s="1" t="n">
        <f aca="false">(sony26[[#This Row],[CANTIDAD INICIAL JUEGO ]]+sony26[[#This Row],[ENTRADAS JUEGOS ]]-sony26[[#This Row],[SALIDAS JUEGOS]])</f>
        <v>17</v>
      </c>
      <c r="E30" s="1" t="n">
        <f aca="false">(sony26[[#This Row],[CANTIDAD INICIAL BARRAS]]+sony26[[#This Row],[ENTRADAS BARRAS]]-sony26[[#This Row],[SALIDA BARRAS]])</f>
        <v>0</v>
      </c>
      <c r="F30" s="32" t="n">
        <v>300</v>
      </c>
      <c r="G30" s="1" t="n">
        <v>88</v>
      </c>
      <c r="H30" s="1" t="n">
        <v>2</v>
      </c>
      <c r="I30" s="1" t="n">
        <f aca="false">(sony26[[#This Row],["J" PRECIO VENTA ]]/sony26[[#This Row],[BARRAS]])</f>
        <v>150</v>
      </c>
      <c r="J30" s="1" t="n">
        <f aca="false">(sony26[[#This Row],["J"PRECIO COMPRA ]]/sony26[[#This Row],[BARRAS]])</f>
        <v>44</v>
      </c>
      <c r="K30" s="1" t="n">
        <f aca="false">SUMIF(entradas26[CODIGO],sony26[[#This Row],[CODIGO ]],entradas26[[CAN JUEGOS ]])</f>
        <v>0</v>
      </c>
      <c r="L30" s="1" t="n">
        <f aca="false">SUMIF(entradas26[CODIGO],sony26[[#This Row],[CODIGO ]],entradas26[CAN BARRAS])</f>
        <v>0</v>
      </c>
      <c r="M30" s="1" t="n">
        <f aca="false">SUMIF(salidas26[[CODIGO ]],sony26[[#This Row],[CODIGO ]],salidas26[[CANT JUEGOS ]])</f>
        <v>3</v>
      </c>
      <c r="N30" s="1" t="n">
        <f aca="false">SUMIF(salidas26[[CODIGO ]],sony26[[#This Row],[CODIGO ]],salidas26[CANT BARRAS])</f>
        <v>0</v>
      </c>
      <c r="O30" s="1" t="n">
        <f aca="false">(sony26[[#This Row],["J"PRECIO COMPRA ]]*sony26[[#This Row],[STOCK JUEGOS]])</f>
        <v>1496</v>
      </c>
      <c r="P30" s="1" t="n">
        <f aca="false">(sony26[[#This Row],["J" PRECIO VENTA ]]*sony26[[#This Row],[STOCK JUEGOS]])</f>
        <v>5100</v>
      </c>
      <c r="Q30" s="1" t="n">
        <f aca="false">(sony26[[#This Row],["B"PRECIO COMPRA]]*sony26[[#This Row],[STOCK BARRAS]])</f>
        <v>0</v>
      </c>
      <c r="R30" s="1" t="n">
        <f aca="false">(sony26[[#This Row],["B"PRECIO VENTA ]]*sony26[[#This Row],[STOCK BARRAS]])</f>
        <v>0</v>
      </c>
      <c r="S30" s="18" t="n">
        <v>20</v>
      </c>
      <c r="T30" s="18"/>
    </row>
    <row r="31" customFormat="false" ht="15" hidden="false" customHeight="false" outlineLevel="0" collapsed="false">
      <c r="A31" s="1" t="n">
        <v>26</v>
      </c>
      <c r="B31" s="1" t="n">
        <v>5039</v>
      </c>
      <c r="C31" s="1" t="s">
        <v>348</v>
      </c>
      <c r="D31" s="1" t="n">
        <f aca="false">(sony26[[#This Row],[CANTIDAD INICIAL JUEGO ]]+sony26[[#This Row],[ENTRADAS JUEGOS ]]-sony26[[#This Row],[SALIDAS JUEGOS]])</f>
        <v>8</v>
      </c>
      <c r="E31" s="1" t="n">
        <f aca="false">(sony26[[#This Row],[CANTIDAD INICIAL BARRAS]]+sony26[[#This Row],[ENTRADAS BARRAS]]-sony26[[#This Row],[SALIDA BARRAS]])</f>
        <v>15</v>
      </c>
      <c r="F31" s="23" t="n">
        <v>450</v>
      </c>
      <c r="G31" s="1" t="n">
        <v>282</v>
      </c>
      <c r="H31" s="1" t="n">
        <v>16</v>
      </c>
      <c r="I31" s="1" t="n">
        <f aca="false">(sony26[[#This Row],["J" PRECIO VENTA ]]/sony26[[#This Row],[BARRAS]])</f>
        <v>28.125</v>
      </c>
      <c r="J31" s="1" t="n">
        <f aca="false">(sony26[[#This Row],["J"PRECIO COMPRA ]]/sony26[[#This Row],[BARRAS]])</f>
        <v>17.625</v>
      </c>
      <c r="K31" s="1" t="n">
        <f aca="false">SUMIF(entradas26[CODIGO],sony26[[#This Row],[CODIGO ]],entradas26[[CAN JUEGOS ]])</f>
        <v>0</v>
      </c>
      <c r="L31" s="1" t="n">
        <f aca="false">SUMIF(entradas26[CODIGO],sony26[[#This Row],[CODIGO ]],entradas26[CAN BARRAS])</f>
        <v>0</v>
      </c>
      <c r="M31" s="1" t="n">
        <f aca="false">SUMIF(salidas26[[CODIGO ]],sony26[[#This Row],[CODIGO ]],salidas26[[CANT JUEGOS ]])</f>
        <v>2</v>
      </c>
      <c r="N31" s="1" t="n">
        <f aca="false">SUMIF(salidas26[[CODIGO ]],sony26[[#This Row],[CODIGO ]],salidas26[CANT BARRAS])</f>
        <v>0</v>
      </c>
      <c r="O31" s="1" t="n">
        <f aca="false">(sony26[[#This Row],["J"PRECIO COMPRA ]]*sony26[[#This Row],[STOCK JUEGOS]])</f>
        <v>2256</v>
      </c>
      <c r="P31" s="1" t="n">
        <f aca="false">(sony26[[#This Row],["J" PRECIO VENTA ]]*sony26[[#This Row],[STOCK JUEGOS]])</f>
        <v>3600</v>
      </c>
      <c r="Q31" s="1" t="n">
        <f aca="false">(sony26[[#This Row],["B"PRECIO COMPRA]]*sony26[[#This Row],[STOCK BARRAS]])</f>
        <v>264.375</v>
      </c>
      <c r="R31" s="1" t="n">
        <f aca="false">(sony26[[#This Row],["B"PRECIO VENTA ]]*sony26[[#This Row],[STOCK BARRAS]])</f>
        <v>421.875</v>
      </c>
      <c r="S31" s="18" t="n">
        <v>10</v>
      </c>
      <c r="T31" s="18" t="n">
        <v>15</v>
      </c>
    </row>
    <row r="32" customFormat="false" ht="15" hidden="false" customHeight="false" outlineLevel="0" collapsed="false">
      <c r="A32" s="1" t="n">
        <v>27</v>
      </c>
      <c r="B32" s="1" t="n">
        <v>5040</v>
      </c>
      <c r="C32" s="1" t="s">
        <v>349</v>
      </c>
      <c r="D32" s="1" t="n">
        <f aca="false">(sony26[[#This Row],[CANTIDAD INICIAL JUEGO ]]+sony26[[#This Row],[ENTRADAS JUEGOS ]]-sony26[[#This Row],[SALIDAS JUEGOS]])</f>
        <v>10</v>
      </c>
      <c r="E32" s="1" t="n">
        <f aca="false">(sony26[[#This Row],[CANTIDAD INICIAL BARRAS]]+sony26[[#This Row],[ENTRADAS BARRAS]]-sony26[[#This Row],[SALIDA BARRAS]])</f>
        <v>0</v>
      </c>
      <c r="F32" s="23" t="n">
        <v>800</v>
      </c>
      <c r="G32" s="1" t="n">
        <v>435</v>
      </c>
      <c r="H32" s="1" t="n">
        <v>3</v>
      </c>
      <c r="I32" s="1" t="n">
        <f aca="false">(sony26[[#This Row],["J" PRECIO VENTA ]]/sony26[[#This Row],[BARRAS]])</f>
        <v>266.666666666667</v>
      </c>
      <c r="J32" s="1" t="n">
        <f aca="false">(sony26[[#This Row],["J"PRECIO COMPRA ]]/sony26[[#This Row],[BARRAS]])</f>
        <v>145</v>
      </c>
      <c r="K32" s="1" t="n">
        <f aca="false">SUMIF(entradas26[CODIGO],sony26[[#This Row],[CODIGO ]],entradas26[[CAN JUEGOS ]])</f>
        <v>0</v>
      </c>
      <c r="L32" s="1" t="n">
        <f aca="false">SUMIF(entradas26[CODIGO],sony26[[#This Row],[CODIGO ]],entradas26[CAN BARRAS])</f>
        <v>0</v>
      </c>
      <c r="M32" s="1" t="n">
        <f aca="false">SUMIF(salidas26[[CODIGO ]],sony26[[#This Row],[CODIGO ]],salidas26[[CANT JUEGOS ]])</f>
        <v>0</v>
      </c>
      <c r="N32" s="1" t="n">
        <f aca="false">SUMIF(salidas26[[CODIGO ]],sony26[[#This Row],[CODIGO ]],salidas26[CANT BARRAS])</f>
        <v>0</v>
      </c>
      <c r="O32" s="1" t="n">
        <f aca="false">(sony26[[#This Row],["J"PRECIO COMPRA ]]*sony26[[#This Row],[STOCK JUEGOS]])</f>
        <v>4350</v>
      </c>
      <c r="P32" s="1" t="n">
        <f aca="false">(sony26[[#This Row],["J" PRECIO VENTA ]]*sony26[[#This Row],[STOCK JUEGOS]])</f>
        <v>8000</v>
      </c>
      <c r="Q32" s="1" t="n">
        <f aca="false">(sony26[[#This Row],["B"PRECIO COMPRA]]*sony26[[#This Row],[STOCK BARRAS]])</f>
        <v>0</v>
      </c>
      <c r="R32" s="1" t="n">
        <f aca="false">(sony26[[#This Row],["B"PRECIO VENTA ]]*sony26[[#This Row],[STOCK BARRAS]])</f>
        <v>0</v>
      </c>
      <c r="S32" s="18" t="n">
        <v>10</v>
      </c>
      <c r="T32" s="18"/>
    </row>
    <row r="33" customFormat="false" ht="15" hidden="false" customHeight="false" outlineLevel="0" collapsed="false">
      <c r="A33" s="1" t="n">
        <v>28</v>
      </c>
      <c r="B33" s="1" t="n">
        <v>5045</v>
      </c>
      <c r="C33" s="1" t="s">
        <v>350</v>
      </c>
      <c r="D33" s="1" t="n">
        <f aca="false">(sony26[[#This Row],[CANTIDAD INICIAL JUEGO ]]+sony26[[#This Row],[ENTRADAS JUEGOS ]]-sony26[[#This Row],[SALIDAS JUEGOS]])</f>
        <v>19</v>
      </c>
      <c r="E33" s="1" t="n">
        <f aca="false">(sony26[[#This Row],[CANTIDAD INICIAL BARRAS]]+sony26[[#This Row],[ENTRADAS BARRAS]]-sony26[[#This Row],[SALIDA BARRAS]])</f>
        <v>0</v>
      </c>
      <c r="F33" s="32" t="n">
        <v>600</v>
      </c>
      <c r="G33" s="1" t="n">
        <v>323</v>
      </c>
      <c r="H33" s="1" t="n">
        <v>4</v>
      </c>
      <c r="I33" s="1" t="n">
        <f aca="false">(sony26[[#This Row],["J" PRECIO VENTA ]]/sony26[[#This Row],[BARRAS]])</f>
        <v>150</v>
      </c>
      <c r="J33" s="1" t="n">
        <f aca="false">(sony26[[#This Row],["J"PRECIO COMPRA ]]/sony26[[#This Row],[BARRAS]])</f>
        <v>80.75</v>
      </c>
      <c r="K33" s="1" t="n">
        <f aca="false">SUMIF(entradas26[CODIGO],sony26[[#This Row],[CODIGO ]],entradas26[[CAN JUEGOS ]])</f>
        <v>0</v>
      </c>
      <c r="L33" s="1" t="n">
        <f aca="false">SUMIF(entradas26[CODIGO],sony26[[#This Row],[CODIGO ]],entradas26[CAN BARRAS])</f>
        <v>0</v>
      </c>
      <c r="M33" s="1" t="n">
        <f aca="false">SUMIF(salidas26[[CODIGO ]],sony26[[#This Row],[CODIGO ]],salidas26[[CANT JUEGOS ]])</f>
        <v>0</v>
      </c>
      <c r="N33" s="1" t="n">
        <f aca="false">SUMIF(salidas26[[CODIGO ]],sony26[[#This Row],[CODIGO ]],salidas26[CANT BARRAS])</f>
        <v>0</v>
      </c>
      <c r="O33" s="1" t="n">
        <f aca="false">(sony26[[#This Row],["J"PRECIO COMPRA ]]*sony26[[#This Row],[STOCK JUEGOS]])</f>
        <v>6137</v>
      </c>
      <c r="P33" s="1" t="n">
        <f aca="false">(sony26[[#This Row],["J" PRECIO VENTA ]]*sony26[[#This Row],[STOCK JUEGOS]])</f>
        <v>11400</v>
      </c>
      <c r="Q33" s="1" t="n">
        <f aca="false">(sony26[[#This Row],["B"PRECIO COMPRA]]*sony26[[#This Row],[STOCK BARRAS]])</f>
        <v>0</v>
      </c>
      <c r="R33" s="1" t="n">
        <f aca="false">(sony26[[#This Row],["B"PRECIO VENTA ]]*sony26[[#This Row],[STOCK BARRAS]])</f>
        <v>0</v>
      </c>
      <c r="S33" s="18" t="n">
        <v>19</v>
      </c>
      <c r="T33" s="18"/>
    </row>
  </sheetData>
  <mergeCells count="1">
    <mergeCell ref="B2:V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V1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V5" activeCellId="0" sqref="V5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.86"/>
    <col collapsed="false" customWidth="true" hidden="false" outlineLevel="0" max="3" min="3" style="1" width="37.57"/>
    <col collapsed="false" customWidth="true" hidden="false" outlineLevel="0" max="8" min="4" style="1" width="7.72"/>
    <col collapsed="false" customWidth="true" hidden="true" outlineLevel="0" max="18" min="9" style="1" width="7.72"/>
    <col collapsed="false" customWidth="true" hidden="false" outlineLevel="0" max="19" min="19" style="1" width="1"/>
    <col collapsed="false" customWidth="true" hidden="false" outlineLevel="0" max="20" min="20" style="1" width="0.43"/>
    <col collapsed="false" customWidth="true" hidden="false" outlineLevel="0" max="21" min="21" style="1" width="12"/>
    <col collapsed="false" customWidth="true" hidden="false" outlineLevel="0" max="22" min="22" style="1" width="10.29"/>
  </cols>
  <sheetData>
    <row r="2" customFormat="false" ht="15" hidden="false" customHeight="true" outlineLevel="0" collapsed="false">
      <c r="B2" s="56" t="s">
        <v>351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</row>
    <row r="3" customFormat="false" ht="15" hidden="false" customHeight="false" outlineLevel="0" collapsed="false"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</row>
    <row r="4" customFormat="false" ht="21" hidden="false" customHeight="true" outlineLevel="0" collapsed="false">
      <c r="B4" s="3" t="s">
        <v>1</v>
      </c>
      <c r="C4" s="3" t="s">
        <v>2</v>
      </c>
      <c r="D4" s="4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9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8" t="s">
        <v>14</v>
      </c>
      <c r="P4" s="11" t="s">
        <v>15</v>
      </c>
      <c r="Q4" s="8" t="s">
        <v>16</v>
      </c>
      <c r="R4" s="8" t="s">
        <v>17</v>
      </c>
      <c r="S4" s="11" t="s">
        <v>18</v>
      </c>
      <c r="T4" s="12" t="s">
        <v>19</v>
      </c>
      <c r="U4" s="13" t="s">
        <v>20</v>
      </c>
      <c r="V4" s="14" t="s">
        <v>21</v>
      </c>
    </row>
    <row r="5" customFormat="false" ht="15" hidden="false" customHeight="false" outlineLevel="0" collapsed="false">
      <c r="A5" s="1" t="n">
        <v>1</v>
      </c>
      <c r="B5" s="1" t="n">
        <v>7000</v>
      </c>
      <c r="C5" s="1" t="s">
        <v>352</v>
      </c>
      <c r="D5" s="1" t="n">
        <f aca="false">(philips26[[#This Row],[CANTIDAD INICIAL JUEGO ]]+philips26[[#This Row],[ENTRADAS JUEGOS ]]-philips26[[#This Row],[SALIDAS JUEGOS]])</f>
        <v>15</v>
      </c>
      <c r="E5" s="1" t="n">
        <f aca="false">(philips26[[#This Row],[CANTIDAD INICIAL BARRAS]]+philips26[[#This Row],[ENTRADAS BARRAS]]-philips26[[#This Row],[SALIDA BARRAS]])</f>
        <v>0</v>
      </c>
      <c r="F5" s="23" t="n">
        <v>60</v>
      </c>
      <c r="G5" s="1" t="n">
        <v>21</v>
      </c>
      <c r="H5" s="1" t="n">
        <v>2</v>
      </c>
      <c r="I5" s="1" t="n">
        <f aca="false">(philips26[[#This Row],["J" PRECIO VENTA ]]/philips26[[#This Row],[BARRAS]])</f>
        <v>30</v>
      </c>
      <c r="J5" s="1" t="n">
        <f aca="false">(philips26[[#This Row],["J"PRECIO COMPRA ]]/philips26[[#This Row],[BARRAS]])</f>
        <v>10.5</v>
      </c>
      <c r="K5" s="1" t="n">
        <f aca="false">SUMIF(entradas26[CODIGO],philips26[[#This Row],[CODIGO ]],entradas26[[CAN JUEGOS ]])</f>
        <v>20</v>
      </c>
      <c r="L5" s="1" t="n">
        <f aca="false">SUMIF(entradas26[CODIGO],philips26[[#This Row],[CODIGO ]],entradas26[CAN BARRAS])</f>
        <v>0</v>
      </c>
      <c r="M5" s="1" t="n">
        <f aca="false">SUMIF(salidas26[[CODIGO ]],philips26[[#This Row],[CODIGO ]],salidas26[[CANT JUEGOS ]])</f>
        <v>22</v>
      </c>
      <c r="N5" s="1" t="n">
        <f aca="false">SUMIF(salidas26[[CODIGO ]],philips26[[#This Row],[CODIGO ]],salidas26[CANT BARRAS])</f>
        <v>1</v>
      </c>
      <c r="O5" s="1" t="n">
        <f aca="false">(philips26[[#This Row],["J"PRECIO COMPRA ]]*philips26[[#This Row],[STOCK JUEGOS]])</f>
        <v>315</v>
      </c>
      <c r="P5" s="1" t="n">
        <f aca="false">(philips26[[#This Row],["J" PRECIO VENTA ]]*philips26[[#This Row],[STOCK JUEGOS]])</f>
        <v>900</v>
      </c>
      <c r="Q5" s="1" t="n">
        <f aca="false">(philips26[[#This Row],["B"PRECIO COMPRA]]*philips26[[#This Row],[STOCK BARRAS]])</f>
        <v>0</v>
      </c>
      <c r="R5" s="1" t="n">
        <f aca="false">(philips26[[#This Row],["B"PRECIO VENTA ]]*philips26[[#This Row],[STOCK BARRAS]])</f>
        <v>0</v>
      </c>
      <c r="S5" s="18" t="n">
        <v>17</v>
      </c>
      <c r="T5" s="18" t="n">
        <v>1</v>
      </c>
      <c r="U5" s="1" t="n">
        <v>1.1</v>
      </c>
      <c r="V5" s="57" t="s">
        <v>353</v>
      </c>
    </row>
    <row r="6" customFormat="false" ht="15" hidden="false" customHeight="false" outlineLevel="0" collapsed="false">
      <c r="A6" s="1" t="n">
        <v>3</v>
      </c>
      <c r="B6" s="1" t="n">
        <v>7002</v>
      </c>
      <c r="C6" s="15" t="s">
        <v>354</v>
      </c>
      <c r="D6" s="1" t="n">
        <f aca="false">(philips26[[#This Row],[CANTIDAD INICIAL JUEGO ]]+philips26[[#This Row],[ENTRADAS JUEGOS ]]-philips26[[#This Row],[SALIDAS JUEGOS]])</f>
        <v>1</v>
      </c>
      <c r="E6" s="1" t="n">
        <f aca="false">(philips26[[#This Row],[CANTIDAD INICIAL BARRAS]]+philips26[[#This Row],[ENTRADAS BARRAS]]-philips26[[#This Row],[SALIDA BARRAS]])</f>
        <v>0</v>
      </c>
      <c r="F6" s="23" t="n">
        <v>70</v>
      </c>
      <c r="G6" s="1" t="n">
        <v>22</v>
      </c>
      <c r="H6" s="1" t="n">
        <v>2</v>
      </c>
      <c r="I6" s="1" t="n">
        <f aca="false">(philips26[[#This Row],["J" PRECIO VENTA ]]/philips26[[#This Row],[BARRAS]])</f>
        <v>35</v>
      </c>
      <c r="J6" s="1" t="n">
        <f aca="false">(philips26[[#This Row],["J"PRECIO COMPRA ]]/philips26[[#This Row],[BARRAS]])</f>
        <v>11</v>
      </c>
      <c r="K6" s="1" t="n">
        <f aca="false">SUMIF(entradas26[CODIGO],philips26[[#This Row],[CODIGO ]],entradas26[[CAN JUEGOS ]])</f>
        <v>0</v>
      </c>
      <c r="L6" s="1" t="n">
        <f aca="false">SUMIF(entradas26[CODIGO],philips26[[#This Row],[CODIGO ]],entradas26[CAN BARRAS])</f>
        <v>0</v>
      </c>
      <c r="M6" s="1" t="n">
        <f aca="false">SUMIF(salidas26[[CODIGO ]],philips26[[#This Row],[CODIGO ]],salidas26[[CANT JUEGOS ]])</f>
        <v>14</v>
      </c>
      <c r="N6" s="1" t="n">
        <f aca="false">SUMIF(salidas26[[CODIGO ]],philips26[[#This Row],[CODIGO ]],salidas26[CANT BARRAS])</f>
        <v>0</v>
      </c>
      <c r="O6" s="1" t="n">
        <f aca="false">(philips26[[#This Row],["J"PRECIO COMPRA ]]*philips26[[#This Row],[STOCK JUEGOS]])</f>
        <v>22</v>
      </c>
      <c r="P6" s="1" t="n">
        <f aca="false">(philips26[[#This Row],["J" PRECIO VENTA ]]*philips26[[#This Row],[STOCK JUEGOS]])</f>
        <v>70</v>
      </c>
      <c r="Q6" s="1" t="n">
        <f aca="false">(philips26[[#This Row],["B"PRECIO COMPRA]]*philips26[[#This Row],[STOCK BARRAS]])</f>
        <v>0</v>
      </c>
      <c r="R6" s="1" t="n">
        <f aca="false">(philips26[[#This Row],["B"PRECIO VENTA ]]*philips26[[#This Row],[STOCK BARRAS]])</f>
        <v>0</v>
      </c>
      <c r="S6" s="18" t="n">
        <v>15</v>
      </c>
      <c r="T6" s="18"/>
    </row>
    <row r="7" customFormat="false" ht="15" hidden="false" customHeight="false" outlineLevel="0" collapsed="false">
      <c r="A7" s="1" t="n">
        <v>4</v>
      </c>
      <c r="B7" s="1" t="n">
        <v>7003</v>
      </c>
      <c r="C7" s="15" t="s">
        <v>355</v>
      </c>
      <c r="D7" s="1" t="n">
        <f aca="false">(philips26[[#This Row],[CANTIDAD INICIAL JUEGO ]]+philips26[[#This Row],[ENTRADAS JUEGOS ]]-philips26[[#This Row],[SALIDAS JUEGOS]])</f>
        <v>3</v>
      </c>
      <c r="E7" s="1" t="n">
        <f aca="false">(philips26[[#This Row],[CANTIDAD INICIAL BARRAS]]+philips26[[#This Row],[ENTRADAS BARRAS]]-philips26[[#This Row],[SALIDA BARRAS]])</f>
        <v>1</v>
      </c>
      <c r="F7" s="23" t="n">
        <v>150</v>
      </c>
      <c r="G7" s="1" t="n">
        <v>90</v>
      </c>
      <c r="H7" s="1" t="n">
        <v>3</v>
      </c>
      <c r="I7" s="1" t="n">
        <f aca="false">(philips26[[#This Row],["J" PRECIO VENTA ]]/philips26[[#This Row],[BARRAS]])</f>
        <v>50</v>
      </c>
      <c r="J7" s="1" t="n">
        <f aca="false">(philips26[[#This Row],["J"PRECIO COMPRA ]]/philips26[[#This Row],[BARRAS]])</f>
        <v>30</v>
      </c>
      <c r="K7" s="1" t="n">
        <f aca="false">SUMIF(entradas26[CODIGO],philips26[[#This Row],[CODIGO ]],entradas26[[CAN JUEGOS ]])</f>
        <v>3</v>
      </c>
      <c r="L7" s="1" t="n">
        <f aca="false">SUMIF(entradas26[CODIGO],philips26[[#This Row],[CODIGO ]],entradas26[CAN BARRAS])</f>
        <v>0</v>
      </c>
      <c r="M7" s="1" t="n">
        <f aca="false">SUMIF(salidas26[[CODIGO ]],philips26[[#This Row],[CODIGO ]],salidas26[[CANT JUEGOS ]])</f>
        <v>2</v>
      </c>
      <c r="N7" s="1" t="n">
        <f aca="false">SUMIF(salidas26[[CODIGO ]],philips26[[#This Row],[CODIGO ]],salidas26[CANT BARRAS])</f>
        <v>0</v>
      </c>
      <c r="O7" s="1" t="n">
        <f aca="false">(philips26[[#This Row],["J"PRECIO COMPRA ]]*philips26[[#This Row],[STOCK JUEGOS]])</f>
        <v>270</v>
      </c>
      <c r="P7" s="1" t="n">
        <f aca="false">(philips26[[#This Row],["J" PRECIO VENTA ]]*philips26[[#This Row],[STOCK JUEGOS]])</f>
        <v>450</v>
      </c>
      <c r="Q7" s="1" t="n">
        <f aca="false">(philips26[[#This Row],["B"PRECIO COMPRA]]*philips26[[#This Row],[STOCK BARRAS]])</f>
        <v>30</v>
      </c>
      <c r="R7" s="1" t="n">
        <f aca="false">(philips26[[#This Row],["B"PRECIO VENTA ]]*philips26[[#This Row],[STOCK BARRAS]])</f>
        <v>50</v>
      </c>
      <c r="S7" s="18" t="n">
        <v>2</v>
      </c>
      <c r="T7" s="18" t="n">
        <v>1</v>
      </c>
    </row>
    <row r="8" customFormat="false" ht="16.4" hidden="false" customHeight="false" outlineLevel="0" collapsed="false">
      <c r="A8" s="1" t="n">
        <v>5</v>
      </c>
      <c r="B8" s="1" t="n">
        <v>7004</v>
      </c>
      <c r="C8" s="52" t="s">
        <v>356</v>
      </c>
      <c r="D8" s="1" t="n">
        <f aca="false">(philips26[[#This Row],[CANTIDAD INICIAL JUEGO ]]+philips26[[#This Row],[ENTRADAS JUEGOS ]]-philips26[[#This Row],[SALIDAS JUEGOS]])</f>
        <v>16</v>
      </c>
      <c r="E8" s="1" t="n">
        <f aca="false">(philips26[[#This Row],[CANTIDAD INICIAL BARRAS]]+philips26[[#This Row],[ENTRADAS BARRAS]]-philips26[[#This Row],[SALIDA BARRAS]])</f>
        <v>0</v>
      </c>
      <c r="F8" s="23" t="n">
        <v>150</v>
      </c>
      <c r="G8" s="1" t="n">
        <v>40</v>
      </c>
      <c r="H8" s="1" t="n">
        <v>3</v>
      </c>
      <c r="I8" s="1" t="n">
        <f aca="false">(philips26[[#This Row],["J" PRECIO VENTA ]]/philips26[[#This Row],[BARRAS]])</f>
        <v>50</v>
      </c>
      <c r="J8" s="1" t="n">
        <f aca="false">(philips26[[#This Row],["J"PRECIO COMPRA ]]/philips26[[#This Row],[BARRAS]])</f>
        <v>13.3333333333333</v>
      </c>
      <c r="K8" s="1" t="n">
        <f aca="false">SUMIF(entradas26[CODIGO],philips26[[#This Row],[CODIGO ]],entradas26[[CAN JUEGOS ]])</f>
        <v>20</v>
      </c>
      <c r="L8" s="1" t="n">
        <f aca="false">SUMIF(entradas26[CODIGO],philips26[[#This Row],[CODIGO ]],entradas26[CAN BARRAS])</f>
        <v>3</v>
      </c>
      <c r="M8" s="1" t="n">
        <f aca="false">SUMIF(salidas26[[CODIGO ]],philips26[[#This Row],[CODIGO ]],salidas26[[CANT JUEGOS ]])</f>
        <v>17</v>
      </c>
      <c r="N8" s="1" t="n">
        <f aca="false">SUMIF(salidas26[[CODIGO ]],philips26[[#This Row],[CODIGO ]],salidas26[CANT BARRAS])</f>
        <v>4</v>
      </c>
      <c r="O8" s="1" t="n">
        <f aca="false">(philips26[[#This Row],["J"PRECIO COMPRA ]]*philips26[[#This Row],[STOCK JUEGOS]])</f>
        <v>640</v>
      </c>
      <c r="P8" s="1" t="n">
        <f aca="false">(philips26[[#This Row],["J" PRECIO VENTA ]]*philips26[[#This Row],[STOCK JUEGOS]])</f>
        <v>2400</v>
      </c>
      <c r="Q8" s="1" t="n">
        <f aca="false">(philips26[[#This Row],["B"PRECIO COMPRA]]*philips26[[#This Row],[STOCK BARRAS]])</f>
        <v>0</v>
      </c>
      <c r="R8" s="1" t="n">
        <f aca="false">(philips26[[#This Row],["B"PRECIO VENTA ]]*philips26[[#This Row],[STOCK BARRAS]])</f>
        <v>0</v>
      </c>
      <c r="S8" s="18" t="n">
        <v>13</v>
      </c>
      <c r="T8" s="18" t="n">
        <v>1</v>
      </c>
      <c r="U8" s="1" t="n">
        <v>2.1</v>
      </c>
      <c r="V8" s="57" t="s">
        <v>357</v>
      </c>
    </row>
    <row r="9" customFormat="false" ht="15" hidden="false" customHeight="false" outlineLevel="0" collapsed="false">
      <c r="A9" s="1" t="n">
        <v>7</v>
      </c>
      <c r="B9" s="1" t="n">
        <v>7009</v>
      </c>
      <c r="C9" s="1" t="s">
        <v>358</v>
      </c>
      <c r="D9" s="1" t="n">
        <f aca="false">(philips26[[#This Row],[CANTIDAD INICIAL JUEGO ]]+philips26[[#This Row],[ENTRADAS JUEGOS ]]-philips26[[#This Row],[SALIDAS JUEGOS]])</f>
        <v>18</v>
      </c>
      <c r="E9" s="1" t="n">
        <f aca="false">(philips26[[#This Row],[CANTIDAD INICIAL BARRAS]]+philips26[[#This Row],[ENTRADAS BARRAS]]-philips26[[#This Row],[SALIDA BARRAS]])</f>
        <v>0</v>
      </c>
      <c r="F9" s="23" t="n">
        <v>240</v>
      </c>
      <c r="G9" s="1" t="n">
        <v>47.5</v>
      </c>
      <c r="H9" s="1" t="n">
        <v>6</v>
      </c>
      <c r="I9" s="1" t="n">
        <f aca="false">(philips26[[#This Row],["J" PRECIO VENTA ]]/philips26[[#This Row],[BARRAS]])</f>
        <v>40</v>
      </c>
      <c r="J9" s="1" t="n">
        <f aca="false">(philips26[[#This Row],["J"PRECIO COMPRA ]]/philips26[[#This Row],[BARRAS]])</f>
        <v>7.91666666666667</v>
      </c>
      <c r="K9" s="1" t="n">
        <f aca="false">SUMIF(entradas26[CODIGO],philips26[[#This Row],[CODIGO ]],entradas26[[CAN JUEGOS ]])</f>
        <v>0</v>
      </c>
      <c r="L9" s="1" t="n">
        <f aca="false">SUMIF(entradas26[CODIGO],philips26[[#This Row],[CODIGO ]],entradas26[CAN BARRAS])</f>
        <v>0</v>
      </c>
      <c r="M9" s="1" t="n">
        <f aca="false">SUMIF(salidas26[[CODIGO ]],philips26[[#This Row],[CODIGO ]],salidas26[[CANT JUEGOS ]])</f>
        <v>0</v>
      </c>
      <c r="N9" s="1" t="n">
        <f aca="false">SUMIF(salidas26[[CODIGO ]],philips26[[#This Row],[CODIGO ]],salidas26[CANT BARRAS])</f>
        <v>0</v>
      </c>
      <c r="O9" s="1" t="n">
        <f aca="false">(philips26[[#This Row],["J"PRECIO COMPRA ]]*philips26[[#This Row],[STOCK JUEGOS]])</f>
        <v>855</v>
      </c>
      <c r="P9" s="1" t="n">
        <f aca="false">(philips26[[#This Row],["J" PRECIO VENTA ]]*philips26[[#This Row],[STOCK JUEGOS]])</f>
        <v>4320</v>
      </c>
      <c r="Q9" s="1" t="n">
        <f aca="false">(philips26[[#This Row],["B"PRECIO COMPRA]]*philips26[[#This Row],[STOCK BARRAS]])</f>
        <v>0</v>
      </c>
      <c r="R9" s="1" t="n">
        <f aca="false">(philips26[[#This Row],["B"PRECIO VENTA ]]*philips26[[#This Row],[STOCK BARRAS]])</f>
        <v>0</v>
      </c>
      <c r="S9" s="18" t="n">
        <v>18</v>
      </c>
      <c r="T9" s="18"/>
    </row>
    <row r="10" customFormat="false" ht="15" hidden="false" customHeight="false" outlineLevel="0" collapsed="false">
      <c r="A10" s="1" t="n">
        <v>8</v>
      </c>
      <c r="B10" s="1" t="n">
        <v>7012</v>
      </c>
      <c r="C10" s="15" t="s">
        <v>359</v>
      </c>
      <c r="D10" s="1" t="n">
        <f aca="false">(philips26[[#This Row],[CANTIDAD INICIAL JUEGO ]]+philips26[[#This Row],[ENTRADAS JUEGOS ]]-philips26[[#This Row],[SALIDAS JUEGOS]])</f>
        <v>20</v>
      </c>
      <c r="E10" s="1" t="n">
        <f aca="false">(philips26[[#This Row],[CANTIDAD INICIAL BARRAS]]+philips26[[#This Row],[ENTRADAS BARRAS]]-philips26[[#This Row],[SALIDA BARRAS]])</f>
        <v>0</v>
      </c>
      <c r="F10" s="23" t="n">
        <v>200</v>
      </c>
      <c r="G10" s="1" t="n">
        <v>67</v>
      </c>
      <c r="H10" s="1" t="n">
        <v>4</v>
      </c>
      <c r="I10" s="1" t="n">
        <f aca="false">(philips26[[#This Row],["J" PRECIO VENTA ]]/philips26[[#This Row],[BARRAS]])</f>
        <v>50</v>
      </c>
      <c r="J10" s="1" t="n">
        <f aca="false">(philips26[[#This Row],["J"PRECIO COMPRA ]]/philips26[[#This Row],[BARRAS]])</f>
        <v>16.75</v>
      </c>
      <c r="K10" s="1" t="n">
        <f aca="false">SUMIF(entradas26[CODIGO],philips26[[#This Row],[CODIGO ]],entradas26[[CAN JUEGOS ]])</f>
        <v>0</v>
      </c>
      <c r="L10" s="1" t="n">
        <f aca="false">SUMIF(entradas26[CODIGO],philips26[[#This Row],[CODIGO ]],entradas26[CAN BARRAS])</f>
        <v>0</v>
      </c>
      <c r="M10" s="1" t="n">
        <f aca="false">SUMIF(salidas26[[CODIGO ]],philips26[[#This Row],[CODIGO ]],salidas26[[CANT JUEGOS ]])</f>
        <v>2</v>
      </c>
      <c r="N10" s="1" t="n">
        <f aca="false">SUMIF(salidas26[[CODIGO ]],philips26[[#This Row],[CODIGO ]],salidas26[CANT BARRAS])</f>
        <v>0</v>
      </c>
      <c r="O10" s="1" t="n">
        <f aca="false">(philips26[[#This Row],["J"PRECIO COMPRA ]]*philips26[[#This Row],[STOCK JUEGOS]])</f>
        <v>1340</v>
      </c>
      <c r="P10" s="1" t="n">
        <f aca="false">(philips26[[#This Row],["J" PRECIO VENTA ]]*philips26[[#This Row],[STOCK JUEGOS]])</f>
        <v>4000</v>
      </c>
      <c r="Q10" s="1" t="n">
        <f aca="false">(philips26[[#This Row],["B"PRECIO COMPRA]]*philips26[[#This Row],[STOCK BARRAS]])</f>
        <v>0</v>
      </c>
      <c r="R10" s="1" t="n">
        <f aca="false">(philips26[[#This Row],["B"PRECIO VENTA ]]*philips26[[#This Row],[STOCK BARRAS]])</f>
        <v>0</v>
      </c>
      <c r="S10" s="18" t="n">
        <v>22</v>
      </c>
      <c r="T10" s="18"/>
    </row>
    <row r="11" customFormat="false" ht="15" hidden="false" customHeight="false" outlineLevel="0" collapsed="false">
      <c r="A11" s="1" t="n">
        <v>9</v>
      </c>
      <c r="B11" s="1" t="n">
        <v>7015</v>
      </c>
      <c r="C11" s="15" t="s">
        <v>360</v>
      </c>
      <c r="D11" s="1" t="n">
        <f aca="false">(philips26[[#This Row],[CANTIDAD INICIAL JUEGO ]]+philips26[[#This Row],[ENTRADAS JUEGOS ]]-philips26[[#This Row],[SALIDAS JUEGOS]])</f>
        <v>19</v>
      </c>
      <c r="E11" s="1" t="n">
        <f aca="false">(philips26[[#This Row],[CANTIDAD INICIAL BARRAS]]+philips26[[#This Row],[ENTRADAS BARRAS]]-philips26[[#This Row],[SALIDA BARRAS]])</f>
        <v>0</v>
      </c>
      <c r="F11" s="23" t="n">
        <v>200</v>
      </c>
      <c r="G11" s="1" t="n">
        <v>75</v>
      </c>
      <c r="H11" s="1" t="n">
        <v>4</v>
      </c>
      <c r="I11" s="1" t="n">
        <f aca="false">(philips26[[#This Row],["J" PRECIO VENTA ]]/philips26[[#This Row],[BARRAS]])</f>
        <v>50</v>
      </c>
      <c r="J11" s="1" t="n">
        <f aca="false">(philips26[[#This Row],["J"PRECIO COMPRA ]]/philips26[[#This Row],[BARRAS]])</f>
        <v>18.75</v>
      </c>
      <c r="K11" s="1" t="n">
        <f aca="false">SUMIF(entradas26[CODIGO],philips26[[#This Row],[CODIGO ]],entradas26[[CAN JUEGOS ]])</f>
        <v>0</v>
      </c>
      <c r="L11" s="1" t="n">
        <f aca="false">SUMIF(entradas26[CODIGO],philips26[[#This Row],[CODIGO ]],entradas26[CAN BARRAS])</f>
        <v>0</v>
      </c>
      <c r="M11" s="1" t="n">
        <f aca="false">SUMIF(salidas26[[CODIGO ]],philips26[[#This Row],[CODIGO ]],salidas26[[CANT JUEGOS ]])</f>
        <v>5</v>
      </c>
      <c r="N11" s="1" t="n">
        <f aca="false">SUMIF(salidas26[[CODIGO ]],philips26[[#This Row],[CODIGO ]],salidas26[CANT BARRAS])</f>
        <v>0</v>
      </c>
      <c r="O11" s="1" t="n">
        <f aca="false">(philips26[[#This Row],["J"PRECIO COMPRA ]]*philips26[[#This Row],[STOCK JUEGOS]])</f>
        <v>1425</v>
      </c>
      <c r="P11" s="1" t="n">
        <f aca="false">(philips26[[#This Row],["J" PRECIO VENTA ]]*philips26[[#This Row],[STOCK JUEGOS]])</f>
        <v>3800</v>
      </c>
      <c r="Q11" s="1" t="n">
        <f aca="false">(philips26[[#This Row],["B"PRECIO COMPRA]]*philips26[[#This Row],[STOCK BARRAS]])</f>
        <v>0</v>
      </c>
      <c r="R11" s="1" t="n">
        <f aca="false">(philips26[[#This Row],["B"PRECIO VENTA ]]*philips26[[#This Row],[STOCK BARRAS]])</f>
        <v>0</v>
      </c>
      <c r="S11" s="18" t="n">
        <v>24</v>
      </c>
      <c r="T11" s="18"/>
    </row>
    <row r="12" customFormat="false" ht="19.5" hidden="false" customHeight="true" outlineLevel="0" collapsed="false">
      <c r="A12" s="1" t="n">
        <v>10</v>
      </c>
      <c r="B12" s="1" t="n">
        <v>7018</v>
      </c>
      <c r="C12" s="58" t="s">
        <v>361</v>
      </c>
      <c r="D12" s="1" t="n">
        <f aca="false">(philips26[[#This Row],[CANTIDAD INICIAL JUEGO ]]+philips26[[#This Row],[ENTRADAS JUEGOS ]]-philips26[[#This Row],[SALIDAS JUEGOS]])</f>
        <v>22</v>
      </c>
      <c r="E12" s="1" t="n">
        <f aca="false">(philips26[[#This Row],[CANTIDAD INICIAL BARRAS]]+philips26[[#This Row],[ENTRADAS BARRAS]]-philips26[[#This Row],[SALIDA BARRAS]])</f>
        <v>5</v>
      </c>
      <c r="F12" s="23" t="n">
        <v>280</v>
      </c>
      <c r="G12" s="1" t="n">
        <v>100</v>
      </c>
      <c r="H12" s="1" t="n">
        <v>9</v>
      </c>
      <c r="I12" s="1" t="n">
        <f aca="false">(philips26[[#This Row],["J" PRECIO VENTA ]]/philips26[[#This Row],[BARRAS]])</f>
        <v>31.1111111111111</v>
      </c>
      <c r="J12" s="1" t="n">
        <f aca="false">(philips26[[#This Row],["J"PRECIO COMPRA ]]/philips26[[#This Row],[BARRAS]])</f>
        <v>11.1111111111111</v>
      </c>
      <c r="K12" s="1" t="n">
        <f aca="false">SUMIF(entradas26[CODIGO],philips26[[#This Row],[CODIGO ]],entradas26[[CAN JUEGOS ]])</f>
        <v>0</v>
      </c>
      <c r="L12" s="1" t="n">
        <f aca="false">SUMIF(entradas26[CODIGO],philips26[[#This Row],[CODIGO ]],entradas26[CAN BARRAS])</f>
        <v>0</v>
      </c>
      <c r="M12" s="1" t="n">
        <f aca="false">SUMIF(salidas26[[CODIGO ]],philips26[[#This Row],[CODIGO ]],salidas26[[CANT JUEGOS ]])</f>
        <v>2</v>
      </c>
      <c r="N12" s="1" t="n">
        <f aca="false">SUMIF(salidas26[[CODIGO ]],philips26[[#This Row],[CODIGO ]],salidas26[CANT BARRAS])</f>
        <v>2</v>
      </c>
      <c r="O12" s="1" t="n">
        <f aca="false">(philips26[[#This Row],["J"PRECIO COMPRA ]]*philips26[[#This Row],[STOCK JUEGOS]])</f>
        <v>2200</v>
      </c>
      <c r="P12" s="1" t="n">
        <f aca="false">(philips26[[#This Row],["J" PRECIO VENTA ]]*philips26[[#This Row],[STOCK JUEGOS]])</f>
        <v>6160</v>
      </c>
      <c r="Q12" s="1" t="n">
        <f aca="false">(philips26[[#This Row],["B"PRECIO COMPRA]]*philips26[[#This Row],[STOCK BARRAS]])</f>
        <v>55.5555555555556</v>
      </c>
      <c r="R12" s="1" t="n">
        <f aca="false">(philips26[[#This Row],["B"PRECIO VENTA ]]*philips26[[#This Row],[STOCK BARRAS]])</f>
        <v>155.555555555556</v>
      </c>
      <c r="S12" s="18" t="n">
        <v>24</v>
      </c>
      <c r="T12" s="18" t="n">
        <v>7</v>
      </c>
    </row>
    <row r="13" customFormat="false" ht="15" hidden="false" customHeight="false" outlineLevel="0" collapsed="false">
      <c r="B13" s="1" t="n">
        <v>7019</v>
      </c>
      <c r="C13" s="1" t="s">
        <v>362</v>
      </c>
      <c r="D13" s="1" t="n">
        <f aca="false">(philips26[[#This Row],[CANTIDAD INICIAL JUEGO ]]+philips26[[#This Row],[ENTRADAS JUEGOS ]]-philips26[[#This Row],[SALIDAS JUEGOS]])</f>
        <v>20</v>
      </c>
      <c r="E13" s="1" t="n">
        <f aca="false">(philips26[[#This Row],[CANTIDAD INICIAL BARRAS]]+philips26[[#This Row],[ENTRADAS BARRAS]]-philips26[[#This Row],[SALIDA BARRAS]])</f>
        <v>0</v>
      </c>
      <c r="F13" s="23" t="n">
        <v>420</v>
      </c>
      <c r="G13" s="1" t="n">
        <v>205</v>
      </c>
      <c r="I13" s="1" t="e">
        <f aca="false">(philips26[[#This Row],["J" PRECIO VENTA ]]/philips26[[#This Row],[BARRAS]])</f>
        <v>#DIV/0!</v>
      </c>
      <c r="J13" s="1" t="e">
        <f aca="false">(philips26[[#This Row],["J"PRECIO COMPRA ]]/philips26[[#This Row],[BARRAS]])</f>
        <v>#DIV/0!</v>
      </c>
      <c r="K13" s="1" t="n">
        <f aca="false">SUMIF(entradas26[CODIGO],philips26[[#This Row],[CODIGO ]],entradas26[[CAN JUEGOS ]])</f>
        <v>20</v>
      </c>
      <c r="L13" s="1" t="n">
        <f aca="false">SUMIF(entradas26[CODIGO],philips26[[#This Row],[CODIGO ]],entradas26[CAN BARRAS])</f>
        <v>0</v>
      </c>
      <c r="M13" s="1" t="n">
        <f aca="false">SUMIF(salidas26[[CODIGO ]],philips26[[#This Row],[CODIGO ]],salidas26[[CANT JUEGOS ]])</f>
        <v>0</v>
      </c>
      <c r="N13" s="1" t="n">
        <f aca="false">SUMIF(salidas26[[CODIGO ]],philips26[[#This Row],[CODIGO ]],salidas26[CANT BARRAS])</f>
        <v>0</v>
      </c>
      <c r="O13" s="1" t="n">
        <f aca="false">(philips26[[#This Row],["J"PRECIO COMPRA ]]*philips26[[#This Row],[STOCK JUEGOS]])</f>
        <v>4100</v>
      </c>
      <c r="P13" s="1" t="n">
        <f aca="false">(philips26[[#This Row],["J" PRECIO VENTA ]]*philips26[[#This Row],[STOCK JUEGOS]])</f>
        <v>8400</v>
      </c>
      <c r="Q13" s="1" t="e">
        <f aca="false">(philips26[[#This Row],["B"PRECIO COMPRA]]*philips26[[#This Row],[STOCK BARRAS]])</f>
        <v>#DIV/0!</v>
      </c>
      <c r="R13" s="1" t="e">
        <f aca="false">(philips26[[#This Row],["B"PRECIO VENTA ]]*philips26[[#This Row],[STOCK BARRAS]])</f>
        <v>#DIV/0!</v>
      </c>
      <c r="U13" s="1" t="n">
        <v>10.8</v>
      </c>
      <c r="V13" s="57" t="s">
        <v>363</v>
      </c>
    </row>
  </sheetData>
  <mergeCells count="1">
    <mergeCell ref="B2:V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V13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A8" activeCellId="0" sqref="A8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7.3"/>
    <col collapsed="false" customWidth="true" hidden="false" outlineLevel="0" max="3" min="3" style="1" width="6.57"/>
    <col collapsed="false" customWidth="true" hidden="false" outlineLevel="0" max="4" min="4" style="1" width="7.43"/>
    <col collapsed="false" customWidth="true" hidden="false" outlineLevel="0" max="7" min="5" style="1" width="9.57"/>
    <col collapsed="false" customWidth="true" hidden="true" outlineLevel="0" max="17" min="8" style="1" width="9.57"/>
    <col collapsed="false" customWidth="true" hidden="false" outlineLevel="0" max="18" min="18" style="1" width="5.3"/>
    <col collapsed="false" customWidth="true" hidden="false" outlineLevel="0" max="19" min="19" style="1" width="6.29"/>
    <col collapsed="false" customWidth="true" hidden="false" outlineLevel="0" max="20" min="20" style="1" width="9.57"/>
    <col collapsed="false" customWidth="true" hidden="false" outlineLevel="0" max="21" min="21" style="1" width="16.29"/>
    <col collapsed="false" customWidth="true" hidden="false" outlineLevel="0" max="22" min="22" style="1" width="14.29"/>
  </cols>
  <sheetData>
    <row r="2" customFormat="false" ht="15" hidden="false" customHeight="false" outlineLevel="0" collapsed="false">
      <c r="A2" s="59" t="s">
        <v>364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</row>
    <row r="3" customFormat="false" ht="15" hidden="false" customHeight="false" outlineLevel="0" collapsed="false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</row>
    <row r="4" customFormat="false" ht="39" hidden="false" customHeight="true" outlineLevel="0" collapsed="false">
      <c r="A4" s="3" t="s">
        <v>1</v>
      </c>
      <c r="B4" s="3" t="s">
        <v>2</v>
      </c>
      <c r="C4" s="4" t="s">
        <v>3</v>
      </c>
      <c r="D4" s="5" t="s">
        <v>4</v>
      </c>
      <c r="E4" s="6" t="s">
        <v>5</v>
      </c>
      <c r="F4" s="7" t="s">
        <v>6</v>
      </c>
      <c r="G4" s="8" t="s">
        <v>7</v>
      </c>
      <c r="H4" s="9" t="s">
        <v>8</v>
      </c>
      <c r="I4" s="9" t="s">
        <v>9</v>
      </c>
      <c r="J4" s="8" t="s">
        <v>10</v>
      </c>
      <c r="K4" s="8" t="s">
        <v>11</v>
      </c>
      <c r="L4" s="8" t="s">
        <v>12</v>
      </c>
      <c r="M4" s="10" t="s">
        <v>13</v>
      </c>
      <c r="N4" s="8" t="s">
        <v>14</v>
      </c>
      <c r="O4" s="11" t="s">
        <v>15</v>
      </c>
      <c r="P4" s="8" t="s">
        <v>16</v>
      </c>
      <c r="Q4" s="8" t="s">
        <v>17</v>
      </c>
      <c r="R4" s="11" t="s">
        <v>18</v>
      </c>
      <c r="S4" s="12" t="s">
        <v>19</v>
      </c>
      <c r="T4" s="13" t="s">
        <v>20</v>
      </c>
      <c r="U4" s="14" t="s">
        <v>21</v>
      </c>
      <c r="V4" s="15" t="s">
        <v>22</v>
      </c>
    </row>
    <row r="5" customFormat="false" ht="15" hidden="false" customHeight="false" outlineLevel="0" collapsed="false">
      <c r="A5" s="1" t="n">
        <v>6009</v>
      </c>
      <c r="B5" s="60" t="s">
        <v>365</v>
      </c>
      <c r="C5" s="1" t="n">
        <f aca="false">(toshiba26[[#This Row],[CANTIDAD INICIAL JUEGO ]]+toshiba26[[#This Row],[ENTRADAS JUEGOS ]]-toshiba26[[#This Row],[SALIDAS JUEGOS]])</f>
        <v>0</v>
      </c>
      <c r="D5" s="1" t="n">
        <f aca="false">(toshiba26[[#This Row],[CANTIDAD INICIAL BARRAS]]+toshiba26[[#This Row],[ENTRADAS BARRAS]]-toshiba26[[#This Row],[SALIDA BARRAS]])</f>
        <v>165</v>
      </c>
      <c r="E5" s="23" t="n">
        <v>180</v>
      </c>
      <c r="F5" s="1" t="n">
        <v>71</v>
      </c>
      <c r="G5" s="1" t="n">
        <v>8</v>
      </c>
      <c r="H5" s="1" t="n">
        <f aca="false">(toshiba26[[#This Row],["J" PRECIO VENTA ]]/toshiba26[[#This Row],[BARRAS]])</f>
        <v>22.5</v>
      </c>
      <c r="I5" s="1" t="n">
        <f aca="false">(toshiba26[[#This Row],["J"PRECIO COMPRA ]]/toshiba26[[#This Row],[BARRAS]])</f>
        <v>8.875</v>
      </c>
      <c r="J5" s="1" t="n">
        <f aca="false">SUMIF(entradas26[CODIGO],toshiba26[[#This Row],[CODIGO ]],entradas26[[CAN JUEGOS ]])</f>
        <v>0</v>
      </c>
      <c r="K5" s="1" t="n">
        <f aca="false">SUMIF(entradas26[CODIGO],toshiba26[[#This Row],[CODIGO ]],entradas26[CAN BARRAS])</f>
        <v>184</v>
      </c>
      <c r="L5" s="1" t="n">
        <f aca="false">SUMIF(salidas26[[CODIGO ]],toshiba26[[#This Row],[CODIGO ]],salidas26[[CANT JUEGOS ]])</f>
        <v>0</v>
      </c>
      <c r="M5" s="1" t="n">
        <f aca="false">SUMIF(salidas26[[CODIGO ]],toshiba26[[#This Row],[CODIGO ]],salidas26[CANT BARRAS])</f>
        <v>83</v>
      </c>
      <c r="N5" s="1" t="n">
        <f aca="false">(toshiba26[[#This Row],["J"PRECIO COMPRA ]]*toshiba26[[#This Row],[STOCK JUEGOS]])</f>
        <v>0</v>
      </c>
      <c r="O5" s="1" t="n">
        <f aca="false">(toshiba26[[#This Row],["J" PRECIO VENTA ]]*toshiba26[[#This Row],[STOCK JUEGOS]])</f>
        <v>0</v>
      </c>
      <c r="P5" s="1" t="n">
        <f aca="false">(toshiba26[[#This Row],["B"PRECIO COMPRA]]*toshiba26[[#This Row],[STOCK BARRAS]])</f>
        <v>1464.375</v>
      </c>
      <c r="Q5" s="1" t="n">
        <f aca="false">(toshiba26[[#This Row],["B"PRECIO VENTA ]]*toshiba26[[#This Row],[STOCK BARRAS]])</f>
        <v>3712.5</v>
      </c>
      <c r="R5" s="18"/>
      <c r="S5" s="18" t="n">
        <v>64</v>
      </c>
      <c r="T5" s="1" t="n">
        <v>3.7</v>
      </c>
      <c r="U5" s="1" t="s">
        <v>366</v>
      </c>
    </row>
    <row r="6" customFormat="false" ht="15" hidden="false" customHeight="false" outlineLevel="0" collapsed="false">
      <c r="A6" s="1" t="n">
        <v>6011</v>
      </c>
      <c r="B6" s="15" t="s">
        <v>367</v>
      </c>
      <c r="C6" s="1" t="n">
        <f aca="false">(toshiba26[[#This Row],[CANTIDAD INICIAL JUEGO ]]+toshiba26[[#This Row],[ENTRADAS JUEGOS ]]-toshiba26[[#This Row],[SALIDAS JUEGOS]])</f>
        <v>20</v>
      </c>
      <c r="D6" s="1" t="n">
        <f aca="false">(toshiba26[[#This Row],[CANTIDAD INICIAL BARRAS]]+toshiba26[[#This Row],[ENTRADAS BARRAS]]-toshiba26[[#This Row],[SALIDA BARRAS]])</f>
        <v>0</v>
      </c>
      <c r="E6" s="17" t="n">
        <v>180</v>
      </c>
      <c r="G6" s="1" t="n">
        <v>3</v>
      </c>
      <c r="H6" s="1" t="n">
        <f aca="false">(toshiba26[[#This Row],["J" PRECIO VENTA ]]/toshiba26[[#This Row],[BARRAS]])</f>
        <v>60</v>
      </c>
      <c r="I6" s="1" t="n">
        <f aca="false">(toshiba26[[#This Row],["J"PRECIO COMPRA ]]/toshiba26[[#This Row],[BARRAS]])</f>
        <v>0</v>
      </c>
      <c r="J6" s="1" t="n">
        <f aca="false">SUMIF(entradas26[CODIGO],toshiba26[[#This Row],[CODIGO ]],entradas26[[CAN JUEGOS ]])</f>
        <v>20</v>
      </c>
      <c r="K6" s="1" t="n">
        <f aca="false">SUMIF(entradas26[CODIGO],toshiba26[[#This Row],[CODIGO ]],entradas26[CAN BARRAS])</f>
        <v>0</v>
      </c>
      <c r="L6" s="1" t="n">
        <f aca="false">SUMIF(salidas26[[CODIGO ]],toshiba26[[#This Row],[CODIGO ]],salidas26[[CANT JUEGOS ]])</f>
        <v>0</v>
      </c>
      <c r="M6" s="1" t="n">
        <f aca="false">SUMIF(salidas26[[CODIGO ]],toshiba26[[#This Row],[CODIGO ]],salidas26[CANT BARRAS])</f>
        <v>0</v>
      </c>
      <c r="N6" s="1" t="n">
        <f aca="false">(toshiba26[[#This Row],["J"PRECIO COMPRA ]]*toshiba26[[#This Row],[STOCK JUEGOS]])</f>
        <v>0</v>
      </c>
      <c r="O6" s="1" t="n">
        <f aca="false">(toshiba26[[#This Row],["J" PRECIO VENTA ]]*toshiba26[[#This Row],[STOCK JUEGOS]])</f>
        <v>3600</v>
      </c>
      <c r="P6" s="1" t="n">
        <f aca="false">(toshiba26[[#This Row],["B"PRECIO COMPRA]]*toshiba26[[#This Row],[STOCK BARRAS]])</f>
        <v>0</v>
      </c>
      <c r="Q6" s="1" t="n">
        <f aca="false">(toshiba26[[#This Row],["B"PRECIO VENTA ]]*toshiba26[[#This Row],[STOCK BARRAS]])</f>
        <v>0</v>
      </c>
      <c r="R6" s="18"/>
      <c r="S6" s="18"/>
      <c r="U6" s="1" t="s">
        <v>368</v>
      </c>
    </row>
    <row r="7" customFormat="false" ht="15" hidden="false" customHeight="false" outlineLevel="0" collapsed="false">
      <c r="A7" s="1" t="n">
        <v>6015</v>
      </c>
      <c r="B7" s="1" t="s">
        <v>369</v>
      </c>
      <c r="C7" s="1" t="n">
        <f aca="false">(toshiba26[[#This Row],[CANTIDAD INICIAL JUEGO ]]+toshiba26[[#This Row],[ENTRADAS JUEGOS ]]-toshiba26[[#This Row],[SALIDAS JUEGOS]])</f>
        <v>19</v>
      </c>
      <c r="D7" s="1" t="n">
        <f aca="false">(toshiba26[[#This Row],[CANTIDAD INICIAL BARRAS]]+toshiba26[[#This Row],[ENTRADAS BARRAS]]-toshiba26[[#This Row],[SALIDA BARRAS]])</f>
        <v>2</v>
      </c>
      <c r="E7" s="23" t="n">
        <v>220</v>
      </c>
      <c r="F7" s="28" t="n">
        <v>46</v>
      </c>
      <c r="G7" s="1" t="n">
        <v>4</v>
      </c>
      <c r="H7" s="1" t="n">
        <f aca="false">(toshiba26[[#This Row],["J" PRECIO VENTA ]]/toshiba26[[#This Row],[BARRAS]])</f>
        <v>55</v>
      </c>
      <c r="I7" s="1" t="n">
        <f aca="false">(toshiba26[[#This Row],["J"PRECIO COMPRA ]]/toshiba26[[#This Row],[BARRAS]])</f>
        <v>11.5</v>
      </c>
      <c r="J7" s="1" t="n">
        <f aca="false">SUMIF(entradas26[CODIGO],toshiba26[[#This Row],[CODIGO ]],entradas26[[CAN JUEGOS ]])</f>
        <v>0</v>
      </c>
      <c r="K7" s="1" t="n">
        <f aca="false">SUMIF(entradas26[CODIGO],toshiba26[[#This Row],[CODIGO ]],entradas26[CAN BARRAS])</f>
        <v>0</v>
      </c>
      <c r="L7" s="1" t="n">
        <f aca="false">SUMIF(salidas26[[CODIGO ]],toshiba26[[#This Row],[CODIGO ]],salidas26[[CANT JUEGOS ]])</f>
        <v>5</v>
      </c>
      <c r="M7" s="1" t="n">
        <f aca="false">SUMIF(salidas26[[CODIGO ]],toshiba26[[#This Row],[CODIGO ]],salidas26[CANT BARRAS])</f>
        <v>0</v>
      </c>
      <c r="N7" s="1" t="n">
        <f aca="false">(toshiba26[[#This Row],["J"PRECIO COMPRA ]]*toshiba26[[#This Row],[STOCK JUEGOS]])</f>
        <v>874</v>
      </c>
      <c r="O7" s="1" t="n">
        <f aca="false">(toshiba26[[#This Row],["J" PRECIO VENTA ]]*toshiba26[[#This Row],[STOCK JUEGOS]])</f>
        <v>4180</v>
      </c>
      <c r="P7" s="1" t="n">
        <f aca="false">(toshiba26[[#This Row],["B"PRECIO COMPRA]]*toshiba26[[#This Row],[STOCK BARRAS]])</f>
        <v>23</v>
      </c>
      <c r="Q7" s="1" t="n">
        <f aca="false">(toshiba26[[#This Row],["B"PRECIO VENTA ]]*toshiba26[[#This Row],[STOCK BARRAS]])</f>
        <v>110</v>
      </c>
      <c r="R7" s="18" t="n">
        <v>24</v>
      </c>
      <c r="S7" s="18" t="n">
        <v>2</v>
      </c>
      <c r="T7" s="1" t="n">
        <v>2.5</v>
      </c>
      <c r="U7" s="1" t="s">
        <v>370</v>
      </c>
    </row>
    <row r="8" customFormat="false" ht="15" hidden="false" customHeight="false" outlineLevel="0" collapsed="false">
      <c r="A8" s="1" t="n">
        <v>6016</v>
      </c>
      <c r="B8" s="15" t="s">
        <v>371</v>
      </c>
      <c r="C8" s="1" t="n">
        <f aca="false">(toshiba26[[#This Row],[CANTIDAD INICIAL JUEGO ]]+toshiba26[[#This Row],[ENTRADAS JUEGOS ]]-toshiba26[[#This Row],[SALIDAS JUEGOS]])</f>
        <v>22</v>
      </c>
      <c r="D8" s="1" t="n">
        <f aca="false">(toshiba26[[#This Row],[CANTIDAD INICIAL BARRAS]]+toshiba26[[#This Row],[ENTRADAS BARRAS]]-toshiba26[[#This Row],[SALIDA BARRAS]])</f>
        <v>2</v>
      </c>
      <c r="E8" s="23" t="n">
        <v>240</v>
      </c>
      <c r="F8" s="1" t="n">
        <v>90</v>
      </c>
      <c r="G8" s="1" t="n">
        <v>8</v>
      </c>
      <c r="H8" s="1" t="n">
        <f aca="false">(toshiba26[[#This Row],["J" PRECIO VENTA ]]/toshiba26[[#This Row],[BARRAS]])</f>
        <v>30</v>
      </c>
      <c r="I8" s="1" t="n">
        <f aca="false">(toshiba26[[#This Row],["J"PRECIO COMPRA ]]/toshiba26[[#This Row],[BARRAS]])</f>
        <v>11.25</v>
      </c>
      <c r="J8" s="1" t="n">
        <f aca="false">SUMIF(entradas26[CODIGO],toshiba26[[#This Row],[CODIGO ]],entradas26[[CAN JUEGOS ]])</f>
        <v>20</v>
      </c>
      <c r="K8" s="1" t="n">
        <f aca="false">SUMIF(entradas26[CODIGO],toshiba26[[#This Row],[CODIGO ]],entradas26[CAN BARRAS])</f>
        <v>0</v>
      </c>
      <c r="L8" s="1" t="n">
        <f aca="false">SUMIF(salidas26[[CODIGO ]],toshiba26[[#This Row],[CODIGO ]],salidas26[[CANT JUEGOS ]])</f>
        <v>4</v>
      </c>
      <c r="M8" s="1" t="n">
        <f aca="false">SUMIF(salidas26[[CODIGO ]],toshiba26[[#This Row],[CODIGO ]],salidas26[CANT BARRAS])</f>
        <v>0</v>
      </c>
      <c r="N8" s="1" t="n">
        <f aca="false">(toshiba26[[#This Row],["J"PRECIO COMPRA ]]*toshiba26[[#This Row],[STOCK JUEGOS]])</f>
        <v>1980</v>
      </c>
      <c r="O8" s="1" t="n">
        <f aca="false">(toshiba26[[#This Row],["J" PRECIO VENTA ]]*toshiba26[[#This Row],[STOCK JUEGOS]])</f>
        <v>5280</v>
      </c>
      <c r="P8" s="1" t="n">
        <f aca="false">(toshiba26[[#This Row],["B"PRECIO COMPRA]]*toshiba26[[#This Row],[STOCK BARRAS]])</f>
        <v>22.5</v>
      </c>
      <c r="Q8" s="1" t="n">
        <f aca="false">(toshiba26[[#This Row],["B"PRECIO VENTA ]]*toshiba26[[#This Row],[STOCK BARRAS]])</f>
        <v>60</v>
      </c>
      <c r="R8" s="18" t="n">
        <v>6</v>
      </c>
      <c r="S8" s="18" t="n">
        <v>2</v>
      </c>
      <c r="T8" s="1" t="n">
        <v>3.9</v>
      </c>
      <c r="U8" s="1" t="s">
        <v>372</v>
      </c>
    </row>
    <row r="9" customFormat="false" ht="15" hidden="false" customHeight="false" outlineLevel="0" collapsed="false">
      <c r="A9" s="1" t="n">
        <v>6021</v>
      </c>
      <c r="B9" s="15" t="s">
        <v>373</v>
      </c>
      <c r="C9" s="1" t="n">
        <f aca="false">(toshiba26[[#This Row],[CANTIDAD INICIAL JUEGO ]]+toshiba26[[#This Row],[ENTRADAS JUEGOS ]]-toshiba26[[#This Row],[SALIDAS JUEGOS]])</f>
        <v>4</v>
      </c>
      <c r="D9" s="1" t="n">
        <f aca="false">(toshiba26[[#This Row],[CANTIDAD INICIAL BARRAS]]+toshiba26[[#This Row],[ENTRADAS BARRAS]]-toshiba26[[#This Row],[SALIDA BARRAS]])</f>
        <v>4</v>
      </c>
      <c r="E9" s="17" t="n">
        <v>300</v>
      </c>
      <c r="F9" s="1" t="n">
        <v>96</v>
      </c>
      <c r="G9" s="1" t="n">
        <v>8</v>
      </c>
      <c r="H9" s="1" t="n">
        <f aca="false">(toshiba26[[#This Row],["J" PRECIO VENTA ]]/toshiba26[[#This Row],[BARRAS]])</f>
        <v>37.5</v>
      </c>
      <c r="I9" s="1" t="n">
        <f aca="false">(toshiba26[[#This Row],["J"PRECIO COMPRA ]]/toshiba26[[#This Row],[BARRAS]])</f>
        <v>12</v>
      </c>
      <c r="J9" s="1" t="n">
        <f aca="false">SUMIF(entradas26[CODIGO],toshiba26[[#This Row],[CODIGO ]],entradas26[[CAN JUEGOS ]])</f>
        <v>0</v>
      </c>
      <c r="K9" s="1" t="n">
        <f aca="false">SUMIF(entradas26[CODIGO],toshiba26[[#This Row],[CODIGO ]],entradas26[CAN BARRAS])</f>
        <v>0</v>
      </c>
      <c r="L9" s="1" t="n">
        <f aca="false">SUMIF(salidas26[[CODIGO ]],toshiba26[[#This Row],[CODIGO ]],salidas26[[CANT JUEGOS ]])</f>
        <v>5</v>
      </c>
      <c r="M9" s="1" t="n">
        <f aca="false">SUMIF(salidas26[[CODIGO ]],toshiba26[[#This Row],[CODIGO ]],salidas26[CANT BARRAS])</f>
        <v>0</v>
      </c>
      <c r="N9" s="1" t="n">
        <f aca="false">(toshiba26[[#This Row],["J"PRECIO COMPRA ]]*toshiba26[[#This Row],[STOCK JUEGOS]])</f>
        <v>384</v>
      </c>
      <c r="O9" s="1" t="n">
        <f aca="false">(toshiba26[[#This Row],["J" PRECIO VENTA ]]*toshiba26[[#This Row],[STOCK JUEGOS]])</f>
        <v>1200</v>
      </c>
      <c r="P9" s="1" t="n">
        <f aca="false">(toshiba26[[#This Row],["B"PRECIO COMPRA]]*toshiba26[[#This Row],[STOCK BARRAS]])</f>
        <v>48</v>
      </c>
      <c r="Q9" s="1" t="n">
        <f aca="false">(toshiba26[[#This Row],["B"PRECIO VENTA ]]*toshiba26[[#This Row],[STOCK BARRAS]])</f>
        <v>150</v>
      </c>
      <c r="R9" s="18" t="n">
        <v>9</v>
      </c>
      <c r="S9" s="18" t="n">
        <v>4</v>
      </c>
    </row>
    <row r="10" customFormat="false" ht="15" hidden="false" customHeight="false" outlineLevel="0" collapsed="false">
      <c r="A10" s="1" t="n">
        <v>6023</v>
      </c>
      <c r="B10" s="15" t="s">
        <v>374</v>
      </c>
      <c r="C10" s="1" t="n">
        <f aca="false">(toshiba26[[#This Row],[CANTIDAD INICIAL JUEGO ]]+toshiba26[[#This Row],[ENTRADAS JUEGOS ]]-toshiba26[[#This Row],[SALIDAS JUEGOS]])</f>
        <v>13</v>
      </c>
      <c r="D10" s="1" t="n">
        <f aca="false">(toshiba26[[#This Row],[CANTIDAD INICIAL BARRAS]]+toshiba26[[#This Row],[ENTRADAS BARRAS]]-toshiba26[[#This Row],[SALIDA BARRAS]])</f>
        <v>0</v>
      </c>
      <c r="E10" s="17" t="n">
        <v>300</v>
      </c>
      <c r="F10" s="34" t="n">
        <v>99</v>
      </c>
      <c r="G10" s="1" t="n">
        <v>4</v>
      </c>
      <c r="H10" s="1" t="n">
        <f aca="false">(toshiba26[[#This Row],["J" PRECIO VENTA ]]/toshiba26[[#This Row],[BARRAS]])</f>
        <v>75</v>
      </c>
      <c r="I10" s="1" t="n">
        <f aca="false">(toshiba26[[#This Row],["J"PRECIO COMPRA ]]/toshiba26[[#This Row],[BARRAS]])</f>
        <v>24.75</v>
      </c>
      <c r="J10" s="1" t="n">
        <f aca="false">SUMIF(entradas26[CODIGO],toshiba26[[#This Row],[CODIGO ]],entradas26[[CAN JUEGOS ]])</f>
        <v>0</v>
      </c>
      <c r="K10" s="1" t="n">
        <f aca="false">SUMIF(entradas26[CODIGO],toshiba26[[#This Row],[CODIGO ]],entradas26[CAN BARRAS])</f>
        <v>0</v>
      </c>
      <c r="L10" s="1" t="n">
        <f aca="false">SUMIF(salidas26[[CODIGO ]],toshiba26[[#This Row],[CODIGO ]],salidas26[[CANT JUEGOS ]])</f>
        <v>1</v>
      </c>
      <c r="M10" s="1" t="n">
        <f aca="false">SUMIF(salidas26[[CODIGO ]],toshiba26[[#This Row],[CODIGO ]],salidas26[CANT BARRAS])</f>
        <v>0</v>
      </c>
      <c r="N10" s="1" t="n">
        <f aca="false">(toshiba26[[#This Row],["J"PRECIO COMPRA ]]*toshiba26[[#This Row],[STOCK JUEGOS]])</f>
        <v>1287</v>
      </c>
      <c r="O10" s="1" t="n">
        <f aca="false">(toshiba26[[#This Row],["J" PRECIO VENTA ]]*toshiba26[[#This Row],[STOCK JUEGOS]])</f>
        <v>3900</v>
      </c>
      <c r="P10" s="1" t="n">
        <f aca="false">(toshiba26[[#This Row],["B"PRECIO COMPRA]]*toshiba26[[#This Row],[STOCK BARRAS]])</f>
        <v>0</v>
      </c>
      <c r="Q10" s="1" t="n">
        <f aca="false">(toshiba26[[#This Row],["B"PRECIO VENTA ]]*toshiba26[[#This Row],[STOCK BARRAS]])</f>
        <v>0</v>
      </c>
      <c r="R10" s="18" t="n">
        <v>14</v>
      </c>
      <c r="S10" s="18"/>
      <c r="T10" s="1" t="n">
        <v>4.5</v>
      </c>
      <c r="U10" s="1" t="s">
        <v>375</v>
      </c>
    </row>
    <row r="11" customFormat="false" ht="15" hidden="false" customHeight="false" outlineLevel="0" collapsed="false">
      <c r="A11" s="1" t="n">
        <v>6024</v>
      </c>
      <c r="B11" s="15" t="s">
        <v>376</v>
      </c>
      <c r="C11" s="1" t="n">
        <f aca="false">(toshiba26[[#This Row],[CANTIDAD INICIAL JUEGO ]]+toshiba26[[#This Row],[ENTRADAS JUEGOS ]]-toshiba26[[#This Row],[SALIDAS JUEGOS]])</f>
        <v>7</v>
      </c>
      <c r="D11" s="1" t="n">
        <f aca="false">(toshiba26[[#This Row],[CANTIDAD INICIAL BARRAS]]+toshiba26[[#This Row],[ENTRADAS BARRAS]]-toshiba26[[#This Row],[SALIDA BARRAS]])</f>
        <v>3</v>
      </c>
      <c r="E11" s="17" t="n">
        <v>300</v>
      </c>
      <c r="F11" s="1" t="n">
        <v>146</v>
      </c>
      <c r="G11" s="1" t="n">
        <v>12</v>
      </c>
      <c r="H11" s="1" t="n">
        <f aca="false">(toshiba26[[#This Row],["J" PRECIO VENTA ]]/toshiba26[[#This Row],[BARRAS]])</f>
        <v>25</v>
      </c>
      <c r="I11" s="1" t="n">
        <f aca="false">(toshiba26[[#This Row],["J"PRECIO COMPRA ]]/toshiba26[[#This Row],[BARRAS]])</f>
        <v>12.1666666666667</v>
      </c>
      <c r="J11" s="1" t="n">
        <f aca="false">SUMIF(entradas26[CODIGO],toshiba26[[#This Row],[CODIGO ]],entradas26[[CAN JUEGOS ]])</f>
        <v>0</v>
      </c>
      <c r="K11" s="1" t="n">
        <f aca="false">SUMIF(entradas26[CODIGO],toshiba26[[#This Row],[CODIGO ]],entradas26[CAN BARRAS])</f>
        <v>0</v>
      </c>
      <c r="L11" s="1" t="n">
        <f aca="false">SUMIF(salidas26[[CODIGO ]],toshiba26[[#This Row],[CODIGO ]],salidas26[[CANT JUEGOS ]])</f>
        <v>2</v>
      </c>
      <c r="M11" s="1" t="n">
        <f aca="false">SUMIF(salidas26[[CODIGO ]],toshiba26[[#This Row],[CODIGO ]],salidas26[CANT BARRAS])</f>
        <v>3</v>
      </c>
      <c r="N11" s="1" t="n">
        <f aca="false">(toshiba26[[#This Row],["J"PRECIO COMPRA ]]*toshiba26[[#This Row],[STOCK JUEGOS]])</f>
        <v>1022</v>
      </c>
      <c r="O11" s="1" t="n">
        <f aca="false">(toshiba26[[#This Row],["J" PRECIO VENTA ]]*toshiba26[[#This Row],[STOCK JUEGOS]])</f>
        <v>2100</v>
      </c>
      <c r="P11" s="1" t="n">
        <f aca="false">(toshiba26[[#This Row],["B"PRECIO COMPRA]]*toshiba26[[#This Row],[STOCK BARRAS]])</f>
        <v>36.5</v>
      </c>
      <c r="Q11" s="1" t="n">
        <f aca="false">(toshiba26[[#This Row],["B"PRECIO VENTA ]]*toshiba26[[#This Row],[STOCK BARRAS]])</f>
        <v>75</v>
      </c>
      <c r="R11" s="18" t="n">
        <v>9</v>
      </c>
      <c r="S11" s="18" t="n">
        <v>6</v>
      </c>
      <c r="T11" s="1" t="n">
        <v>6.7</v>
      </c>
      <c r="U11" s="1" t="s">
        <v>377</v>
      </c>
    </row>
    <row r="12" s="1" customFormat="true" ht="15" hidden="false" customHeight="false" outlineLevel="0" collapsed="false">
      <c r="A12" s="1" t="n">
        <v>6025</v>
      </c>
      <c r="B12" s="15" t="s">
        <v>378</v>
      </c>
      <c r="C12" s="1" t="n">
        <f aca="false">(toshiba26[[#This Row],[CANTIDAD INICIAL JUEGO ]]+toshiba26[[#This Row],[ENTRADAS JUEGOS ]]-toshiba26[[#This Row],[SALIDAS JUEGOS]])</f>
        <v>18</v>
      </c>
      <c r="D12" s="1" t="n">
        <f aca="false">(toshiba26[[#This Row],[CANTIDAD INICIAL BARRAS]]+toshiba26[[#This Row],[ENTRADAS BARRAS]]-toshiba26[[#This Row],[SALIDA BARRAS]])</f>
        <v>0</v>
      </c>
      <c r="E12" s="27" t="n">
        <v>320</v>
      </c>
      <c r="F12" s="1" t="n">
        <v>128</v>
      </c>
      <c r="G12" s="1" t="n">
        <v>5</v>
      </c>
      <c r="H12" s="1" t="n">
        <f aca="false">(toshiba26[[#This Row],["J" PRECIO VENTA ]]/toshiba26[[#This Row],[BARRAS]])</f>
        <v>64</v>
      </c>
      <c r="I12" s="1" t="n">
        <f aca="false">(toshiba26[[#This Row],["J"PRECIO COMPRA ]]/toshiba26[[#This Row],[BARRAS]])</f>
        <v>25.6</v>
      </c>
      <c r="J12" s="1" t="n">
        <f aca="false">SUMIF(entradas26[CODIGO],toshiba26[[#This Row],[CODIGO ]],entradas26[[CAN JUEGOS ]])</f>
        <v>20</v>
      </c>
      <c r="K12" s="1" t="n">
        <f aca="false">SUMIF(entradas26[CODIGO],toshiba26[[#This Row],[CODIGO ]],entradas26[CAN BARRAS])</f>
        <v>0</v>
      </c>
      <c r="L12" s="1" t="n">
        <f aca="false">SUMIF(salidas26[[CODIGO ]],toshiba26[[#This Row],[CODIGO ]],salidas26[[CANT JUEGOS ]])</f>
        <v>2</v>
      </c>
      <c r="M12" s="1" t="n">
        <f aca="false">SUMIF(salidas26[[CODIGO ]],toshiba26[[#This Row],[CODIGO ]],salidas26[CANT BARRAS])</f>
        <v>0</v>
      </c>
      <c r="N12" s="1" t="n">
        <f aca="false">(toshiba26[[#This Row],["J"PRECIO COMPRA ]]*toshiba26[[#This Row],[STOCK JUEGOS]])</f>
        <v>2304</v>
      </c>
      <c r="O12" s="1" t="n">
        <f aca="false">(toshiba26[[#This Row],["J" PRECIO VENTA ]]*toshiba26[[#This Row],[STOCK JUEGOS]])</f>
        <v>5760</v>
      </c>
      <c r="P12" s="1" t="n">
        <f aca="false">(toshiba26[[#This Row],["B"PRECIO COMPRA]]*toshiba26[[#This Row],[STOCK BARRAS]])</f>
        <v>0</v>
      </c>
      <c r="Q12" s="1" t="n">
        <f aca="false">(toshiba26[[#This Row],["B"PRECIO VENTA ]]*toshiba26[[#This Row],[STOCK BARRAS]])</f>
        <v>0</v>
      </c>
      <c r="T12" s="1" t="n">
        <v>6.21</v>
      </c>
      <c r="U12" s="1" t="s">
        <v>379</v>
      </c>
    </row>
    <row r="13" customFormat="false" ht="15" hidden="false" customHeight="false" outlineLevel="0" collapsed="false">
      <c r="A13" s="1" t="n">
        <v>6030</v>
      </c>
      <c r="B13" s="15" t="s">
        <v>380</v>
      </c>
      <c r="C13" s="1" t="n">
        <f aca="false">(toshiba26[[#This Row],[CANTIDAD INICIAL JUEGO ]]+toshiba26[[#This Row],[ENTRADAS JUEGOS ]]-toshiba26[[#This Row],[SALIDAS JUEGOS]])</f>
        <v>4</v>
      </c>
      <c r="D13" s="1" t="n">
        <f aca="false">(toshiba26[[#This Row],[CANTIDAD INICIAL BARRAS]]+toshiba26[[#This Row],[ENTRADAS BARRAS]]-toshiba26[[#This Row],[SALIDA BARRAS]])</f>
        <v>0</v>
      </c>
      <c r="E13" s="17" t="n">
        <v>320</v>
      </c>
      <c r="F13" s="1" t="n">
        <v>119</v>
      </c>
      <c r="G13" s="1" t="n">
        <v>2</v>
      </c>
      <c r="H13" s="1" t="n">
        <f aca="false">(toshiba26[[#This Row],["J" PRECIO VENTA ]]/toshiba26[[#This Row],[BARRAS]])</f>
        <v>160</v>
      </c>
      <c r="I13" s="1" t="n">
        <f aca="false">(toshiba26[[#This Row],["J"PRECIO COMPRA ]]/toshiba26[[#This Row],[BARRAS]])</f>
        <v>59.5</v>
      </c>
      <c r="J13" s="1" t="n">
        <f aca="false">SUMIF(entradas26[CODIGO],toshiba26[[#This Row],[CODIGO ]],entradas26[[CAN JUEGOS ]])</f>
        <v>0</v>
      </c>
      <c r="K13" s="1" t="n">
        <f aca="false">SUMIF(entradas26[CODIGO],toshiba26[[#This Row],[CODIGO ]],entradas26[CAN BARRAS])</f>
        <v>0</v>
      </c>
      <c r="L13" s="1" t="n">
        <f aca="false">SUMIF(salidas26[[CODIGO ]],toshiba26[[#This Row],[CODIGO ]],salidas26[[CANT JUEGOS ]])</f>
        <v>0</v>
      </c>
      <c r="M13" s="1" t="n">
        <f aca="false">SUMIF(salidas26[[CODIGO ]],toshiba26[[#This Row],[CODIGO ]],salidas26[CANT BARRAS])</f>
        <v>0</v>
      </c>
      <c r="N13" s="1" t="n">
        <f aca="false">(toshiba26[[#This Row],["J"PRECIO COMPRA ]]*toshiba26[[#This Row],[STOCK JUEGOS]])</f>
        <v>476</v>
      </c>
      <c r="O13" s="1" t="n">
        <f aca="false">(toshiba26[[#This Row],["J" PRECIO VENTA ]]*toshiba26[[#This Row],[STOCK JUEGOS]])</f>
        <v>1280</v>
      </c>
      <c r="P13" s="1" t="n">
        <f aca="false">(toshiba26[[#This Row],["B"PRECIO COMPRA]]*toshiba26[[#This Row],[STOCK BARRAS]])</f>
        <v>0</v>
      </c>
      <c r="Q13" s="1" t="n">
        <f aca="false">(toshiba26[[#This Row],["B"PRECIO VENTA ]]*toshiba26[[#This Row],[STOCK BARRAS]])</f>
        <v>0</v>
      </c>
      <c r="R13" s="18" t="n">
        <v>4</v>
      </c>
      <c r="S13" s="18"/>
      <c r="T13" s="1" t="n">
        <v>8.5</v>
      </c>
    </row>
  </sheetData>
  <mergeCells count="1">
    <mergeCell ref="A2:U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V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1" width="10.86"/>
    <col collapsed="false" customWidth="true" hidden="false" outlineLevel="0" max="2" min="2" style="1" width="29.3"/>
    <col collapsed="false" customWidth="true" hidden="false" outlineLevel="0" max="3" min="3" style="1" width="6.7"/>
    <col collapsed="false" customWidth="true" hidden="false" outlineLevel="0" max="21" min="4" style="1" width="10.7"/>
    <col collapsed="false" customWidth="true" hidden="false" outlineLevel="0" max="22" min="22" style="1" width="14.29"/>
  </cols>
  <sheetData>
    <row r="2" customFormat="false" ht="15" hidden="false" customHeight="false" outlineLevel="0" collapsed="false">
      <c r="A2" s="59" t="s">
        <v>381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</row>
    <row r="3" customFormat="false" ht="15" hidden="false" customHeight="false" outlineLevel="0" collapsed="false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</row>
    <row r="4" customFormat="false" ht="46.25" hidden="false" customHeight="false" outlineLevel="0" collapsed="false">
      <c r="A4" s="3" t="s">
        <v>1</v>
      </c>
      <c r="B4" s="3" t="s">
        <v>2</v>
      </c>
      <c r="C4" s="4" t="s">
        <v>3</v>
      </c>
      <c r="D4" s="5" t="s">
        <v>4</v>
      </c>
      <c r="E4" s="6" t="s">
        <v>5</v>
      </c>
      <c r="F4" s="7" t="s">
        <v>6</v>
      </c>
      <c r="G4" s="8" t="s">
        <v>7</v>
      </c>
      <c r="H4" s="9" t="s">
        <v>8</v>
      </c>
      <c r="I4" s="9" t="s">
        <v>9</v>
      </c>
      <c r="J4" s="8" t="s">
        <v>10</v>
      </c>
      <c r="K4" s="8" t="s">
        <v>11</v>
      </c>
      <c r="L4" s="8" t="s">
        <v>12</v>
      </c>
      <c r="M4" s="10" t="s">
        <v>13</v>
      </c>
      <c r="N4" s="8" t="s">
        <v>14</v>
      </c>
      <c r="O4" s="11" t="s">
        <v>15</v>
      </c>
      <c r="P4" s="8" t="s">
        <v>16</v>
      </c>
      <c r="Q4" s="8" t="s">
        <v>17</v>
      </c>
      <c r="R4" s="11" t="s">
        <v>18</v>
      </c>
      <c r="S4" s="12" t="s">
        <v>19</v>
      </c>
      <c r="T4" s="13" t="s">
        <v>20</v>
      </c>
      <c r="U4" s="14" t="s">
        <v>21</v>
      </c>
      <c r="V4" s="1" t="s">
        <v>22</v>
      </c>
    </row>
    <row r="5" customFormat="false" ht="15" hidden="false" customHeight="false" outlineLevel="0" collapsed="false">
      <c r="A5" s="1" t="n">
        <v>6010</v>
      </c>
      <c r="B5" s="1" t="s">
        <v>382</v>
      </c>
      <c r="C5" s="1" t="n">
        <f aca="false">(HISENSE26[[#This Row],[CANTIDAD INICIAL JUEGO ]]+HISENSE26[[#This Row],[ENTRADAS JUEGOS ]]-HISENSE26[[#This Row],[SALIDAS JUEGOS]])</f>
        <v>0</v>
      </c>
      <c r="D5" s="1" t="n">
        <f aca="false">(HISENSE26[[#This Row],[CANTIDAD INICIAL BARRAS]]+HISENSE26[[#This Row],[ENTRADAS BARRAS]]-HISENSE26[[#This Row],[SALIDA BARRAS]])</f>
        <v>0</v>
      </c>
      <c r="E5" s="23" t="n">
        <v>180</v>
      </c>
      <c r="F5" s="34" t="n">
        <v>65</v>
      </c>
      <c r="G5" s="1" t="n">
        <v>1</v>
      </c>
      <c r="H5" s="1" t="n">
        <f aca="false">(HISENSE26[[#This Row],["J" PRECIO VENTA ]]/HISENSE26[[#This Row],[BARRAS]])</f>
        <v>180</v>
      </c>
      <c r="I5" s="1" t="n">
        <f aca="false">(HISENSE26[[#This Row],["J"PRECIO COMPRA ]]/HISENSE26[[#This Row],[BARRAS]])</f>
        <v>65</v>
      </c>
      <c r="J5" s="1" t="n">
        <f aca="false">SUMIF(entradas26[CODIGO],HISENSE26[[#This Row],[CODIGO ]],entradas26[[CAN JUEGOS ]])</f>
        <v>0</v>
      </c>
      <c r="K5" s="1" t="n">
        <f aca="false">SUMIF(entradas26[CODIGO],HISENSE26[[#This Row],[CODIGO ]],entradas26[CAN BARRAS])</f>
        <v>0</v>
      </c>
      <c r="L5" s="1" t="n">
        <f aca="false">SUMIF(salidas26[[CODIGO ]],HISENSE26[[#This Row],[CODIGO ]],salidas26[[CANT JUEGOS ]])</f>
        <v>1</v>
      </c>
      <c r="M5" s="1" t="n">
        <f aca="false">SUMIF(salidas26[[CODIGO ]],HISENSE26[[#This Row],[CODIGO ]],salidas26[CANT BARRAS])</f>
        <v>0</v>
      </c>
      <c r="N5" s="1" t="n">
        <f aca="false">(HISENSE26[[#This Row],["J"PRECIO COMPRA ]]*HISENSE26[[#This Row],[STOCK JUEGOS]])</f>
        <v>0</v>
      </c>
      <c r="O5" s="1" t="n">
        <f aca="false">(HISENSE26[[#This Row],["J" PRECIO VENTA ]]*HISENSE26[[#This Row],[STOCK JUEGOS]])</f>
        <v>0</v>
      </c>
      <c r="P5" s="1" t="n">
        <f aca="false">(HISENSE26[[#This Row],["B"PRECIO COMPRA]]*HISENSE26[[#This Row],[STOCK BARRAS]])</f>
        <v>0</v>
      </c>
      <c r="Q5" s="1" t="n">
        <f aca="false">(HISENSE26[[#This Row],["B"PRECIO VENTA ]]*HISENSE26[[#This Row],[STOCK BARRAS]])</f>
        <v>0</v>
      </c>
      <c r="R5" s="18" t="n">
        <v>1</v>
      </c>
      <c r="S5" s="18"/>
    </row>
    <row r="6" customFormat="false" ht="15" hidden="false" customHeight="false" outlineLevel="0" collapsed="false">
      <c r="A6" s="1" t="n">
        <v>6110</v>
      </c>
      <c r="B6" s="1" t="s">
        <v>383</v>
      </c>
      <c r="C6" s="1" t="n">
        <f aca="false">(HISENSE26[[#This Row],[CANTIDAD INICIAL JUEGO ]]+HISENSE26[[#This Row],[ENTRADAS JUEGOS ]]-HISENSE26[[#This Row],[SALIDAS JUEGOS]])</f>
        <v>19</v>
      </c>
      <c r="D6" s="1" t="n">
        <f aca="false">(HISENSE26[[#This Row],[CANTIDAD INICIAL BARRAS]]+HISENSE26[[#This Row],[ENTRADAS BARRAS]]-HISENSE26[[#This Row],[SALIDA BARRAS]])</f>
        <v>0</v>
      </c>
      <c r="E6" s="23" t="n">
        <v>60</v>
      </c>
      <c r="F6" s="34" t="n">
        <v>21</v>
      </c>
      <c r="H6" s="1" t="e">
        <f aca="false">(HISENSE26[[#This Row],["J" PRECIO VENTA ]]/HISENSE26[[#This Row],[BARRAS]])</f>
        <v>#DIV/0!</v>
      </c>
      <c r="I6" s="1" t="e">
        <f aca="false">(HISENSE26[[#This Row],["J"PRECIO COMPRA ]]/HISENSE26[[#This Row],[BARRAS]])</f>
        <v>#DIV/0!</v>
      </c>
      <c r="J6" s="1" t="n">
        <f aca="false">SUMIF(entradas26[CODIGO],HISENSE26[[#This Row],[CODIGO ]],entradas26[[CAN JUEGOS ]])</f>
        <v>20</v>
      </c>
      <c r="K6" s="1" t="n">
        <f aca="false">SUMIF(entradas26[CODIGO],HISENSE26[[#This Row],[CODIGO ]],entradas26[CAN BARRAS])</f>
        <v>0</v>
      </c>
      <c r="L6" s="1" t="n">
        <f aca="false">SUMIF(salidas26[[CODIGO ]],HISENSE26[[#This Row],[CODIGO ]],salidas26[[CANT JUEGOS ]])</f>
        <v>1</v>
      </c>
      <c r="M6" s="1" t="n">
        <f aca="false">SUMIF(salidas26[[CODIGO ]],HISENSE26[[#This Row],[CODIGO ]],salidas26[CANT BARRAS])</f>
        <v>0</v>
      </c>
      <c r="N6" s="1" t="n">
        <f aca="false">(HISENSE26[[#This Row],["J"PRECIO COMPRA ]]*HISENSE26[[#This Row],[STOCK JUEGOS]])</f>
        <v>399</v>
      </c>
      <c r="O6" s="1" t="n">
        <f aca="false">(HISENSE26[[#This Row],["J" PRECIO VENTA ]]*HISENSE26[[#This Row],[STOCK JUEGOS]])</f>
        <v>1140</v>
      </c>
      <c r="P6" s="1" t="e">
        <f aca="false">(HISENSE26[[#This Row],["B"PRECIO COMPRA]]*HISENSE26[[#This Row],[STOCK BARRAS]])</f>
        <v>#DIV/0!</v>
      </c>
      <c r="Q6" s="1" t="e">
        <f aca="false">(HISENSE26[[#This Row],["B"PRECIO VENTA ]]*HISENSE26[[#This Row],[STOCK BARRAS]])</f>
        <v>#DIV/0!</v>
      </c>
      <c r="R6" s="18"/>
      <c r="S6" s="18"/>
      <c r="T6" s="1" t="n">
        <v>1.1</v>
      </c>
      <c r="U6" s="1" t="s">
        <v>384</v>
      </c>
    </row>
    <row r="7" customFormat="false" ht="15" hidden="false" customHeight="false" outlineLevel="0" collapsed="false">
      <c r="A7" s="1" t="n">
        <v>6018</v>
      </c>
      <c r="B7" s="1" t="s">
        <v>385</v>
      </c>
      <c r="C7" s="1" t="n">
        <f aca="false">(HISENSE26[[#This Row],[CANTIDAD INICIAL JUEGO ]]+HISENSE26[[#This Row],[ENTRADAS JUEGOS ]]-HISENSE26[[#This Row],[SALIDAS JUEGOS]])</f>
        <v>12</v>
      </c>
      <c r="D7" s="1" t="n">
        <f aca="false">(HISENSE26[[#This Row],[CANTIDAD INICIAL BARRAS]]+HISENSE26[[#This Row],[ENTRADAS BARRAS]]-HISENSE26[[#This Row],[SALIDA BARRAS]])</f>
        <v>4</v>
      </c>
      <c r="E7" s="23" t="n">
        <v>280</v>
      </c>
      <c r="F7" s="34" t="n">
        <v>194</v>
      </c>
      <c r="G7" s="1" t="n">
        <v>11</v>
      </c>
      <c r="H7" s="1" t="n">
        <f aca="false">(HISENSE26[[#This Row],["J" PRECIO VENTA ]]/HISENSE26[[#This Row],[BARRAS]])</f>
        <v>25.4545454545455</v>
      </c>
      <c r="I7" s="1" t="n">
        <f aca="false">(HISENSE26[[#This Row],["J"PRECIO COMPRA ]]/HISENSE26[[#This Row],[BARRAS]])</f>
        <v>17.6363636363636</v>
      </c>
      <c r="J7" s="1" t="n">
        <f aca="false">SUMIF(entradas26[CODIGO],HISENSE26[[#This Row],[CODIGO ]],entradas26[[CAN JUEGOS ]])</f>
        <v>0</v>
      </c>
      <c r="K7" s="1" t="n">
        <f aca="false">SUMIF(entradas26[CODIGO],HISENSE26[[#This Row],[CODIGO ]],entradas26[CAN BARRAS])</f>
        <v>0</v>
      </c>
      <c r="L7" s="1" t="n">
        <f aca="false">SUMIF(salidas26[[CODIGO ]],HISENSE26[[#This Row],[CODIGO ]],salidas26[[CANT JUEGOS ]])</f>
        <v>1</v>
      </c>
      <c r="M7" s="1" t="n">
        <f aca="false">SUMIF(salidas26[[CODIGO ]],HISENSE26[[#This Row],[CODIGO ]],salidas26[CANT BARRAS])</f>
        <v>0</v>
      </c>
      <c r="N7" s="1" t="n">
        <f aca="false">(HISENSE26[[#This Row],["J"PRECIO COMPRA ]]*HISENSE26[[#This Row],[STOCK JUEGOS]])</f>
        <v>2328</v>
      </c>
      <c r="O7" s="1" t="n">
        <f aca="false">(HISENSE26[[#This Row],["J" PRECIO VENTA ]]*HISENSE26[[#This Row],[STOCK JUEGOS]])</f>
        <v>3360</v>
      </c>
      <c r="P7" s="1" t="n">
        <f aca="false">(HISENSE26[[#This Row],["B"PRECIO COMPRA]]*HISENSE26[[#This Row],[STOCK BARRAS]])</f>
        <v>70.5454545454546</v>
      </c>
      <c r="Q7" s="1" t="n">
        <f aca="false">(HISENSE26[[#This Row],["B"PRECIO VENTA ]]*HISENSE26[[#This Row],[STOCK BARRAS]])</f>
        <v>101.818181818182</v>
      </c>
      <c r="R7" s="18" t="n">
        <v>13</v>
      </c>
      <c r="S7" s="18" t="n">
        <v>4</v>
      </c>
      <c r="T7" s="1" t="n">
        <v>5.6</v>
      </c>
      <c r="U7" s="1" t="s">
        <v>386</v>
      </c>
    </row>
    <row r="8" customFormat="false" ht="15" hidden="false" customHeight="false" outlineLevel="0" collapsed="false">
      <c r="A8" s="1" t="n">
        <v>6020</v>
      </c>
      <c r="B8" s="1" t="s">
        <v>387</v>
      </c>
      <c r="C8" s="1" t="n">
        <f aca="false">(HISENSE26[[#This Row],[CANTIDAD INICIAL JUEGO ]]+HISENSE26[[#This Row],[ENTRADAS JUEGOS ]]-HISENSE26[[#This Row],[SALIDAS JUEGOS]])</f>
        <v>20</v>
      </c>
      <c r="D8" s="1" t="n">
        <f aca="false">(HISENSE26[[#This Row],[CANTIDAD INICIAL BARRAS]]+HISENSE26[[#This Row],[ENTRADAS BARRAS]]-HISENSE26[[#This Row],[SALIDA BARRAS]])</f>
        <v>0</v>
      </c>
      <c r="E8" s="23" t="n">
        <v>300</v>
      </c>
      <c r="F8" s="34" t="n">
        <v>125.4</v>
      </c>
      <c r="H8" s="1" t="e">
        <f aca="false">(HISENSE26[[#This Row],["J" PRECIO VENTA ]]/HISENSE26[[#This Row],[BARRAS]])</f>
        <v>#DIV/0!</v>
      </c>
      <c r="I8" s="1" t="e">
        <f aca="false">(HISENSE26[[#This Row],["J"PRECIO COMPRA ]]/HISENSE26[[#This Row],[BARRAS]])</f>
        <v>#DIV/0!</v>
      </c>
      <c r="J8" s="1" t="n">
        <f aca="false">SUMIF(entradas26[CODIGO],HISENSE26[[#This Row],[CODIGO ]],entradas26[[CAN JUEGOS ]])</f>
        <v>20</v>
      </c>
      <c r="K8" s="1" t="n">
        <f aca="false">SUMIF(entradas26[CODIGO],HISENSE26[[#This Row],[CODIGO ]],entradas26[CAN BARRAS])</f>
        <v>0</v>
      </c>
      <c r="L8" s="1" t="n">
        <f aca="false">SUMIF(salidas26[[CODIGO ]],HISENSE26[[#This Row],[CODIGO ]],salidas26[[CANT JUEGOS ]])</f>
        <v>0</v>
      </c>
      <c r="M8" s="1" t="n">
        <f aca="false">SUMIF(salidas26[[CODIGO ]],HISENSE26[[#This Row],[CODIGO ]],salidas26[CANT BARRAS])</f>
        <v>0</v>
      </c>
      <c r="N8" s="1" t="n">
        <f aca="false">(HISENSE26[[#This Row],["J"PRECIO COMPRA ]]*HISENSE26[[#This Row],[STOCK JUEGOS]])</f>
        <v>2508</v>
      </c>
      <c r="O8" s="1" t="n">
        <f aca="false">(HISENSE26[[#This Row],["J" PRECIO VENTA ]]*HISENSE26[[#This Row],[STOCK JUEGOS]])</f>
        <v>6000</v>
      </c>
      <c r="P8" s="1" t="e">
        <f aca="false">(HISENSE26[[#This Row],["B"PRECIO COMPRA]]*HISENSE26[[#This Row],[STOCK BARRAS]])</f>
        <v>#DIV/0!</v>
      </c>
      <c r="Q8" s="1" t="e">
        <f aca="false">(HISENSE26[[#This Row],["B"PRECIO VENTA ]]*HISENSE26[[#This Row],[STOCK BARRAS]])</f>
        <v>#DIV/0!</v>
      </c>
      <c r="R8" s="18" t="n">
        <v>0</v>
      </c>
      <c r="S8" s="18" t="n">
        <v>0</v>
      </c>
      <c r="T8" s="1" t="n">
        <v>6.6</v>
      </c>
      <c r="U8" s="1" t="s">
        <v>388</v>
      </c>
    </row>
    <row r="9" customFormat="false" ht="15" hidden="false" customHeight="false" outlineLevel="0" collapsed="false">
      <c r="A9" s="1" t="n">
        <v>6033</v>
      </c>
      <c r="B9" s="1" t="s">
        <v>389</v>
      </c>
      <c r="C9" s="1" t="n">
        <f aca="false">(HISENSE26[[#This Row],[CANTIDAD INICIAL JUEGO ]]+HISENSE26[[#This Row],[ENTRADAS JUEGOS ]]-HISENSE26[[#This Row],[SALIDAS JUEGOS]])</f>
        <v>20</v>
      </c>
      <c r="D9" s="1" t="n">
        <f aca="false">(HISENSE26[[#This Row],[CANTIDAD INICIAL BARRAS]]+HISENSE26[[#This Row],[ENTRADAS BARRAS]]-HISENSE26[[#This Row],[SALIDA BARRAS]])</f>
        <v>0</v>
      </c>
      <c r="E9" s="23" t="n">
        <v>350</v>
      </c>
      <c r="F9" s="34" t="n">
        <v>92</v>
      </c>
      <c r="G9" s="1" t="n">
        <v>4</v>
      </c>
      <c r="H9" s="1" t="n">
        <f aca="false">(HISENSE26[[#This Row],["J" PRECIO VENTA ]]/HISENSE26[[#This Row],[BARRAS]])</f>
        <v>87.5</v>
      </c>
      <c r="I9" s="1" t="n">
        <f aca="false">(HISENSE26[[#This Row],["J"PRECIO COMPRA ]]/HISENSE26[[#This Row],[BARRAS]])</f>
        <v>23</v>
      </c>
      <c r="J9" s="1" t="n">
        <f aca="false">SUMIF(entradas26[CODIGO],HISENSE26[[#This Row],[CODIGO ]],entradas26[[CAN JUEGOS ]])</f>
        <v>0</v>
      </c>
      <c r="K9" s="1" t="n">
        <f aca="false">SUMIF(entradas26[CODIGO],HISENSE26[[#This Row],[CODIGO ]],entradas26[CAN BARRAS])</f>
        <v>0</v>
      </c>
      <c r="L9" s="1" t="n">
        <f aca="false">SUMIF(salidas26[[CODIGO ]],HISENSE26[[#This Row],[CODIGO ]],salidas26[[CANT JUEGOS ]])</f>
        <v>0</v>
      </c>
      <c r="M9" s="1" t="n">
        <f aca="false">SUMIF(salidas26[[CODIGO ]],HISENSE26[[#This Row],[CODIGO ]],salidas26[CANT BARRAS])</f>
        <v>0</v>
      </c>
      <c r="N9" s="1" t="n">
        <f aca="false">(HISENSE26[[#This Row],["J"PRECIO COMPRA ]]*HISENSE26[[#This Row],[STOCK JUEGOS]])</f>
        <v>1840</v>
      </c>
      <c r="O9" s="1" t="n">
        <f aca="false">(HISENSE26[[#This Row],["J" PRECIO VENTA ]]*HISENSE26[[#This Row],[STOCK JUEGOS]])</f>
        <v>7000</v>
      </c>
      <c r="P9" s="1" t="n">
        <f aca="false">(HISENSE26[[#This Row],["B"PRECIO COMPRA]]*HISENSE26[[#This Row],[STOCK BARRAS]])</f>
        <v>0</v>
      </c>
      <c r="Q9" s="1" t="n">
        <f aca="false">(HISENSE26[[#This Row],["B"PRECIO VENTA ]]*HISENSE26[[#This Row],[STOCK BARRAS]])</f>
        <v>0</v>
      </c>
      <c r="R9" s="18" t="n">
        <v>20</v>
      </c>
      <c r="S9" s="18"/>
      <c r="T9" s="1" t="n">
        <v>6.6</v>
      </c>
    </row>
    <row r="10" customFormat="false" ht="15" hidden="false" customHeight="false" outlineLevel="0" collapsed="false">
      <c r="A10" s="1" t="n">
        <v>6034</v>
      </c>
      <c r="B10" s="15" t="s">
        <v>390</v>
      </c>
      <c r="C10" s="1" t="n">
        <f aca="false">(HISENSE26[[#This Row],[CANTIDAD INICIAL JUEGO ]]+HISENSE26[[#This Row],[ENTRADAS JUEGOS ]]-HISENSE26[[#This Row],[SALIDAS JUEGOS]])</f>
        <v>24</v>
      </c>
      <c r="D10" s="1" t="n">
        <f aca="false">(HISENSE26[[#This Row],[CANTIDAD INICIAL BARRAS]]+HISENSE26[[#This Row],[ENTRADAS BARRAS]]-HISENSE26[[#This Row],[SALIDA BARRAS]])</f>
        <v>4</v>
      </c>
      <c r="E10" s="23" t="n">
        <v>380</v>
      </c>
      <c r="F10" s="34" t="n">
        <v>93</v>
      </c>
      <c r="G10" s="1" t="n">
        <v>6</v>
      </c>
      <c r="H10" s="1" t="n">
        <f aca="false">(HISENSE26[[#This Row],["J" PRECIO VENTA ]]/HISENSE26[[#This Row],[BARRAS]])</f>
        <v>63.3333333333333</v>
      </c>
      <c r="I10" s="1" t="n">
        <f aca="false">(HISENSE26[[#This Row],["J"PRECIO COMPRA ]]/HISENSE26[[#This Row],[BARRAS]])</f>
        <v>15.5</v>
      </c>
      <c r="J10" s="1" t="n">
        <f aca="false">SUMIF(entradas26[CODIGO],HISENSE26[[#This Row],[CODIGO ]],entradas26[[CAN JUEGOS ]])</f>
        <v>20</v>
      </c>
      <c r="K10" s="1" t="n">
        <f aca="false">SUMIF(entradas26[CODIGO],HISENSE26[[#This Row],[CODIGO ]],entradas26[CAN BARRAS])</f>
        <v>6</v>
      </c>
      <c r="L10" s="1" t="n">
        <f aca="false">SUMIF(salidas26[[CODIGO ]],HISENSE26[[#This Row],[CODIGO ]],salidas26[[CANT JUEGOS ]])</f>
        <v>5</v>
      </c>
      <c r="M10" s="1" t="n">
        <f aca="false">SUMIF(salidas26[[CODIGO ]],HISENSE26[[#This Row],[CODIGO ]],salidas26[CANT BARRAS])</f>
        <v>2</v>
      </c>
      <c r="N10" s="1" t="n">
        <f aca="false">(HISENSE26[[#This Row],["J"PRECIO COMPRA ]]*HISENSE26[[#This Row],[STOCK JUEGOS]])</f>
        <v>2232</v>
      </c>
      <c r="O10" s="1" t="n">
        <f aca="false">(HISENSE26[[#This Row],["J" PRECIO VENTA ]]*HISENSE26[[#This Row],[STOCK JUEGOS]])</f>
        <v>9120</v>
      </c>
      <c r="P10" s="1" t="n">
        <f aca="false">(HISENSE26[[#This Row],["B"PRECIO COMPRA]]*HISENSE26[[#This Row],[STOCK BARRAS]])</f>
        <v>62</v>
      </c>
      <c r="Q10" s="1" t="n">
        <f aca="false">(HISENSE26[[#This Row],["B"PRECIO VENTA ]]*HISENSE26[[#This Row],[STOCK BARRAS]])</f>
        <v>253.333333333333</v>
      </c>
      <c r="R10" s="18" t="n">
        <v>9</v>
      </c>
      <c r="S10" s="18"/>
      <c r="T10" s="1" t="n">
        <v>4.9</v>
      </c>
      <c r="U10" s="1" t="s">
        <v>391</v>
      </c>
    </row>
  </sheetData>
  <mergeCells count="1">
    <mergeCell ref="A2:U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U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1" width="33"/>
    <col collapsed="false" customWidth="true" hidden="false" outlineLevel="0" max="3" min="3" style="1" width="6.14"/>
    <col collapsed="false" customWidth="true" hidden="false" outlineLevel="0" max="19" min="4" style="1" width="10.29"/>
    <col collapsed="false" customWidth="true" hidden="false" outlineLevel="0" max="20" min="20" style="1" width="8.72"/>
    <col collapsed="false" customWidth="true" hidden="false" outlineLevel="0" max="21" min="21" style="1" width="16.29"/>
  </cols>
  <sheetData>
    <row r="2" customFormat="false" ht="15" hidden="false" customHeight="false" outlineLevel="0" collapsed="false">
      <c r="A2" s="59" t="s">
        <v>392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</row>
    <row r="3" customFormat="false" ht="15" hidden="false" customHeight="false" outlineLevel="0" collapsed="false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</row>
    <row r="4" customFormat="false" ht="61.15" hidden="false" customHeight="false" outlineLevel="0" collapsed="false">
      <c r="A4" s="3" t="s">
        <v>1</v>
      </c>
      <c r="B4" s="3" t="s">
        <v>2</v>
      </c>
      <c r="C4" s="4" t="s">
        <v>3</v>
      </c>
      <c r="D4" s="5" t="s">
        <v>4</v>
      </c>
      <c r="E4" s="6" t="s">
        <v>5</v>
      </c>
      <c r="F4" s="7" t="s">
        <v>6</v>
      </c>
      <c r="G4" s="8" t="s">
        <v>7</v>
      </c>
      <c r="H4" s="9" t="s">
        <v>8</v>
      </c>
      <c r="I4" s="9" t="s">
        <v>9</v>
      </c>
      <c r="J4" s="8" t="s">
        <v>10</v>
      </c>
      <c r="K4" s="8" t="s">
        <v>11</v>
      </c>
      <c r="L4" s="8" t="s">
        <v>12</v>
      </c>
      <c r="M4" s="10" t="s">
        <v>13</v>
      </c>
      <c r="N4" s="8" t="s">
        <v>14</v>
      </c>
      <c r="O4" s="11" t="s">
        <v>15</v>
      </c>
      <c r="P4" s="8" t="s">
        <v>16</v>
      </c>
      <c r="Q4" s="8" t="s">
        <v>17</v>
      </c>
      <c r="R4" s="11" t="s">
        <v>18</v>
      </c>
      <c r="S4" s="12" t="s">
        <v>19</v>
      </c>
      <c r="T4" s="13" t="s">
        <v>20</v>
      </c>
      <c r="U4" s="14" t="s">
        <v>21</v>
      </c>
    </row>
    <row r="5" customFormat="false" ht="15" hidden="false" customHeight="false" outlineLevel="0" collapsed="false">
      <c r="A5" s="1" t="n">
        <v>6000</v>
      </c>
      <c r="B5" s="15" t="s">
        <v>393</v>
      </c>
      <c r="C5" s="1" t="n">
        <f aca="false">(SKYW26[[#This Row],[CANTIDAD INICIAL JUEGO ]]+SKYW26[[#This Row],[ENTRADAS JUEGOS ]]-SKYW26[[#This Row],[SALIDAS JUEGOS]])</f>
        <v>0</v>
      </c>
      <c r="D5" s="1" t="n">
        <f aca="false">(SKYW26[[#This Row],[CANTIDAD INICIAL BARRAS]]+SKYW26[[#This Row],[ENTRADAS BARRAS]]-SKYW26[[#This Row],[SALIDA BARRAS]])</f>
        <v>0</v>
      </c>
      <c r="E5" s="23" t="n">
        <v>60</v>
      </c>
      <c r="F5" s="1" t="n">
        <v>19</v>
      </c>
      <c r="G5" s="1" t="n">
        <v>2</v>
      </c>
      <c r="H5" s="1" t="n">
        <f aca="false">(SKYW26[[#This Row],["J" PRECIO VENTA ]]/SKYW26[[#This Row],[BARRAS]])</f>
        <v>30</v>
      </c>
      <c r="I5" s="1" t="n">
        <f aca="false">(SKYW26[[#This Row],["J"PRECIO COMPRA ]]/SKYW26[[#This Row],[BARRAS]])</f>
        <v>9.5</v>
      </c>
      <c r="J5" s="1" t="n">
        <f aca="false">SUMIF(entradas26[CODIGO],SKYW26[[#This Row],[CODIGO ]],entradas26[[CAN JUEGOS ]])</f>
        <v>0</v>
      </c>
      <c r="K5" s="1" t="n">
        <f aca="false">SUMIF(entradas26[CODIGO],SKYW26[[#This Row],[CODIGO ]],entradas26[CAN BARRAS])</f>
        <v>0</v>
      </c>
      <c r="L5" s="1" t="n">
        <f aca="false">SUMIF(salidas26[[CODIGO ]],SKYW26[[#This Row],[CODIGO ]],salidas26[[CANT JUEGOS ]])</f>
        <v>25</v>
      </c>
      <c r="M5" s="1" t="n">
        <f aca="false">SUMIF(salidas26[[CODIGO ]],SKYW26[[#This Row],[CODIGO ]],salidas26[CANT BARRAS])</f>
        <v>0</v>
      </c>
      <c r="N5" s="1" t="n">
        <f aca="false">(SKYW26[[#This Row],["J"PRECIO COMPRA ]]*SKYW26[[#This Row],[STOCK JUEGOS]])</f>
        <v>0</v>
      </c>
      <c r="O5" s="1" t="n">
        <f aca="false">(SKYW26[[#This Row],["J" PRECIO VENTA ]]*SKYW26[[#This Row],[STOCK JUEGOS]])</f>
        <v>0</v>
      </c>
      <c r="P5" s="1" t="n">
        <f aca="false">(SKYW26[[#This Row],["B"PRECIO COMPRA]]*SKYW26[[#This Row],[STOCK BARRAS]])</f>
        <v>0</v>
      </c>
      <c r="Q5" s="1" t="n">
        <f aca="false">(SKYW26[[#This Row],["B"PRECIO VENTA ]]*SKYW26[[#This Row],[STOCK BARRAS]])</f>
        <v>0</v>
      </c>
      <c r="R5" s="18" t="n">
        <v>25</v>
      </c>
      <c r="S5" s="18"/>
    </row>
    <row r="6" customFormat="false" ht="15" hidden="false" customHeight="false" outlineLevel="0" collapsed="false">
      <c r="A6" s="1" t="n">
        <v>6006</v>
      </c>
      <c r="B6" s="15" t="s">
        <v>394</v>
      </c>
      <c r="C6" s="1" t="n">
        <f aca="false">(SKYW26[[#This Row],[CANTIDAD INICIAL JUEGO ]]+SKYW26[[#This Row],[ENTRADAS JUEGOS ]]-SKYW26[[#This Row],[SALIDAS JUEGOS]])</f>
        <v>17</v>
      </c>
      <c r="D6" s="1" t="n">
        <f aca="false">(SKYW26[[#This Row],[CANTIDAD INICIAL BARRAS]]+SKYW26[[#This Row],[ENTRADAS BARRAS]]-SKYW26[[#This Row],[SALIDA BARRAS]])</f>
        <v>2</v>
      </c>
      <c r="E6" s="23" t="n">
        <v>140</v>
      </c>
      <c r="F6" s="1" t="n">
        <v>46</v>
      </c>
      <c r="G6" s="1" t="n">
        <v>3</v>
      </c>
      <c r="H6" s="1" t="n">
        <f aca="false">(SKYW26[[#This Row],["J" PRECIO VENTA ]]/SKYW26[[#This Row],[BARRAS]])</f>
        <v>46.6666666666667</v>
      </c>
      <c r="I6" s="1" t="n">
        <f aca="false">(SKYW26[[#This Row],["J"PRECIO COMPRA ]]/SKYW26[[#This Row],[BARRAS]])</f>
        <v>15.3333333333333</v>
      </c>
      <c r="J6" s="1" t="n">
        <f aca="false">SUMIF(entradas26[CODIGO],SKYW26[[#This Row],[CODIGO ]],entradas26[[CAN JUEGOS ]])</f>
        <v>20</v>
      </c>
      <c r="K6" s="1" t="n">
        <f aca="false">SUMIF(entradas26[CODIGO],SKYW26[[#This Row],[CODIGO ]],entradas26[CAN BARRAS])</f>
        <v>0</v>
      </c>
      <c r="L6" s="1" t="n">
        <f aca="false">SUMIF(salidas26[[CODIGO ]],SKYW26[[#This Row],[CODIGO ]],salidas26[[CANT JUEGOS ]])</f>
        <v>13</v>
      </c>
      <c r="M6" s="1" t="n">
        <f aca="false">SUMIF(salidas26[[CODIGO ]],SKYW26[[#This Row],[CODIGO ]],salidas26[CANT BARRAS])</f>
        <v>0</v>
      </c>
      <c r="N6" s="1" t="n">
        <f aca="false">(SKYW26[[#This Row],["J"PRECIO COMPRA ]]*SKYW26[[#This Row],[STOCK JUEGOS]])</f>
        <v>782</v>
      </c>
      <c r="O6" s="1" t="n">
        <f aca="false">(SKYW26[[#This Row],["J" PRECIO VENTA ]]*SKYW26[[#This Row],[STOCK JUEGOS]])</f>
        <v>2380</v>
      </c>
      <c r="P6" s="1" t="n">
        <f aca="false">(SKYW26[[#This Row],["B"PRECIO COMPRA]]*SKYW26[[#This Row],[STOCK BARRAS]])</f>
        <v>30.6666666666667</v>
      </c>
      <c r="Q6" s="1" t="n">
        <f aca="false">(SKYW26[[#This Row],["B"PRECIO VENTA ]]*SKYW26[[#This Row],[STOCK BARRAS]])</f>
        <v>93.3333333333333</v>
      </c>
      <c r="R6" s="18" t="n">
        <v>10</v>
      </c>
      <c r="S6" s="18" t="n">
        <v>2</v>
      </c>
      <c r="T6" s="1" t="n">
        <v>1.8</v>
      </c>
    </row>
    <row r="7" customFormat="false" ht="15" hidden="false" customHeight="false" outlineLevel="0" collapsed="false">
      <c r="A7" s="1" t="n">
        <v>6007</v>
      </c>
      <c r="B7" s="15" t="s">
        <v>395</v>
      </c>
      <c r="C7" s="1" t="n">
        <f aca="false">(SKYW26[[#This Row],[CANTIDAD INICIAL JUEGO ]]+SKYW26[[#This Row],[ENTRADAS JUEGOS ]]-SKYW26[[#This Row],[SALIDAS JUEGOS]])</f>
        <v>12</v>
      </c>
      <c r="D7" s="1" t="n">
        <f aca="false">(SKYW26[[#This Row],[CANTIDAD INICIAL BARRAS]]+SKYW26[[#This Row],[ENTRADAS BARRAS]]-SKYW26[[#This Row],[SALIDA BARRAS]])</f>
        <v>1</v>
      </c>
      <c r="E7" s="23" t="n">
        <v>180</v>
      </c>
      <c r="F7" s="1" t="n">
        <v>30</v>
      </c>
      <c r="G7" s="1" t="n">
        <v>3</v>
      </c>
      <c r="H7" s="1" t="n">
        <f aca="false">(SKYW26[[#This Row],["J" PRECIO VENTA ]]/SKYW26[[#This Row],[BARRAS]])</f>
        <v>60</v>
      </c>
      <c r="I7" s="1" t="n">
        <f aca="false">(SKYW26[[#This Row],["J"PRECIO COMPRA ]]/SKYW26[[#This Row],[BARRAS]])</f>
        <v>10</v>
      </c>
      <c r="J7" s="1" t="n">
        <f aca="false">SUMIF(entradas26[CODIGO],SKYW26[[#This Row],[CODIGO ]],entradas26[[CAN JUEGOS ]])</f>
        <v>0</v>
      </c>
      <c r="K7" s="1" t="n">
        <f aca="false">SUMIF(entradas26[CODIGO],SKYW26[[#This Row],[CODIGO ]],entradas26[CAN BARRAS])</f>
        <v>0</v>
      </c>
      <c r="L7" s="1" t="n">
        <f aca="false">SUMIF(salidas26[[CODIGO ]],SKYW26[[#This Row],[CODIGO ]],salidas26[[CANT JUEGOS ]])</f>
        <v>6</v>
      </c>
      <c r="M7" s="1" t="n">
        <f aca="false">SUMIF(salidas26[[CODIGO ]],SKYW26[[#This Row],[CODIGO ]],salidas26[CANT BARRAS])</f>
        <v>0</v>
      </c>
      <c r="N7" s="1" t="n">
        <f aca="false">(SKYW26[[#This Row],["J"PRECIO COMPRA ]]*SKYW26[[#This Row],[STOCK JUEGOS]])</f>
        <v>360</v>
      </c>
      <c r="O7" s="1" t="n">
        <f aca="false">(SKYW26[[#This Row],["J" PRECIO VENTA ]]*SKYW26[[#This Row],[STOCK JUEGOS]])</f>
        <v>2160</v>
      </c>
      <c r="P7" s="1" t="n">
        <f aca="false">(SKYW26[[#This Row],["B"PRECIO COMPRA]]*SKYW26[[#This Row],[STOCK BARRAS]])</f>
        <v>10</v>
      </c>
      <c r="Q7" s="1" t="n">
        <f aca="false">(SKYW26[[#This Row],["B"PRECIO VENTA ]]*SKYW26[[#This Row],[STOCK BARRAS]])</f>
        <v>60</v>
      </c>
      <c r="R7" s="18" t="n">
        <v>18</v>
      </c>
      <c r="S7" s="18" t="n">
        <v>1</v>
      </c>
    </row>
    <row r="8" customFormat="false" ht="15" hidden="false" customHeight="false" outlineLevel="0" collapsed="false">
      <c r="A8" s="1" t="n">
        <v>6008</v>
      </c>
      <c r="B8" s="15" t="s">
        <v>396</v>
      </c>
      <c r="C8" s="1" t="n">
        <f aca="false">(SKYW26[[#This Row],[CANTIDAD INICIAL JUEGO ]]+SKYW26[[#This Row],[ENTRADAS JUEGOS ]]-SKYW26[[#This Row],[SALIDAS JUEGOS]])</f>
        <v>9</v>
      </c>
      <c r="D8" s="1" t="n">
        <f aca="false">(SKYW26[[#This Row],[CANTIDAD INICIAL BARRAS]]+SKYW26[[#This Row],[ENTRADAS BARRAS]]-SKYW26[[#This Row],[SALIDA BARRAS]])</f>
        <v>0</v>
      </c>
      <c r="E8" s="23" t="n">
        <v>180</v>
      </c>
      <c r="F8" s="1" t="n">
        <v>100</v>
      </c>
      <c r="G8" s="1" t="n">
        <v>3</v>
      </c>
      <c r="H8" s="1" t="n">
        <f aca="false">(SKYW26[[#This Row],["J" PRECIO VENTA ]]/SKYW26[[#This Row],[BARRAS]])</f>
        <v>60</v>
      </c>
      <c r="I8" s="1" t="n">
        <f aca="false">(SKYW26[[#This Row],["J"PRECIO COMPRA ]]/SKYW26[[#This Row],[BARRAS]])</f>
        <v>33.3333333333333</v>
      </c>
      <c r="J8" s="1" t="n">
        <f aca="false">SUMIF(entradas26[CODIGO],SKYW26[[#This Row],[CODIGO ]],entradas26[[CAN JUEGOS ]])</f>
        <v>0</v>
      </c>
      <c r="K8" s="1" t="n">
        <f aca="false">SUMIF(entradas26[CODIGO],SKYW26[[#This Row],[CODIGO ]],entradas26[CAN BARRAS])</f>
        <v>0</v>
      </c>
      <c r="L8" s="1" t="n">
        <f aca="false">SUMIF(salidas26[[CODIGO ]],SKYW26[[#This Row],[CODIGO ]],salidas26[[CANT JUEGOS ]])</f>
        <v>3</v>
      </c>
      <c r="M8" s="1" t="n">
        <f aca="false">SUMIF(salidas26[[CODIGO ]],SKYW26[[#This Row],[CODIGO ]],salidas26[CANT BARRAS])</f>
        <v>0</v>
      </c>
      <c r="N8" s="1" t="n">
        <f aca="false">(SKYW26[[#This Row],["J"PRECIO COMPRA ]]*SKYW26[[#This Row],[STOCK JUEGOS]])</f>
        <v>900</v>
      </c>
      <c r="O8" s="1" t="n">
        <f aca="false">(SKYW26[[#This Row],["J" PRECIO VENTA ]]*SKYW26[[#This Row],[STOCK JUEGOS]])</f>
        <v>1620</v>
      </c>
      <c r="P8" s="1" t="n">
        <f aca="false">(SKYW26[[#This Row],["B"PRECIO COMPRA]]*SKYW26[[#This Row],[STOCK BARRAS]])</f>
        <v>0</v>
      </c>
      <c r="Q8" s="1" t="n">
        <f aca="false">(SKYW26[[#This Row],["B"PRECIO VENTA ]]*SKYW26[[#This Row],[STOCK BARRAS]])</f>
        <v>0</v>
      </c>
      <c r="R8" s="18" t="n">
        <v>12</v>
      </c>
      <c r="S8" s="18"/>
    </row>
    <row r="9" customFormat="false" ht="15" hidden="false" customHeight="false" outlineLevel="0" collapsed="false">
      <c r="A9" s="1" t="n">
        <v>6022</v>
      </c>
      <c r="B9" s="15" t="s">
        <v>397</v>
      </c>
      <c r="C9" s="1" t="n">
        <f aca="false">(SKYW26[[#This Row],[CANTIDAD INICIAL JUEGO ]]+SKYW26[[#This Row],[ENTRADAS JUEGOS ]]-SKYW26[[#This Row],[SALIDAS JUEGOS]])</f>
        <v>16</v>
      </c>
      <c r="D9" s="1" t="n">
        <f aca="false">(SKYW26[[#This Row],[CANTIDAD INICIAL BARRAS]]+SKYW26[[#This Row],[ENTRADAS BARRAS]]-SKYW26[[#This Row],[SALIDA BARRAS]])</f>
        <v>0</v>
      </c>
      <c r="E9" s="17" t="n">
        <v>350</v>
      </c>
      <c r="F9" s="1" t="n">
        <v>78</v>
      </c>
      <c r="G9" s="1" t="n">
        <v>5</v>
      </c>
      <c r="H9" s="1" t="n">
        <f aca="false">(SKYW26[[#This Row],["J" PRECIO VENTA ]]/SKYW26[[#This Row],[BARRAS]])</f>
        <v>70</v>
      </c>
      <c r="I9" s="1" t="n">
        <f aca="false">(SKYW26[[#This Row],["J"PRECIO COMPRA ]]/SKYW26[[#This Row],[BARRAS]])</f>
        <v>15.6</v>
      </c>
      <c r="J9" s="1" t="n">
        <f aca="false">SUMIF(entradas26[CODIGO],SKYW26[[#This Row],[CODIGO ]],entradas26[[CAN JUEGOS ]])</f>
        <v>20</v>
      </c>
      <c r="K9" s="1" t="n">
        <f aca="false">SUMIF(entradas26[CODIGO],SKYW26[[#This Row],[CODIGO ]],entradas26[CAN BARRAS])</f>
        <v>0</v>
      </c>
      <c r="L9" s="1" t="n">
        <f aca="false">SUMIF(salidas26[[CODIGO ]],SKYW26[[#This Row],[CODIGO ]],salidas26[[CANT JUEGOS ]])</f>
        <v>19</v>
      </c>
      <c r="M9" s="1" t="n">
        <f aca="false">SUMIF(salidas26[[CODIGO ]],SKYW26[[#This Row],[CODIGO ]],salidas26[CANT BARRAS])</f>
        <v>0</v>
      </c>
      <c r="N9" s="1" t="n">
        <f aca="false">(SKYW26[[#This Row],["J"PRECIO COMPRA ]]*SKYW26[[#This Row],[STOCK JUEGOS]])</f>
        <v>1248</v>
      </c>
      <c r="O9" s="1" t="n">
        <f aca="false">(SKYW26[[#This Row],["J" PRECIO VENTA ]]*SKYW26[[#This Row],[STOCK JUEGOS]])</f>
        <v>5600</v>
      </c>
      <c r="P9" s="1" t="n">
        <f aca="false">(SKYW26[[#This Row],["B"PRECIO COMPRA]]*SKYW26[[#This Row],[STOCK BARRAS]])</f>
        <v>0</v>
      </c>
      <c r="Q9" s="1" t="n">
        <f aca="false">(SKYW26[[#This Row],["B"PRECIO VENTA ]]*SKYW26[[#This Row],[STOCK BARRAS]])</f>
        <v>0</v>
      </c>
      <c r="R9" s="18" t="n">
        <v>15</v>
      </c>
      <c r="S9" s="18"/>
      <c r="T9" s="1" t="n">
        <v>7.2</v>
      </c>
    </row>
    <row r="10" customFormat="false" ht="15" hidden="false" customHeight="false" outlineLevel="0" collapsed="false">
      <c r="A10" s="1" t="n">
        <v>6131</v>
      </c>
      <c r="B10" s="15" t="s">
        <v>398</v>
      </c>
      <c r="C10" s="1" t="n">
        <f aca="false">(SKYW26[[#This Row],[CANTIDAD INICIAL JUEGO ]]+SKYW26[[#This Row],[ENTRADAS JUEGOS ]]-SKYW26[[#This Row],[SALIDAS JUEGOS]])</f>
        <v>-2</v>
      </c>
      <c r="D10" s="1" t="n">
        <f aca="false">(SKYW26[[#This Row],[CANTIDAD INICIAL BARRAS]]+SKYW26[[#This Row],[ENTRADAS BARRAS]]-SKYW26[[#This Row],[SALIDA BARRAS]])</f>
        <v>118</v>
      </c>
      <c r="E10" s="17" t="n">
        <v>400</v>
      </c>
      <c r="F10" s="1" t="n">
        <v>104</v>
      </c>
      <c r="G10" s="1" t="n">
        <v>12</v>
      </c>
      <c r="H10" s="1" t="n">
        <f aca="false">(SKYW26[[#This Row],["J" PRECIO VENTA ]]/SKYW26[[#This Row],[BARRAS]])</f>
        <v>33.3333333333333</v>
      </c>
      <c r="I10" s="1" t="n">
        <f aca="false">(SKYW26[[#This Row],["J"PRECIO COMPRA ]]/SKYW26[[#This Row],[BARRAS]])</f>
        <v>8.66666666666667</v>
      </c>
      <c r="J10" s="1" t="n">
        <f aca="false">SUMIF(entradas26[CODIGO],SKYW26[[#This Row],[CODIGO ]],entradas26[[CAN JUEGOS ]])</f>
        <v>0</v>
      </c>
      <c r="K10" s="1" t="n">
        <f aca="false">SUMIF(entradas26[CODIGO],SKYW26[[#This Row],[CODIGO ]],entradas26[CAN BARRAS])</f>
        <v>0</v>
      </c>
      <c r="L10" s="1" t="n">
        <f aca="false">SUMIF(salidas26[[CODIGO ]],SKYW26[[#This Row],[CODIGO ]],salidas26[[CANT JUEGOS ]])</f>
        <v>2</v>
      </c>
      <c r="M10" s="1" t="n">
        <f aca="false">SUMIF(salidas26[[CODIGO ]],SKYW26[[#This Row],[CODIGO ]],salidas26[CANT BARRAS])</f>
        <v>86</v>
      </c>
      <c r="N10" s="1" t="n">
        <f aca="false">(SKYW26[[#This Row],["J"PRECIO COMPRA ]]*SKYW26[[#This Row],[STOCK JUEGOS]])</f>
        <v>-208</v>
      </c>
      <c r="O10" s="1" t="n">
        <f aca="false">(SKYW26[[#This Row],["J" PRECIO VENTA ]]*SKYW26[[#This Row],[STOCK JUEGOS]])</f>
        <v>-800</v>
      </c>
      <c r="P10" s="1" t="n">
        <f aca="false">(SKYW26[[#This Row],["B"PRECIO COMPRA]]*SKYW26[[#This Row],[STOCK BARRAS]])</f>
        <v>1022.66666666667</v>
      </c>
      <c r="Q10" s="1" t="n">
        <f aca="false">(SKYW26[[#This Row],["B"PRECIO VENTA ]]*SKYW26[[#This Row],[STOCK BARRAS]])</f>
        <v>3933.33333333333</v>
      </c>
      <c r="R10" s="21"/>
      <c r="S10" s="21" t="n">
        <v>204</v>
      </c>
    </row>
    <row r="11" customFormat="false" ht="15" hidden="false" customHeight="false" outlineLevel="0" collapsed="false">
      <c r="A11" s="1" t="n">
        <v>6132</v>
      </c>
      <c r="B11" s="15" t="s">
        <v>399</v>
      </c>
      <c r="C11" s="1" t="n">
        <f aca="false">(SKYW26[[#This Row],[CANTIDAD INICIAL JUEGO ]]+SKYW26[[#This Row],[ENTRADAS JUEGOS ]]-SKYW26[[#This Row],[SALIDAS JUEGOS]])</f>
        <v>17</v>
      </c>
      <c r="D11" s="1" t="n">
        <f aca="false">(SKYW26[[#This Row],[CANTIDAD INICIAL BARRAS]]+SKYW26[[#This Row],[ENTRADAS BARRAS]]-SKYW26[[#This Row],[SALIDA BARRAS]])</f>
        <v>0</v>
      </c>
      <c r="E11" s="17" t="n">
        <v>420</v>
      </c>
      <c r="F11" s="1" t="n">
        <v>196</v>
      </c>
      <c r="G11" s="1" t="n">
        <v>10</v>
      </c>
      <c r="H11" s="1" t="n">
        <f aca="false">(SKYW26[[#This Row],["J" PRECIO VENTA ]]/SKYW26[[#This Row],[BARRAS]])</f>
        <v>42</v>
      </c>
      <c r="I11" s="1" t="n">
        <f aca="false">(SKYW26[[#This Row],["J"PRECIO COMPRA ]]/SKYW26[[#This Row],[BARRAS]])</f>
        <v>19.6</v>
      </c>
      <c r="J11" s="1" t="n">
        <f aca="false">SUMIF(entradas26[CODIGO],SKYW26[[#This Row],[CODIGO ]],entradas26[[CAN JUEGOS ]])</f>
        <v>0</v>
      </c>
      <c r="K11" s="1" t="n">
        <f aca="false">SUMIF(entradas26[CODIGO],SKYW26[[#This Row],[CODIGO ]],entradas26[CAN BARRAS])</f>
        <v>0</v>
      </c>
      <c r="L11" s="1" t="n">
        <f aca="false">SUMIF(salidas26[[CODIGO ]],SKYW26[[#This Row],[CODIGO ]],salidas26[[CANT JUEGOS ]])</f>
        <v>2</v>
      </c>
      <c r="M11" s="1" t="n">
        <f aca="false">SUMIF(salidas26[[CODIGO ]],SKYW26[[#This Row],[CODIGO ]],salidas26[CANT BARRAS])</f>
        <v>0</v>
      </c>
      <c r="N11" s="1" t="n">
        <f aca="false">(SKYW26[[#This Row],["J"PRECIO COMPRA ]]*SKYW26[[#This Row],[STOCK JUEGOS]])</f>
        <v>3332</v>
      </c>
      <c r="O11" s="1" t="n">
        <f aca="false">(SKYW26[[#This Row],["J" PRECIO VENTA ]]*SKYW26[[#This Row],[STOCK JUEGOS]])</f>
        <v>7140</v>
      </c>
      <c r="P11" s="1" t="n">
        <f aca="false">(SKYW26[[#This Row],["B"PRECIO COMPRA]]*SKYW26[[#This Row],[STOCK BARRAS]])</f>
        <v>0</v>
      </c>
      <c r="Q11" s="1" t="n">
        <f aca="false">(SKYW26[[#This Row],["B"PRECIO VENTA ]]*SKYW26[[#This Row],[STOCK BARRAS]])</f>
        <v>0</v>
      </c>
      <c r="R11" s="18" t="n">
        <v>19</v>
      </c>
      <c r="S11" s="18"/>
    </row>
  </sheetData>
  <mergeCells count="1">
    <mergeCell ref="A2:U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W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7.28"/>
    <col collapsed="false" customWidth="true" hidden="false" outlineLevel="0" max="3" min="3" style="1" width="33.86"/>
    <col collapsed="false" customWidth="true" hidden="false" outlineLevel="0" max="8" min="4" style="1" width="8.72"/>
    <col collapsed="false" customWidth="true" hidden="true" outlineLevel="0" max="15" min="9" style="1" width="8.72"/>
    <col collapsed="false" customWidth="true" hidden="true" outlineLevel="0" max="16" min="16" style="1" width="10.29"/>
    <col collapsed="false" customWidth="true" hidden="true" outlineLevel="0" max="17" min="17" style="1" width="7.15"/>
    <col collapsed="false" customWidth="true" hidden="true" outlineLevel="0" max="18" min="18" style="1" width="5.14"/>
    <col collapsed="false" customWidth="true" hidden="true" outlineLevel="0" max="19" min="19" style="1" width="5.71"/>
    <col collapsed="false" customWidth="true" hidden="true" outlineLevel="0" max="20" min="20" style="1" width="8.29"/>
    <col collapsed="false" customWidth="true" hidden="false" outlineLevel="0" max="21" min="21" style="1" width="12"/>
    <col collapsed="false" customWidth="true" hidden="false" outlineLevel="0" max="22" min="22" style="1" width="10.29"/>
  </cols>
  <sheetData>
    <row r="2" customFormat="false" ht="15" hidden="false" customHeight="false" outlineLevel="0" collapsed="false">
      <c r="B2" s="61" t="s">
        <v>400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</row>
    <row r="3" customFormat="false" ht="15" hidden="false" customHeight="false" outlineLevel="0" collapsed="false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</row>
    <row r="4" customFormat="false" ht="27.75" hidden="false" customHeight="true" outlineLevel="0" collapsed="false">
      <c r="B4" s="3" t="s">
        <v>1</v>
      </c>
      <c r="C4" s="3" t="s">
        <v>2</v>
      </c>
      <c r="D4" s="4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9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8" t="s">
        <v>14</v>
      </c>
      <c r="P4" s="11" t="s">
        <v>15</v>
      </c>
      <c r="Q4" s="8" t="s">
        <v>16</v>
      </c>
      <c r="R4" s="8" t="s">
        <v>17</v>
      </c>
      <c r="S4" s="11" t="s">
        <v>18</v>
      </c>
      <c r="T4" s="12" t="s">
        <v>19</v>
      </c>
      <c r="U4" s="13" t="s">
        <v>20</v>
      </c>
      <c r="V4" s="14" t="s">
        <v>21</v>
      </c>
      <c r="W4" s="15" t="s">
        <v>22</v>
      </c>
    </row>
    <row r="5" customFormat="false" ht="16.4" hidden="false" customHeight="false" outlineLevel="0" collapsed="false">
      <c r="A5" s="1" t="n">
        <v>1</v>
      </c>
      <c r="B5" s="15" t="n">
        <v>8015</v>
      </c>
      <c r="C5" s="52" t="s">
        <v>401</v>
      </c>
      <c r="D5" s="1" t="n">
        <f aca="false">(premier26[[#This Row],[CANTIDAD INICIAL JUEGO ]]+premier26[[#This Row],[ENTRADAS JUEGOS ]]-premier26[[#This Row],[SALIDAS JUEGOS]])</f>
        <v>8</v>
      </c>
      <c r="E5" s="1" t="n">
        <f aca="false">(premier26[[#This Row],[CANTIDAD INICIAL BARRAS]]+premier26[[#This Row],[ENTRADAS BARRAS]]-premier26[[#This Row],[SALIDA BARRAS]])</f>
        <v>0</v>
      </c>
      <c r="F5" s="23" t="n">
        <v>60</v>
      </c>
      <c r="G5" s="15" t="n">
        <v>25</v>
      </c>
      <c r="H5" s="15" t="n">
        <v>2</v>
      </c>
      <c r="I5" s="1" t="n">
        <f aca="false">(premier26[[#This Row],["J" PRECIO VENTA ]]/premier26[[#This Row],[BARRAS]])</f>
        <v>30</v>
      </c>
      <c r="J5" s="1" t="n">
        <f aca="false">(premier26[[#This Row],["J"PRECIO COMPRA ]]/premier26[[#This Row],[BARRAS]])</f>
        <v>12.5</v>
      </c>
      <c r="K5" s="1" t="n">
        <f aca="false">SUMIF(entradas26[CODIGO],premier26[[#This Row],[CODIGO ]],entradas26[[CAN JUEGOS ]])</f>
        <v>50</v>
      </c>
      <c r="L5" s="1" t="n">
        <f aca="false">SUMIF(entradas26[CODIGO],premier26[[#This Row],[CODIGO ]],entradas26[CAN BARRAS])</f>
        <v>0</v>
      </c>
      <c r="M5" s="1" t="n">
        <f aca="false">SUMIF(salidas26[[CODIGO ]],premier26[[#This Row],[CODIGO ]],salidas26[[CANT JUEGOS ]])</f>
        <v>67</v>
      </c>
      <c r="N5" s="1" t="n">
        <f aca="false">SUMIF(salidas26[[CODIGO ]],premier26[[#This Row],[CODIGO ]],salidas26[CANT BARRAS])</f>
        <v>0</v>
      </c>
      <c r="O5" s="1" t="n">
        <f aca="false">(premier26[[#This Row],["J"PRECIO COMPRA ]]*premier26[[#This Row],[STOCK JUEGOS]])</f>
        <v>200</v>
      </c>
      <c r="P5" s="1" t="n">
        <f aca="false">(premier26[[#This Row],["J" PRECIO VENTA ]]*premier26[[#This Row],[STOCK JUEGOS]])</f>
        <v>480</v>
      </c>
      <c r="Q5" s="1" t="n">
        <f aca="false">(premier26[[#This Row],["B"PRECIO COMPRA]]*premier26[[#This Row],[STOCK BARRAS]])</f>
        <v>0</v>
      </c>
      <c r="R5" s="1" t="n">
        <f aca="false">(premier26[[#This Row],["B"PRECIO VENTA ]]*premier26[[#This Row],[STOCK BARRAS]])</f>
        <v>0</v>
      </c>
      <c r="S5" s="21" t="n">
        <v>25</v>
      </c>
      <c r="T5" s="21"/>
    </row>
    <row r="6" customFormat="false" ht="31.3" hidden="false" customHeight="false" outlineLevel="0" collapsed="false">
      <c r="A6" s="1" t="n">
        <v>2</v>
      </c>
      <c r="B6" s="15" t="n">
        <v>8033</v>
      </c>
      <c r="C6" s="52" t="s">
        <v>402</v>
      </c>
      <c r="D6" s="1" t="n">
        <f aca="false">(premier26[[#This Row],[CANTIDAD INICIAL JUEGO ]]+premier26[[#This Row],[ENTRADAS JUEGOS ]]-premier26[[#This Row],[SALIDAS JUEGOS]])</f>
        <v>42</v>
      </c>
      <c r="E6" s="1" t="n">
        <f aca="false">(premier26[[#This Row],[CANTIDAD INICIAL BARRAS]]+premier26[[#This Row],[ENTRADAS BARRAS]]-premier26[[#This Row],[SALIDA BARRAS]])</f>
        <v>0</v>
      </c>
      <c r="F6" s="23" t="n">
        <v>150</v>
      </c>
      <c r="G6" s="15" t="n">
        <v>48</v>
      </c>
      <c r="H6" s="15" t="n">
        <v>3</v>
      </c>
      <c r="I6" s="1" t="n">
        <f aca="false">(premier26[[#This Row],["J" PRECIO VENTA ]]/premier26[[#This Row],[BARRAS]])</f>
        <v>50</v>
      </c>
      <c r="J6" s="1" t="n">
        <f aca="false">(premier26[[#This Row],["J"PRECIO COMPRA ]]/premier26[[#This Row],[BARRAS]])</f>
        <v>16</v>
      </c>
      <c r="K6" s="1" t="n">
        <f aca="false">SUMIF(entradas26[CODIGO],premier26[[#This Row],[CODIGO ]],entradas26[[CAN JUEGOS ]])</f>
        <v>50</v>
      </c>
      <c r="L6" s="1" t="n">
        <f aca="false">SUMIF(entradas26[CODIGO],premier26[[#This Row],[CODIGO ]],entradas26[CAN BARRAS])</f>
        <v>0</v>
      </c>
      <c r="M6" s="1" t="n">
        <f aca="false">SUMIF(salidas26[[CODIGO ]],premier26[[#This Row],[CODIGO ]],salidas26[[CANT JUEGOS ]])</f>
        <v>53</v>
      </c>
      <c r="N6" s="1" t="n">
        <f aca="false">SUMIF(salidas26[[CODIGO ]],premier26[[#This Row],[CODIGO ]],salidas26[CANT BARRAS])</f>
        <v>0</v>
      </c>
      <c r="O6" s="1" t="n">
        <f aca="false">(premier26[[#This Row],["J"PRECIO COMPRA ]]*premier26[[#This Row],[STOCK JUEGOS]])</f>
        <v>2016</v>
      </c>
      <c r="P6" s="1" t="n">
        <f aca="false">(premier26[[#This Row],["J" PRECIO VENTA ]]*premier26[[#This Row],[STOCK JUEGOS]])</f>
        <v>6300</v>
      </c>
      <c r="Q6" s="1" t="n">
        <f aca="false">(premier26[[#This Row],["B"PRECIO COMPRA]]*premier26[[#This Row],[STOCK BARRAS]])</f>
        <v>0</v>
      </c>
      <c r="R6" s="1" t="n">
        <f aca="false">(premier26[[#This Row],["B"PRECIO VENTA ]]*premier26[[#This Row],[STOCK BARRAS]])</f>
        <v>0</v>
      </c>
      <c r="S6" s="18" t="n">
        <v>45</v>
      </c>
      <c r="T6" s="18"/>
      <c r="U6" s="1" t="n">
        <v>2.1</v>
      </c>
    </row>
    <row r="7" customFormat="false" ht="16.4" hidden="false" customHeight="false" outlineLevel="0" collapsed="false">
      <c r="A7" s="1" t="n">
        <v>3</v>
      </c>
      <c r="B7" s="15" t="n">
        <v>8039</v>
      </c>
      <c r="C7" s="52" t="s">
        <v>403</v>
      </c>
      <c r="D7" s="1" t="n">
        <f aca="false">(premier26[[#This Row],[CANTIDAD INICIAL JUEGO ]]+premier26[[#This Row],[ENTRADAS JUEGOS ]]-premier26[[#This Row],[SALIDAS JUEGOS]])</f>
        <v>7</v>
      </c>
      <c r="E7" s="1" t="n">
        <f aca="false">(premier26[[#This Row],[CANTIDAD INICIAL BARRAS]]+premier26[[#This Row],[ENTRADAS BARRAS]]-premier26[[#This Row],[SALIDA BARRAS]])</f>
        <v>5</v>
      </c>
      <c r="F7" s="23" t="n">
        <v>150</v>
      </c>
      <c r="G7" s="15" t="n">
        <v>40</v>
      </c>
      <c r="H7" s="15" t="n">
        <v>3</v>
      </c>
      <c r="I7" s="1" t="n">
        <f aca="false">(premier26[[#This Row],["J" PRECIO VENTA ]]/premier26[[#This Row],[BARRAS]])</f>
        <v>50</v>
      </c>
      <c r="J7" s="1" t="n">
        <f aca="false">(premier26[[#This Row],["J"PRECIO COMPRA ]]/premier26[[#This Row],[BARRAS]])</f>
        <v>13.3333333333333</v>
      </c>
      <c r="K7" s="1" t="n">
        <f aca="false">SUMIF(entradas26[CODIGO],premier26[[#This Row],[CODIGO ]],entradas26[[CAN JUEGOS ]])</f>
        <v>0</v>
      </c>
      <c r="L7" s="1" t="n">
        <f aca="false">SUMIF(entradas26[CODIGO],premier26[[#This Row],[CODIGO ]],entradas26[CAN BARRAS])</f>
        <v>0</v>
      </c>
      <c r="M7" s="1" t="n">
        <f aca="false">SUMIF(salidas26[[CODIGO ]],premier26[[#This Row],[CODIGO ]],salidas26[[CANT JUEGOS ]])</f>
        <v>1</v>
      </c>
      <c r="N7" s="1" t="n">
        <f aca="false">SUMIF(salidas26[[CODIGO ]],premier26[[#This Row],[CODIGO ]],salidas26[CANT BARRAS])</f>
        <v>0</v>
      </c>
      <c r="O7" s="1" t="n">
        <f aca="false">(premier26[[#This Row],["J"PRECIO COMPRA ]]*premier26[[#This Row],[STOCK JUEGOS]])</f>
        <v>280</v>
      </c>
      <c r="P7" s="1" t="n">
        <f aca="false">(premier26[[#This Row],["J" PRECIO VENTA ]]*premier26[[#This Row],[STOCK JUEGOS]])</f>
        <v>1050</v>
      </c>
      <c r="Q7" s="1" t="n">
        <f aca="false">(premier26[[#This Row],["B"PRECIO COMPRA]]*premier26[[#This Row],[STOCK BARRAS]])</f>
        <v>66.6666666666667</v>
      </c>
      <c r="R7" s="1" t="n">
        <f aca="false">(premier26[[#This Row],["B"PRECIO VENTA ]]*premier26[[#This Row],[STOCK BARRAS]])</f>
        <v>250</v>
      </c>
      <c r="S7" s="18" t="n">
        <v>8</v>
      </c>
      <c r="T7" s="18" t="n">
        <v>5</v>
      </c>
    </row>
    <row r="8" customFormat="false" ht="31.3" hidden="false" customHeight="false" outlineLevel="0" collapsed="false">
      <c r="A8" s="1" t="n">
        <v>4</v>
      </c>
      <c r="B8" s="62" t="n">
        <v>8031</v>
      </c>
      <c r="C8" s="52" t="s">
        <v>404</v>
      </c>
      <c r="D8" s="1" t="n">
        <f aca="false">(premier26[[#This Row],[CANTIDAD INICIAL JUEGO ]]+premier26[[#This Row],[ENTRADAS JUEGOS ]]-premier26[[#This Row],[SALIDAS JUEGOS]])</f>
        <v>10</v>
      </c>
      <c r="E8" s="1" t="n">
        <f aca="false">(premier26[[#This Row],[CANTIDAD INICIAL BARRAS]]+premier26[[#This Row],[ENTRADAS BARRAS]]-premier26[[#This Row],[SALIDA BARRAS]])</f>
        <v>0</v>
      </c>
      <c r="F8" s="23" t="n">
        <v>150</v>
      </c>
      <c r="G8" s="1" t="n">
        <v>110</v>
      </c>
      <c r="H8" s="1" t="n">
        <v>3</v>
      </c>
      <c r="I8" s="1" t="n">
        <f aca="false">(premier26[[#This Row],["J" PRECIO VENTA ]]/premier26[[#This Row],[BARRAS]])</f>
        <v>50</v>
      </c>
      <c r="J8" s="1" t="n">
        <f aca="false">(premier26[[#This Row],["J"PRECIO COMPRA ]]/premier26[[#This Row],[BARRAS]])</f>
        <v>36.6666666666667</v>
      </c>
      <c r="K8" s="1" t="n">
        <f aca="false">SUMIF(entradas26[CODIGO],premier26[[#This Row],[CODIGO ]],entradas26[[CAN JUEGOS ]])</f>
        <v>0</v>
      </c>
      <c r="L8" s="1" t="n">
        <f aca="false">SUMIF(entradas26[CODIGO],premier26[[#This Row],[CODIGO ]],entradas26[CAN BARRAS])</f>
        <v>0</v>
      </c>
      <c r="M8" s="1" t="n">
        <f aca="false">SUMIF(salidas26[[CODIGO ]],premier26[[#This Row],[CODIGO ]],salidas26[[CANT JUEGOS ]])</f>
        <v>0</v>
      </c>
      <c r="N8" s="1" t="n">
        <f aca="false">SUMIF(salidas26[[CODIGO ]],premier26[[#This Row],[CODIGO ]],salidas26[CANT BARRAS])</f>
        <v>0</v>
      </c>
      <c r="O8" s="1" t="n">
        <f aca="false">(premier26[[#This Row],["J"PRECIO COMPRA ]]*premier26[[#This Row],[STOCK JUEGOS]])</f>
        <v>1100</v>
      </c>
      <c r="P8" s="1" t="n">
        <f aca="false">(premier26[[#This Row],["J" PRECIO VENTA ]]*premier26[[#This Row],[STOCK JUEGOS]])</f>
        <v>1500</v>
      </c>
      <c r="Q8" s="1" t="n">
        <f aca="false">(premier26[[#This Row],["B"PRECIO COMPRA]]*premier26[[#This Row],[STOCK BARRAS]])</f>
        <v>0</v>
      </c>
      <c r="R8" s="1" t="n">
        <f aca="false">(premier26[[#This Row],["B"PRECIO VENTA ]]*premier26[[#This Row],[STOCK BARRAS]])</f>
        <v>0</v>
      </c>
      <c r="S8" s="18" t="n">
        <v>10</v>
      </c>
      <c r="T8" s="18"/>
    </row>
    <row r="9" customFormat="false" ht="16.4" hidden="false" customHeight="false" outlineLevel="0" collapsed="false">
      <c r="A9" s="1" t="n">
        <v>5</v>
      </c>
      <c r="B9" s="15" t="n">
        <v>8055</v>
      </c>
      <c r="C9" s="52" t="s">
        <v>405</v>
      </c>
      <c r="D9" s="1" t="n">
        <f aca="false">(premier26[[#This Row],[CANTIDAD INICIAL JUEGO ]]+premier26[[#This Row],[ENTRADAS JUEGOS ]]-premier26[[#This Row],[SALIDAS JUEGOS]])</f>
        <v>17</v>
      </c>
      <c r="E9" s="1" t="n">
        <f aca="false">(premier26[[#This Row],[CANTIDAD INICIAL BARRAS]]+premier26[[#This Row],[ENTRADAS BARRAS]]-premier26[[#This Row],[SALIDA BARRAS]])</f>
        <v>2</v>
      </c>
      <c r="F9" s="23" t="n">
        <v>180</v>
      </c>
      <c r="G9" s="15" t="n">
        <v>44</v>
      </c>
      <c r="H9" s="15" t="n">
        <v>3</v>
      </c>
      <c r="I9" s="1" t="n">
        <f aca="false">(premier26[[#This Row],["J" PRECIO VENTA ]]/premier26[[#This Row],[BARRAS]])</f>
        <v>60</v>
      </c>
      <c r="J9" s="1" t="n">
        <f aca="false">(premier26[[#This Row],["J"PRECIO COMPRA ]]/premier26[[#This Row],[BARRAS]])</f>
        <v>14.6666666666667</v>
      </c>
      <c r="K9" s="1" t="n">
        <f aca="false">SUMIF(entradas26[CODIGO],premier26[[#This Row],[CODIGO ]],entradas26[[CAN JUEGOS ]])</f>
        <v>20</v>
      </c>
      <c r="L9" s="1" t="n">
        <f aca="false">SUMIF(entradas26[CODIGO],premier26[[#This Row],[CODIGO ]],entradas26[CAN BARRAS])</f>
        <v>0</v>
      </c>
      <c r="M9" s="1" t="n">
        <f aca="false">SUMIF(salidas26[[CODIGO ]],premier26[[#This Row],[CODIGO ]],salidas26[[CANT JUEGOS ]])</f>
        <v>18</v>
      </c>
      <c r="N9" s="1" t="n">
        <f aca="false">SUMIF(salidas26[[CODIGO ]],premier26[[#This Row],[CODIGO ]],salidas26[CANT BARRAS])</f>
        <v>0</v>
      </c>
      <c r="O9" s="1" t="n">
        <f aca="false">(premier26[[#This Row],["J"PRECIO COMPRA ]]*premier26[[#This Row],[STOCK JUEGOS]])</f>
        <v>748</v>
      </c>
      <c r="P9" s="1" t="n">
        <f aca="false">(premier26[[#This Row],["J" PRECIO VENTA ]]*premier26[[#This Row],[STOCK JUEGOS]])</f>
        <v>3060</v>
      </c>
      <c r="Q9" s="1" t="n">
        <f aca="false">(premier26[[#This Row],["B"PRECIO COMPRA]]*premier26[[#This Row],[STOCK BARRAS]])</f>
        <v>29.3333333333333</v>
      </c>
      <c r="R9" s="1" t="n">
        <f aca="false">(premier26[[#This Row],["B"PRECIO VENTA ]]*premier26[[#This Row],[STOCK BARRAS]])</f>
        <v>120</v>
      </c>
      <c r="S9" s="18" t="n">
        <v>15</v>
      </c>
      <c r="T9" s="18" t="n">
        <v>2</v>
      </c>
    </row>
    <row r="10" customFormat="false" ht="16.4" hidden="false" customHeight="false" outlineLevel="0" collapsed="false">
      <c r="A10" s="1" t="n">
        <v>6</v>
      </c>
      <c r="B10" s="15" t="n">
        <v>8056</v>
      </c>
      <c r="C10" s="52" t="s">
        <v>406</v>
      </c>
      <c r="D10" s="1" t="n">
        <f aca="false">(premier26[[#This Row],[CANTIDAD INICIAL JUEGO ]]+premier26[[#This Row],[ENTRADAS JUEGOS ]]-premier26[[#This Row],[SALIDAS JUEGOS]])</f>
        <v>19</v>
      </c>
      <c r="E10" s="1" t="n">
        <f aca="false">(premier26[[#This Row],[CANTIDAD INICIAL BARRAS]]+premier26[[#This Row],[ENTRADAS BARRAS]]-premier26[[#This Row],[SALIDA BARRAS]])</f>
        <v>0</v>
      </c>
      <c r="F10" s="23" t="n">
        <v>180</v>
      </c>
      <c r="G10" s="15" t="n">
        <v>40</v>
      </c>
      <c r="H10" s="15" t="n">
        <v>3</v>
      </c>
      <c r="I10" s="1" t="n">
        <f aca="false">(premier26[[#This Row],["J" PRECIO VENTA ]]/premier26[[#This Row],[BARRAS]])</f>
        <v>60</v>
      </c>
      <c r="J10" s="1" t="n">
        <f aca="false">(premier26[[#This Row],["J"PRECIO COMPRA ]]/premier26[[#This Row],[BARRAS]])</f>
        <v>13.3333333333333</v>
      </c>
      <c r="K10" s="1" t="n">
        <f aca="false">SUMIF(entradas26[CODIGO],premier26[[#This Row],[CODIGO ]],entradas26[[CAN JUEGOS ]])</f>
        <v>20</v>
      </c>
      <c r="L10" s="1" t="n">
        <f aca="false">SUMIF(entradas26[CODIGO],premier26[[#This Row],[CODIGO ]],entradas26[CAN BARRAS])</f>
        <v>0</v>
      </c>
      <c r="M10" s="1" t="n">
        <f aca="false">SUMIF(salidas26[[CODIGO ]],premier26[[#This Row],[CODIGO ]],salidas26[[CANT JUEGOS ]])</f>
        <v>5</v>
      </c>
      <c r="N10" s="1" t="n">
        <f aca="false">SUMIF(salidas26[[CODIGO ]],premier26[[#This Row],[CODIGO ]],salidas26[CANT BARRAS])</f>
        <v>0</v>
      </c>
      <c r="O10" s="1" t="n">
        <f aca="false">(premier26[[#This Row],["J"PRECIO COMPRA ]]*premier26[[#This Row],[STOCK JUEGOS]])</f>
        <v>760</v>
      </c>
      <c r="P10" s="1" t="n">
        <f aca="false">(premier26[[#This Row],["J" PRECIO VENTA ]]*premier26[[#This Row],[STOCK JUEGOS]])</f>
        <v>3420</v>
      </c>
      <c r="Q10" s="1" t="n">
        <f aca="false">(premier26[[#This Row],["B"PRECIO COMPRA]]*premier26[[#This Row],[STOCK BARRAS]])</f>
        <v>0</v>
      </c>
      <c r="R10" s="1" t="n">
        <f aca="false">(premier26[[#This Row],["B"PRECIO VENTA ]]*premier26[[#This Row],[STOCK BARRAS]])</f>
        <v>0</v>
      </c>
      <c r="S10" s="18" t="n">
        <v>4</v>
      </c>
      <c r="T10" s="18"/>
      <c r="U10" s="1" t="n">
        <v>2.1</v>
      </c>
      <c r="V10" s="1" t="s">
        <v>407</v>
      </c>
    </row>
    <row r="11" customFormat="false" ht="16.4" hidden="false" customHeight="false" outlineLevel="0" collapsed="false">
      <c r="A11" s="1" t="n">
        <v>7</v>
      </c>
      <c r="B11" s="57" t="n">
        <v>8057</v>
      </c>
      <c r="C11" s="52" t="s">
        <v>408</v>
      </c>
      <c r="D11" s="1" t="n">
        <f aca="false">(premier26[[#This Row],[CANTIDAD INICIAL JUEGO ]]+premier26[[#This Row],[ENTRADAS JUEGOS ]]-premier26[[#This Row],[SALIDAS JUEGOS]])</f>
        <v>18</v>
      </c>
      <c r="E11" s="1" t="n">
        <f aca="false">(premier26[[#This Row],[CANTIDAD INICIAL BARRAS]]+premier26[[#This Row],[ENTRADAS BARRAS]]-premier26[[#This Row],[SALIDA BARRAS]])</f>
        <v>2</v>
      </c>
      <c r="F11" s="23" t="n">
        <v>200</v>
      </c>
      <c r="G11" s="15" t="n">
        <v>95</v>
      </c>
      <c r="H11" s="15" t="n">
        <v>4</v>
      </c>
      <c r="I11" s="1" t="n">
        <f aca="false">(premier26[[#This Row],["J" PRECIO VENTA ]]/premier26[[#This Row],[BARRAS]])</f>
        <v>50</v>
      </c>
      <c r="J11" s="1" t="n">
        <f aca="false">(premier26[[#This Row],["J"PRECIO COMPRA ]]/premier26[[#This Row],[BARRAS]])</f>
        <v>23.75</v>
      </c>
      <c r="K11" s="1" t="n">
        <f aca="false">SUMIF(entradas26[CODIGO],premier26[[#This Row],[CODIGO ]],entradas26[[CAN JUEGOS ]])</f>
        <v>20</v>
      </c>
      <c r="L11" s="1" t="n">
        <f aca="false">SUMIF(entradas26[CODIGO],premier26[[#This Row],[CODIGO ]],entradas26[CAN BARRAS])</f>
        <v>0</v>
      </c>
      <c r="M11" s="1" t="n">
        <f aca="false">SUMIF(salidas26[[CODIGO ]],premier26[[#This Row],[CODIGO ]],salidas26[[CANT JUEGOS ]])</f>
        <v>7</v>
      </c>
      <c r="N11" s="1" t="n">
        <f aca="false">SUMIF(salidas26[[CODIGO ]],premier26[[#This Row],[CODIGO ]],salidas26[CANT BARRAS])</f>
        <v>1</v>
      </c>
      <c r="O11" s="1" t="n">
        <f aca="false">(premier26[[#This Row],["J"PRECIO COMPRA ]]*premier26[[#This Row],[STOCK JUEGOS]])</f>
        <v>1710</v>
      </c>
      <c r="P11" s="1" t="n">
        <f aca="false">(premier26[[#This Row],["J" PRECIO VENTA ]]*premier26[[#This Row],[STOCK JUEGOS]])</f>
        <v>3600</v>
      </c>
      <c r="Q11" s="1" t="n">
        <f aca="false">(premier26[[#This Row],["B"PRECIO COMPRA]]*premier26[[#This Row],[STOCK BARRAS]])</f>
        <v>47.5</v>
      </c>
      <c r="R11" s="1" t="n">
        <f aca="false">(premier26[[#This Row],["B"PRECIO VENTA ]]*premier26[[#This Row],[STOCK BARRAS]])</f>
        <v>100</v>
      </c>
      <c r="S11" s="18" t="n">
        <v>5</v>
      </c>
      <c r="T11" s="18" t="n">
        <v>3</v>
      </c>
    </row>
    <row r="12" customFormat="false" ht="16.4" hidden="false" customHeight="false" outlineLevel="0" collapsed="false">
      <c r="A12" s="1" t="n">
        <v>8</v>
      </c>
      <c r="B12" s="15" t="n">
        <v>8067</v>
      </c>
      <c r="C12" s="52" t="s">
        <v>409</v>
      </c>
      <c r="D12" s="1" t="n">
        <f aca="false">(premier26[[#This Row],[CANTIDAD INICIAL JUEGO ]]+premier26[[#This Row],[ENTRADAS JUEGOS ]]-premier26[[#This Row],[SALIDAS JUEGOS]])</f>
        <v>15</v>
      </c>
      <c r="E12" s="1" t="n">
        <f aca="false">(premier26[[#This Row],[CANTIDAD INICIAL BARRAS]]+premier26[[#This Row],[ENTRADAS BARRAS]]-premier26[[#This Row],[SALIDA BARRAS]])</f>
        <v>0</v>
      </c>
      <c r="F12" s="23" t="n">
        <v>220</v>
      </c>
      <c r="G12" s="15" t="n">
        <v>60</v>
      </c>
      <c r="H12" s="15" t="n">
        <v>4</v>
      </c>
      <c r="I12" s="1" t="n">
        <f aca="false">(premier26[[#This Row],["J" PRECIO VENTA ]]/premier26[[#This Row],[BARRAS]])</f>
        <v>55</v>
      </c>
      <c r="J12" s="1" t="n">
        <f aca="false">(premier26[[#This Row],["J"PRECIO COMPRA ]]/premier26[[#This Row],[BARRAS]])</f>
        <v>15</v>
      </c>
      <c r="K12" s="1" t="n">
        <f aca="false">SUMIF(entradas26[CODIGO],premier26[[#This Row],[CODIGO ]],entradas26[[CAN JUEGOS ]])</f>
        <v>20</v>
      </c>
      <c r="L12" s="1" t="n">
        <f aca="false">SUMIF(entradas26[CODIGO],premier26[[#This Row],[CODIGO ]],entradas26[CAN BARRAS])</f>
        <v>0</v>
      </c>
      <c r="M12" s="1" t="n">
        <f aca="false">SUMIF(salidas26[[CODIGO ]],premier26[[#This Row],[CODIGO ]],salidas26[[CANT JUEGOS ]])</f>
        <v>14</v>
      </c>
      <c r="N12" s="1" t="n">
        <f aca="false">SUMIF(salidas26[[CODIGO ]],premier26[[#This Row],[CODIGO ]],salidas26[CANT BARRAS])</f>
        <v>0</v>
      </c>
      <c r="O12" s="1" t="n">
        <f aca="false">(premier26[[#This Row],["J"PRECIO COMPRA ]]*premier26[[#This Row],[STOCK JUEGOS]])</f>
        <v>900</v>
      </c>
      <c r="P12" s="1" t="n">
        <f aca="false">(premier26[[#This Row],["J" PRECIO VENTA ]]*premier26[[#This Row],[STOCK JUEGOS]])</f>
        <v>3300</v>
      </c>
      <c r="Q12" s="1" t="n">
        <f aca="false">(premier26[[#This Row],["B"PRECIO COMPRA]]*premier26[[#This Row],[STOCK BARRAS]])</f>
        <v>0</v>
      </c>
      <c r="R12" s="1" t="n">
        <f aca="false">(premier26[[#This Row],["B"PRECIO VENTA ]]*premier26[[#This Row],[STOCK BARRAS]])</f>
        <v>0</v>
      </c>
      <c r="S12" s="18" t="n">
        <v>9</v>
      </c>
      <c r="T12" s="18"/>
      <c r="U12" s="1" t="n">
        <v>3.1</v>
      </c>
      <c r="V12" s="1" t="s">
        <v>410</v>
      </c>
    </row>
    <row r="13" customFormat="false" ht="16.4" hidden="false" customHeight="false" outlineLevel="0" collapsed="false">
      <c r="A13" s="1" t="n">
        <v>9</v>
      </c>
      <c r="B13" s="15" t="n">
        <v>8068</v>
      </c>
      <c r="C13" s="52" t="s">
        <v>411</v>
      </c>
      <c r="D13" s="1" t="n">
        <f aca="false">(premier26[[#This Row],[CANTIDAD INICIAL JUEGO ]]+premier26[[#This Row],[ENTRADAS JUEGOS ]]-premier26[[#This Row],[SALIDAS JUEGOS]])</f>
        <v>6</v>
      </c>
      <c r="E13" s="1" t="n">
        <f aca="false">(premier26[[#This Row],[CANTIDAD INICIAL BARRAS]]+premier26[[#This Row],[ENTRADAS BARRAS]]-premier26[[#This Row],[SALIDA BARRAS]])</f>
        <v>0</v>
      </c>
      <c r="F13" s="23" t="n">
        <v>220</v>
      </c>
      <c r="G13" s="15" t="n">
        <v>75</v>
      </c>
      <c r="H13" s="15" t="n">
        <v>4</v>
      </c>
      <c r="I13" s="1" t="n">
        <f aca="false">(premier26[[#This Row],["J" PRECIO VENTA ]]/premier26[[#This Row],[BARRAS]])</f>
        <v>55</v>
      </c>
      <c r="J13" s="1" t="n">
        <f aca="false">(premier26[[#This Row],["J"PRECIO COMPRA ]]/premier26[[#This Row],[BARRAS]])</f>
        <v>18.75</v>
      </c>
      <c r="K13" s="1" t="n">
        <f aca="false">SUMIF(entradas26[CODIGO],premier26[[#This Row],[CODIGO ]],entradas26[[CAN JUEGOS ]])</f>
        <v>0</v>
      </c>
      <c r="L13" s="1" t="n">
        <f aca="false">SUMIF(entradas26[CODIGO],premier26[[#This Row],[CODIGO ]],entradas26[CAN BARRAS])</f>
        <v>0</v>
      </c>
      <c r="M13" s="1" t="n">
        <f aca="false">SUMIF(salidas26[[CODIGO ]],premier26[[#This Row],[CODIGO ]],salidas26[[CANT JUEGOS ]])</f>
        <v>10</v>
      </c>
      <c r="N13" s="1" t="n">
        <f aca="false">SUMIF(salidas26[[CODIGO ]],premier26[[#This Row],[CODIGO ]],salidas26[CANT BARRAS])</f>
        <v>0</v>
      </c>
      <c r="O13" s="1" t="n">
        <f aca="false">(premier26[[#This Row],["J"PRECIO COMPRA ]]*premier26[[#This Row],[STOCK JUEGOS]])</f>
        <v>450</v>
      </c>
      <c r="P13" s="1" t="n">
        <f aca="false">(premier26[[#This Row],["J" PRECIO VENTA ]]*premier26[[#This Row],[STOCK JUEGOS]])</f>
        <v>1320</v>
      </c>
      <c r="Q13" s="1" t="n">
        <f aca="false">(premier26[[#This Row],["B"PRECIO COMPRA]]*premier26[[#This Row],[STOCK BARRAS]])</f>
        <v>0</v>
      </c>
      <c r="R13" s="1" t="n">
        <f aca="false">(premier26[[#This Row],["B"PRECIO VENTA ]]*premier26[[#This Row],[STOCK BARRAS]])</f>
        <v>0</v>
      </c>
      <c r="S13" s="18" t="n">
        <v>16</v>
      </c>
      <c r="T13" s="18"/>
    </row>
    <row r="14" customFormat="false" ht="31.3" hidden="false" customHeight="false" outlineLevel="0" collapsed="false">
      <c r="A14" s="1" t="n">
        <v>10</v>
      </c>
      <c r="B14" s="15" t="n">
        <v>8069</v>
      </c>
      <c r="C14" s="52" t="s">
        <v>412</v>
      </c>
      <c r="D14" s="1" t="n">
        <f aca="false">(premier26[[#This Row],[CANTIDAD INICIAL JUEGO ]]+premier26[[#This Row],[ENTRADAS JUEGOS ]]-premier26[[#This Row],[SALIDAS JUEGOS]])</f>
        <v>19</v>
      </c>
      <c r="E14" s="1" t="n">
        <f aca="false">(premier26[[#This Row],[CANTIDAD INICIAL BARRAS]]+premier26[[#This Row],[ENTRADAS BARRAS]]-premier26[[#This Row],[SALIDA BARRAS]])</f>
        <v>0</v>
      </c>
      <c r="F14" s="23" t="n">
        <v>220</v>
      </c>
      <c r="G14" s="15" t="n">
        <v>60</v>
      </c>
      <c r="H14" s="15" t="n">
        <v>4</v>
      </c>
      <c r="I14" s="1" t="n">
        <f aca="false">(premier26[[#This Row],["J" PRECIO VENTA ]]/premier26[[#This Row],[BARRAS]])</f>
        <v>55</v>
      </c>
      <c r="J14" s="1" t="n">
        <f aca="false">(premier26[[#This Row],["J"PRECIO COMPRA ]]/premier26[[#This Row],[BARRAS]])</f>
        <v>15</v>
      </c>
      <c r="K14" s="1" t="n">
        <f aca="false">SUMIF(entradas26[CODIGO],premier26[[#This Row],[CODIGO ]],entradas26[[CAN JUEGOS ]])</f>
        <v>20</v>
      </c>
      <c r="L14" s="1" t="n">
        <f aca="false">SUMIF(entradas26[CODIGO],premier26[[#This Row],[CODIGO ]],entradas26[CAN BARRAS])</f>
        <v>0</v>
      </c>
      <c r="M14" s="1" t="n">
        <f aca="false">SUMIF(salidas26[[CODIGO ]],premier26[[#This Row],[CODIGO ]],salidas26[[CANT JUEGOS ]])</f>
        <v>7</v>
      </c>
      <c r="N14" s="1" t="n">
        <f aca="false">SUMIF(salidas26[[CODIGO ]],premier26[[#This Row],[CODIGO ]],salidas26[CANT BARRAS])</f>
        <v>0</v>
      </c>
      <c r="O14" s="1" t="n">
        <f aca="false">(premier26[[#This Row],["J"PRECIO COMPRA ]]*premier26[[#This Row],[STOCK JUEGOS]])</f>
        <v>1140</v>
      </c>
      <c r="P14" s="1" t="n">
        <f aca="false">(premier26[[#This Row],["J" PRECIO VENTA ]]*premier26[[#This Row],[STOCK JUEGOS]])</f>
        <v>4180</v>
      </c>
      <c r="Q14" s="1" t="n">
        <f aca="false">(premier26[[#This Row],["B"PRECIO COMPRA]]*premier26[[#This Row],[STOCK BARRAS]])</f>
        <v>0</v>
      </c>
      <c r="R14" s="1" t="n">
        <f aca="false">(premier26[[#This Row],["B"PRECIO VENTA ]]*premier26[[#This Row],[STOCK BARRAS]])</f>
        <v>0</v>
      </c>
      <c r="S14" s="18" t="n">
        <v>6</v>
      </c>
      <c r="T14" s="18"/>
      <c r="U14" s="1" t="n">
        <v>3.1</v>
      </c>
      <c r="V14" s="1" t="s">
        <v>413</v>
      </c>
    </row>
    <row r="15" customFormat="false" ht="16.4" hidden="false" customHeight="false" outlineLevel="0" collapsed="false">
      <c r="A15" s="1" t="n">
        <v>11</v>
      </c>
      <c r="B15" s="15" t="n">
        <v>8087</v>
      </c>
      <c r="C15" s="52" t="s">
        <v>414</v>
      </c>
      <c r="D15" s="1" t="n">
        <f aca="false">(premier26[[#This Row],[CANTIDAD INICIAL JUEGO ]]+premier26[[#This Row],[ENTRADAS JUEGOS ]]-premier26[[#This Row],[SALIDAS JUEGOS]])</f>
        <v>16</v>
      </c>
      <c r="E15" s="1" t="n">
        <f aca="false">(premier26[[#This Row],[CANTIDAD INICIAL BARRAS]]+premier26[[#This Row],[ENTRADAS BARRAS]]-premier26[[#This Row],[SALIDA BARRAS]])</f>
        <v>1</v>
      </c>
      <c r="F15" s="23" t="n">
        <v>250</v>
      </c>
      <c r="G15" s="15" t="n">
        <v>84</v>
      </c>
      <c r="H15" s="15" t="n">
        <v>9</v>
      </c>
      <c r="I15" s="1" t="n">
        <f aca="false">(premier26[[#This Row],["J" PRECIO VENTA ]]/premier26[[#This Row],[BARRAS]])</f>
        <v>27.7777777777778</v>
      </c>
      <c r="J15" s="1" t="n">
        <f aca="false">(premier26[[#This Row],["J"PRECIO COMPRA ]]/premier26[[#This Row],[BARRAS]])</f>
        <v>9.33333333333333</v>
      </c>
      <c r="K15" s="1" t="n">
        <f aca="false">SUMIF(entradas26[CODIGO],premier26[[#This Row],[CODIGO ]],entradas26[[CAN JUEGOS ]])</f>
        <v>0</v>
      </c>
      <c r="L15" s="1" t="n">
        <f aca="false">SUMIF(entradas26[CODIGO],premier26[[#This Row],[CODIGO ]],entradas26[CAN BARRAS])</f>
        <v>0</v>
      </c>
      <c r="M15" s="1" t="n">
        <f aca="false">SUMIF(salidas26[[CODIGO ]],premier26[[#This Row],[CODIGO ]],salidas26[[CANT JUEGOS ]])</f>
        <v>1</v>
      </c>
      <c r="N15" s="1" t="n">
        <f aca="false">SUMIF(salidas26[[CODIGO ]],premier26[[#This Row],[CODIGO ]],salidas26[CANT BARRAS])</f>
        <v>0</v>
      </c>
      <c r="O15" s="1" t="n">
        <f aca="false">(premier26[[#This Row],["J"PRECIO COMPRA ]]*premier26[[#This Row],[STOCK JUEGOS]])</f>
        <v>1344</v>
      </c>
      <c r="P15" s="1" t="n">
        <f aca="false">(premier26[[#This Row],["J" PRECIO VENTA ]]*premier26[[#This Row],[STOCK JUEGOS]])</f>
        <v>4000</v>
      </c>
      <c r="Q15" s="1" t="n">
        <f aca="false">(premier26[[#This Row],["B"PRECIO COMPRA]]*premier26[[#This Row],[STOCK BARRAS]])</f>
        <v>9.33333333333333</v>
      </c>
      <c r="R15" s="1" t="n">
        <f aca="false">(premier26[[#This Row],["B"PRECIO VENTA ]]*premier26[[#This Row],[STOCK BARRAS]])</f>
        <v>27.7777777777778</v>
      </c>
      <c r="S15" s="18" t="n">
        <v>17</v>
      </c>
      <c r="T15" s="18" t="n">
        <v>1</v>
      </c>
    </row>
    <row r="16" customFormat="false" ht="16.4" hidden="false" customHeight="false" outlineLevel="0" collapsed="false">
      <c r="A16" s="1" t="n">
        <v>12</v>
      </c>
      <c r="B16" s="15" t="n">
        <v>8095</v>
      </c>
      <c r="C16" s="52" t="s">
        <v>415</v>
      </c>
      <c r="D16" s="1" t="n">
        <f aca="false">(premier26[[#This Row],[CANTIDAD INICIAL JUEGO ]]+premier26[[#This Row],[ENTRADAS JUEGOS ]]-premier26[[#This Row],[SALIDAS JUEGOS]])</f>
        <v>28</v>
      </c>
      <c r="E16" s="1" t="n">
        <f aca="false">(premier26[[#This Row],[CANTIDAD INICIAL BARRAS]]+premier26[[#This Row],[ENTRADAS BARRAS]]-premier26[[#This Row],[SALIDA BARRAS]])</f>
        <v>1</v>
      </c>
      <c r="F16" s="23" t="n">
        <v>300</v>
      </c>
      <c r="G16" s="15" t="n">
        <v>132</v>
      </c>
      <c r="H16" s="15" t="n">
        <v>10</v>
      </c>
      <c r="I16" s="1" t="n">
        <f aca="false">(premier26[[#This Row],["J" PRECIO VENTA ]]/premier26[[#This Row],[BARRAS]])</f>
        <v>30</v>
      </c>
      <c r="J16" s="1" t="n">
        <f aca="false">(premier26[[#This Row],["J"PRECIO COMPRA ]]/premier26[[#This Row],[BARRAS]])</f>
        <v>13.2</v>
      </c>
      <c r="K16" s="1" t="n">
        <f aca="false">SUMIF(entradas26[CODIGO],premier26[[#This Row],[CODIGO ]],entradas26[[CAN JUEGOS ]])</f>
        <v>30</v>
      </c>
      <c r="L16" s="1" t="n">
        <f aca="false">SUMIF(entradas26[CODIGO],premier26[[#This Row],[CODIGO ]],entradas26[CAN BARRAS])</f>
        <v>0</v>
      </c>
      <c r="M16" s="1" t="n">
        <f aca="false">SUMIF(salidas26[[CODIGO ]],premier26[[#This Row],[CODIGO ]],salidas26[[CANT JUEGOS ]])</f>
        <v>16</v>
      </c>
      <c r="N16" s="1" t="n">
        <f aca="false">SUMIF(salidas26[[CODIGO ]],premier26[[#This Row],[CODIGO ]],salidas26[CANT BARRAS])</f>
        <v>0</v>
      </c>
      <c r="O16" s="1" t="n">
        <f aca="false">(premier26[[#This Row],["J"PRECIO COMPRA ]]*premier26[[#This Row],[STOCK JUEGOS]])</f>
        <v>3696</v>
      </c>
      <c r="P16" s="1" t="n">
        <f aca="false">(premier26[[#This Row],["J" PRECIO VENTA ]]*premier26[[#This Row],[STOCK JUEGOS]])</f>
        <v>8400</v>
      </c>
      <c r="Q16" s="1" t="n">
        <f aca="false">(premier26[[#This Row],["B"PRECIO COMPRA]]*premier26[[#This Row],[STOCK BARRAS]])</f>
        <v>13.2</v>
      </c>
      <c r="R16" s="1" t="n">
        <f aca="false">(premier26[[#This Row],["B"PRECIO VENTA ]]*premier26[[#This Row],[STOCK BARRAS]])</f>
        <v>30</v>
      </c>
      <c r="S16" s="18" t="n">
        <v>14</v>
      </c>
      <c r="T16" s="18" t="n">
        <v>1</v>
      </c>
      <c r="U16" s="1" t="n">
        <v>5.1</v>
      </c>
    </row>
    <row r="17" customFormat="false" ht="31.3" hidden="false" customHeight="false" outlineLevel="0" collapsed="false">
      <c r="A17" s="1" t="n">
        <v>13</v>
      </c>
      <c r="B17" s="15" t="n">
        <v>8096</v>
      </c>
      <c r="C17" s="52" t="s">
        <v>416</v>
      </c>
      <c r="D17" s="1" t="n">
        <f aca="false">(premier26[[#This Row],[CANTIDAD INICIAL JUEGO ]]+premier26[[#This Row],[ENTRADAS JUEGOS ]]-premier26[[#This Row],[SALIDAS JUEGOS]])</f>
        <v>0</v>
      </c>
      <c r="E17" s="1" t="n">
        <f aca="false">(premier26[[#This Row],[CANTIDAD INICIAL BARRAS]]+premier26[[#This Row],[ENTRADAS BARRAS]]-premier26[[#This Row],[SALIDA BARRAS]])</f>
        <v>0</v>
      </c>
      <c r="F17" s="23" t="n">
        <v>300</v>
      </c>
      <c r="G17" s="63" t="n">
        <v>132</v>
      </c>
      <c r="H17" s="15" t="n">
        <v>10</v>
      </c>
      <c r="I17" s="1" t="n">
        <f aca="false">(premier26[[#This Row],["J" PRECIO VENTA ]]/premier26[[#This Row],[BARRAS]])</f>
        <v>30</v>
      </c>
      <c r="J17" s="1" t="n">
        <f aca="false">(premier26[[#This Row],["J"PRECIO COMPRA ]]/premier26[[#This Row],[BARRAS]])</f>
        <v>13.2</v>
      </c>
      <c r="K17" s="1" t="n">
        <f aca="false">SUMIF(entradas26[CODIGO],premier26[[#This Row],[CODIGO ]],entradas26[[CAN JUEGOS ]])</f>
        <v>0</v>
      </c>
      <c r="L17" s="1" t="n">
        <f aca="false">SUMIF(entradas26[CODIGO],premier26[[#This Row],[CODIGO ]],entradas26[CAN BARRAS])</f>
        <v>0</v>
      </c>
      <c r="M17" s="1" t="n">
        <f aca="false">SUMIF(salidas26[[CODIGO ]],premier26[[#This Row],[CODIGO ]],salidas26[[CANT JUEGOS ]])</f>
        <v>1</v>
      </c>
      <c r="N17" s="1" t="n">
        <f aca="false">SUMIF(salidas26[[CODIGO ]],premier26[[#This Row],[CODIGO ]],salidas26[CANT BARRAS])</f>
        <v>0</v>
      </c>
      <c r="O17" s="1" t="n">
        <f aca="false">(premier26[[#This Row],["J"PRECIO COMPRA ]]*premier26[[#This Row],[STOCK JUEGOS]])</f>
        <v>0</v>
      </c>
      <c r="P17" s="1" t="n">
        <f aca="false">(premier26[[#This Row],["J" PRECIO VENTA ]]*premier26[[#This Row],[STOCK JUEGOS]])</f>
        <v>0</v>
      </c>
      <c r="Q17" s="1" t="n">
        <f aca="false">(premier26[[#This Row],["B"PRECIO COMPRA]]*premier26[[#This Row],[STOCK BARRAS]])</f>
        <v>0</v>
      </c>
      <c r="R17" s="1" t="n">
        <f aca="false">(premier26[[#This Row],["B"PRECIO VENTA ]]*premier26[[#This Row],[STOCK BARRAS]])</f>
        <v>0</v>
      </c>
      <c r="S17" s="18" t="n">
        <v>1</v>
      </c>
      <c r="T17" s="18"/>
    </row>
    <row r="18" customFormat="false" ht="16.4" hidden="false" customHeight="false" outlineLevel="0" collapsed="false">
      <c r="A18" s="1" t="n">
        <v>14</v>
      </c>
      <c r="B18" s="64" t="n">
        <v>8097</v>
      </c>
      <c r="C18" s="65" t="s">
        <v>417</v>
      </c>
      <c r="D18" s="1" t="n">
        <f aca="false">(premier26[[#This Row],[CANTIDAD INICIAL JUEGO ]]+premier26[[#This Row],[ENTRADAS JUEGOS ]]-premier26[[#This Row],[SALIDAS JUEGOS]])</f>
        <v>15</v>
      </c>
      <c r="E18" s="1" t="n">
        <f aca="false">(premier26[[#This Row],[CANTIDAD INICIAL BARRAS]]+premier26[[#This Row],[ENTRADAS BARRAS]]-premier26[[#This Row],[SALIDA BARRAS]])</f>
        <v>10</v>
      </c>
      <c r="F18" s="66" t="n">
        <v>380</v>
      </c>
      <c r="G18" s="64" t="n">
        <v>187</v>
      </c>
      <c r="H18" s="64" t="n">
        <v>10</v>
      </c>
      <c r="I18" s="1" t="n">
        <f aca="false">(premier26[[#This Row],["J" PRECIO VENTA ]]/premier26[[#This Row],[BARRAS]])</f>
        <v>38</v>
      </c>
      <c r="J18" s="1" t="n">
        <f aca="false">(premier26[[#This Row],["J"PRECIO COMPRA ]]/premier26[[#This Row],[BARRAS]])</f>
        <v>18.7</v>
      </c>
      <c r="K18" s="1" t="n">
        <f aca="false">SUMIF(entradas26[CODIGO],premier26[[#This Row],[CODIGO ]],entradas26[[CAN JUEGOS ]])</f>
        <v>0</v>
      </c>
      <c r="L18" s="1" t="n">
        <f aca="false">SUMIF(entradas26[CODIGO],premier26[[#This Row],[CODIGO ]],entradas26[CAN BARRAS])</f>
        <v>0</v>
      </c>
      <c r="M18" s="1" t="n">
        <f aca="false">SUMIF(salidas26[[CODIGO ]],premier26[[#This Row],[CODIGO ]],salidas26[[CANT JUEGOS ]])</f>
        <v>1</v>
      </c>
      <c r="N18" s="1" t="n">
        <f aca="false">SUMIF(salidas26[[CODIGO ]],premier26[[#This Row],[CODIGO ]],salidas26[CANT BARRAS])</f>
        <v>0</v>
      </c>
      <c r="O18" s="1" t="n">
        <f aca="false">(premier26[[#This Row],["J"PRECIO COMPRA ]]*premier26[[#This Row],[STOCK JUEGOS]])</f>
        <v>2805</v>
      </c>
      <c r="P18" s="1" t="n">
        <f aca="false">(premier26[[#This Row],["J" PRECIO VENTA ]]*premier26[[#This Row],[STOCK JUEGOS]])</f>
        <v>5700</v>
      </c>
      <c r="Q18" s="1" t="n">
        <f aca="false">(premier26[[#This Row],["B"PRECIO COMPRA]]*premier26[[#This Row],[STOCK BARRAS]])</f>
        <v>187</v>
      </c>
      <c r="R18" s="1" t="n">
        <f aca="false">(premier26[[#This Row],["B"PRECIO VENTA ]]*premier26[[#This Row],[STOCK BARRAS]])</f>
        <v>380</v>
      </c>
      <c r="S18" s="18" t="n">
        <v>16</v>
      </c>
      <c r="T18" s="18" t="n">
        <v>10</v>
      </c>
    </row>
    <row r="19" s="1" customFormat="true" ht="16.4" hidden="false" customHeight="false" outlineLevel="0" collapsed="false">
      <c r="A19" s="1" t="n">
        <v>15</v>
      </c>
      <c r="B19" s="15" t="n">
        <v>8098</v>
      </c>
      <c r="C19" s="52" t="s">
        <v>418</v>
      </c>
      <c r="D19" s="1" t="n">
        <f aca="false">(premier26[[#This Row],[CANTIDAD INICIAL JUEGO ]]+premier26[[#This Row],[ENTRADAS JUEGOS ]]-premier26[[#This Row],[SALIDAS JUEGOS]])</f>
        <v>12</v>
      </c>
      <c r="E19" s="1" t="n">
        <f aca="false">(premier26[[#This Row],[CANTIDAD INICIAL BARRAS]]+premier26[[#This Row],[ENTRADAS BARRAS]]-premier26[[#This Row],[SALIDA BARRAS]])</f>
        <v>10</v>
      </c>
      <c r="F19" s="32" t="n">
        <v>420</v>
      </c>
      <c r="G19" s="1" t="n">
        <v>171</v>
      </c>
      <c r="H19" s="1" t="n">
        <v>12</v>
      </c>
      <c r="I19" s="1" t="n">
        <f aca="false">(premier26[[#This Row],["J" PRECIO VENTA ]]/premier26[[#This Row],[BARRAS]])</f>
        <v>35</v>
      </c>
      <c r="J19" s="1" t="n">
        <f aca="false">(premier26[[#This Row],["J"PRECIO COMPRA ]]/premier26[[#This Row],[BARRAS]])</f>
        <v>14.25</v>
      </c>
      <c r="K19" s="1" t="n">
        <f aca="false">SUMIF(entradas26[CODIGO],premier26[[#This Row],[CODIGO ]],entradas26[[CAN JUEGOS ]])</f>
        <v>20</v>
      </c>
      <c r="L19" s="1" t="n">
        <f aca="false">SUMIF(entradas26[CODIGO],premier26[[#This Row],[CODIGO ]],entradas26[CAN BARRAS])</f>
        <v>11</v>
      </c>
      <c r="M19" s="1" t="n">
        <f aca="false">SUMIF(salidas26[[CODIGO ]],premier26[[#This Row],[CODIGO ]],salidas26[[CANT JUEGOS ]])</f>
        <v>8</v>
      </c>
      <c r="N19" s="1" t="n">
        <f aca="false">SUMIF(salidas26[[CODIGO ]],premier26[[#This Row],[CODIGO ]],salidas26[CANT BARRAS])</f>
        <v>1</v>
      </c>
      <c r="O19" s="1" t="n">
        <f aca="false">(premier26[[#This Row],["J"PRECIO COMPRA ]]*premier26[[#This Row],[STOCK JUEGOS]])</f>
        <v>2052</v>
      </c>
      <c r="P19" s="1" t="n">
        <f aca="false">(premier26[[#This Row],["J" PRECIO VENTA ]]*premier26[[#This Row],[STOCK JUEGOS]])</f>
        <v>5040</v>
      </c>
      <c r="Q19" s="1" t="n">
        <f aca="false">(premier26[[#This Row],["B"PRECIO COMPRA]]*premier26[[#This Row],[STOCK BARRAS]])</f>
        <v>142.5</v>
      </c>
      <c r="R19" s="1" t="n">
        <f aca="false">(premier26[[#This Row],["B"PRECIO VENTA ]]*premier26[[#This Row],[STOCK BARRAS]])</f>
        <v>350</v>
      </c>
      <c r="U19" s="1" t="n">
        <v>8.31</v>
      </c>
      <c r="V19" s="1" t="s">
        <v>419</v>
      </c>
    </row>
  </sheetData>
  <mergeCells count="1">
    <mergeCell ref="B2:V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1" width="10.86"/>
    <col collapsed="false" customWidth="true" hidden="false" outlineLevel="0" max="2" min="2" style="1" width="39"/>
    <col collapsed="false" customWidth="true" hidden="false" outlineLevel="0" max="3" min="3" style="1" width="8.14"/>
    <col collapsed="false" customWidth="true" hidden="false" outlineLevel="0" max="13" min="4" style="1" width="9"/>
    <col collapsed="false" customWidth="true" hidden="false" outlineLevel="0" max="18" min="14" style="1" width="9.14"/>
    <col collapsed="false" customWidth="true" hidden="false" outlineLevel="0" max="19" min="19" style="1" width="9.43"/>
    <col collapsed="false" customWidth="true" hidden="false" outlineLevel="0" max="20" min="20" style="1" width="12"/>
    <col collapsed="false" customWidth="true" hidden="false" outlineLevel="0" max="21" min="21" style="1" width="16.29"/>
  </cols>
  <sheetData>
    <row r="1" customFormat="false" ht="15" hidden="false" customHeight="false" outlineLevel="0" collapsed="false">
      <c r="A1" s="59" t="s">
        <v>420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</row>
    <row r="2" customFormat="false" ht="15" hidden="false" customHeight="false" outlineLevel="0" collapsed="false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</row>
    <row r="3" customFormat="false" ht="64.9" hidden="false" customHeight="false" outlineLevel="0" collapsed="false">
      <c r="A3" s="3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7" t="s">
        <v>6</v>
      </c>
      <c r="G3" s="8" t="s">
        <v>7</v>
      </c>
      <c r="H3" s="9" t="s">
        <v>8</v>
      </c>
      <c r="I3" s="9" t="s">
        <v>9</v>
      </c>
      <c r="J3" s="8" t="s">
        <v>10</v>
      </c>
      <c r="K3" s="8" t="s">
        <v>11</v>
      </c>
      <c r="L3" s="8" t="s">
        <v>12</v>
      </c>
      <c r="M3" s="10" t="s">
        <v>13</v>
      </c>
      <c r="N3" s="8" t="s">
        <v>14</v>
      </c>
      <c r="O3" s="11" t="s">
        <v>15</v>
      </c>
      <c r="P3" s="8" t="s">
        <v>16</v>
      </c>
      <c r="Q3" s="8" t="s">
        <v>17</v>
      </c>
      <c r="R3" s="11" t="s">
        <v>18</v>
      </c>
      <c r="S3" s="12" t="s">
        <v>19</v>
      </c>
      <c r="T3" s="13" t="s">
        <v>20</v>
      </c>
      <c r="U3" s="14" t="s">
        <v>21</v>
      </c>
    </row>
    <row r="4" customFormat="false" ht="15" hidden="false" customHeight="false" outlineLevel="0" collapsed="false">
      <c r="A4" s="1" t="n">
        <v>6001</v>
      </c>
      <c r="B4" s="15" t="s">
        <v>421</v>
      </c>
      <c r="C4" s="1" t="n">
        <f aca="false">(MASTERG26[[#This Row],[CANTIDAD INICIAL JUEGO ]]+MASTERG26[[#This Row],[ENTRADAS JUEGOS ]]-MASTERG26[[#This Row],[SALIDAS JUEGOS]])</f>
        <v>12</v>
      </c>
      <c r="D4" s="1" t="n">
        <f aca="false">(MASTERG26[[#This Row],[CANTIDAD INICIAL BARRAS]]+MASTERG26[[#This Row],[ENTRADAS BARRAS]]-MASTERG26[[#This Row],[SALIDA BARRAS]])</f>
        <v>1</v>
      </c>
      <c r="E4" s="23" t="n">
        <v>80</v>
      </c>
      <c r="F4" s="1" t="n">
        <v>35</v>
      </c>
      <c r="G4" s="1" t="n">
        <v>2</v>
      </c>
      <c r="H4" s="1" t="n">
        <f aca="false">(MASTERG26[[#This Row],["J" PRECIO VENTA ]]/MASTERG26[[#This Row],[BARRAS]])</f>
        <v>40</v>
      </c>
      <c r="I4" s="1" t="n">
        <f aca="false">(MASTERG26[[#This Row],["J"PRECIO COMPRA ]]/MASTERG26[[#This Row],[BARRAS]])</f>
        <v>17.5</v>
      </c>
      <c r="J4" s="1" t="n">
        <f aca="false">SUMIF(entradas26[CODIGO],MASTERG26[[#This Row],[CODIGO ]],entradas26[[CAN JUEGOS ]])</f>
        <v>0</v>
      </c>
      <c r="K4" s="1" t="n">
        <f aca="false">SUMIF(entradas26[CODIGO],MASTERG26[[#This Row],[CODIGO ]],entradas26[CAN BARRAS])</f>
        <v>0</v>
      </c>
      <c r="L4" s="1" t="n">
        <f aca="false">SUMIF(salidas26[[CODIGO ]],MASTERG26[[#This Row],[CODIGO ]],salidas26[[CANT JUEGOS ]])</f>
        <v>4</v>
      </c>
      <c r="M4" s="1" t="n">
        <f aca="false">SUMIF(salidas26[[CODIGO ]],MASTERG26[[#This Row],[CODIGO ]],salidas26[CANT BARRAS])</f>
        <v>0</v>
      </c>
      <c r="N4" s="1" t="n">
        <f aca="false">(MASTERG26[[#This Row],["J"PRECIO COMPRA ]]*MASTERG26[[#This Row],[STOCK JUEGOS]])</f>
        <v>420</v>
      </c>
      <c r="O4" s="1" t="n">
        <f aca="false">(MASTERG26[[#This Row],["J" PRECIO VENTA ]]*MASTERG26[[#This Row],[STOCK JUEGOS]])</f>
        <v>960</v>
      </c>
      <c r="P4" s="1" t="n">
        <f aca="false">(MASTERG26[[#This Row],["B"PRECIO COMPRA]]*MASTERG26[[#This Row],[STOCK BARRAS]])</f>
        <v>17.5</v>
      </c>
      <c r="Q4" s="1" t="n">
        <f aca="false">(MASTERG26[[#This Row],["B"PRECIO VENTA ]]*MASTERG26[[#This Row],[STOCK BARRAS]])</f>
        <v>40</v>
      </c>
      <c r="R4" s="18" t="n">
        <v>16</v>
      </c>
      <c r="S4" s="18" t="n">
        <v>1</v>
      </c>
    </row>
    <row r="5" customFormat="false" ht="15" hidden="false" customHeight="false" outlineLevel="0" collapsed="false">
      <c r="A5" s="1" t="n">
        <v>6012</v>
      </c>
      <c r="B5" s="15" t="s">
        <v>422</v>
      </c>
      <c r="C5" s="1" t="n">
        <f aca="false">(MASTERG26[[#This Row],[CANTIDAD INICIAL JUEGO ]]+MASTERG26[[#This Row],[ENTRADAS JUEGOS ]]-MASTERG26[[#This Row],[SALIDAS JUEGOS]])</f>
        <v>10</v>
      </c>
      <c r="D5" s="1" t="n">
        <f aca="false">(MASTERG26[[#This Row],[CANTIDAD INICIAL BARRAS]]+MASTERG26[[#This Row],[ENTRADAS BARRAS]]-MASTERG26[[#This Row],[SALIDA BARRAS]])</f>
        <v>6</v>
      </c>
      <c r="E5" s="23" t="n">
        <v>220</v>
      </c>
      <c r="F5" s="34" t="n">
        <v>87</v>
      </c>
      <c r="G5" s="1" t="n">
        <v>8</v>
      </c>
      <c r="H5" s="1" t="n">
        <f aca="false">(MASTERG26[[#This Row],["J" PRECIO VENTA ]]/MASTERG26[[#This Row],[BARRAS]])</f>
        <v>27.5</v>
      </c>
      <c r="I5" s="1" t="n">
        <f aca="false">(MASTERG26[[#This Row],["J"PRECIO COMPRA ]]/MASTERG26[[#This Row],[BARRAS]])</f>
        <v>10.875</v>
      </c>
      <c r="J5" s="1" t="n">
        <f aca="false">SUMIF(entradas26[CODIGO],MASTERG26[[#This Row],[CODIGO ]],entradas26[[CAN JUEGOS ]])</f>
        <v>0</v>
      </c>
      <c r="K5" s="1" t="n">
        <f aca="false">SUMIF(entradas26[CODIGO],MASTERG26[[#This Row],[CODIGO ]],entradas26[CAN BARRAS])</f>
        <v>0</v>
      </c>
      <c r="L5" s="1" t="n">
        <f aca="false">SUMIF(salidas26[[CODIGO ]],MASTERG26[[#This Row],[CODIGO ]],salidas26[[CANT JUEGOS ]])</f>
        <v>1</v>
      </c>
      <c r="M5" s="1" t="n">
        <f aca="false">SUMIF(salidas26[[CODIGO ]],MASTERG26[[#This Row],[CODIGO ]],salidas26[CANT BARRAS])</f>
        <v>0</v>
      </c>
      <c r="N5" s="1" t="n">
        <f aca="false">(MASTERG26[[#This Row],["J"PRECIO COMPRA ]]*MASTERG26[[#This Row],[STOCK JUEGOS]])</f>
        <v>870</v>
      </c>
      <c r="O5" s="1" t="n">
        <f aca="false">(MASTERG26[[#This Row],["J" PRECIO VENTA ]]*MASTERG26[[#This Row],[STOCK JUEGOS]])</f>
        <v>2200</v>
      </c>
      <c r="P5" s="1" t="n">
        <f aca="false">(MASTERG26[[#This Row],["B"PRECIO COMPRA]]*MASTERG26[[#This Row],[STOCK BARRAS]])</f>
        <v>65.25</v>
      </c>
      <c r="Q5" s="1" t="n">
        <f aca="false">(MASTERG26[[#This Row],["B"PRECIO VENTA ]]*MASTERG26[[#This Row],[STOCK BARRAS]])</f>
        <v>165</v>
      </c>
      <c r="R5" s="18" t="n">
        <v>11</v>
      </c>
      <c r="S5" s="18" t="n">
        <v>6</v>
      </c>
    </row>
    <row r="6" customFormat="false" ht="15" hidden="false" customHeight="false" outlineLevel="0" collapsed="false">
      <c r="A6" s="1" t="n">
        <v>6019</v>
      </c>
      <c r="B6" s="15" t="s">
        <v>423</v>
      </c>
      <c r="C6" s="1" t="n">
        <f aca="false">(MASTERG26[[#This Row],[CANTIDAD INICIAL JUEGO ]]+MASTERG26[[#This Row],[ENTRADAS JUEGOS ]]-MASTERG26[[#This Row],[SALIDAS JUEGOS]])</f>
        <v>11</v>
      </c>
      <c r="D6" s="1" t="n">
        <f aca="false">(MASTERG26[[#This Row],[CANTIDAD INICIAL BARRAS]]+MASTERG26[[#This Row],[ENTRADAS BARRAS]]-MASTERG26[[#This Row],[SALIDA BARRAS]])</f>
        <v>0</v>
      </c>
      <c r="E6" s="23" t="n">
        <v>300</v>
      </c>
      <c r="F6" s="1" t="n">
        <v>108</v>
      </c>
      <c r="G6" s="1" t="n">
        <v>8</v>
      </c>
      <c r="H6" s="1" t="n">
        <f aca="false">(MASTERG26[[#This Row],["J" PRECIO VENTA ]]/MASTERG26[[#This Row],[BARRAS]])</f>
        <v>37.5</v>
      </c>
      <c r="I6" s="1" t="n">
        <f aca="false">(MASTERG26[[#This Row],["J"PRECIO COMPRA ]]/MASTERG26[[#This Row],[BARRAS]])</f>
        <v>13.5</v>
      </c>
      <c r="J6" s="1" t="n">
        <f aca="false">SUMIF(entradas26[CODIGO],MASTERG26[[#This Row],[CODIGO ]],entradas26[[CAN JUEGOS ]])</f>
        <v>0</v>
      </c>
      <c r="K6" s="1" t="n">
        <f aca="false">SUMIF(entradas26[CODIGO],MASTERG26[[#This Row],[CODIGO ]],entradas26[CAN BARRAS])</f>
        <v>0</v>
      </c>
      <c r="L6" s="1" t="n">
        <f aca="false">SUMIF(salidas26[[CODIGO ]],MASTERG26[[#This Row],[CODIGO ]],salidas26[[CANT JUEGOS ]])</f>
        <v>0</v>
      </c>
      <c r="M6" s="1" t="n">
        <f aca="false">SUMIF(salidas26[[CODIGO ]],MASTERG26[[#This Row],[CODIGO ]],salidas26[CANT BARRAS])</f>
        <v>0</v>
      </c>
      <c r="N6" s="1" t="n">
        <f aca="false">(MASTERG26[[#This Row],["J"PRECIO COMPRA ]]*MASTERG26[[#This Row],[STOCK JUEGOS]])</f>
        <v>1188</v>
      </c>
      <c r="O6" s="1" t="n">
        <f aca="false">(MASTERG26[[#This Row],["J" PRECIO VENTA ]]*MASTERG26[[#This Row],[STOCK JUEGOS]])</f>
        <v>3300</v>
      </c>
      <c r="P6" s="1" t="n">
        <f aca="false">(MASTERG26[[#This Row],["B"PRECIO COMPRA]]*MASTERG26[[#This Row],[STOCK BARRAS]])</f>
        <v>0</v>
      </c>
      <c r="Q6" s="1" t="n">
        <f aca="false">(MASTERG26[[#This Row],["B"PRECIO VENTA ]]*MASTERG26[[#This Row],[STOCK BARRAS]])</f>
        <v>0</v>
      </c>
      <c r="R6" s="18" t="n">
        <v>11</v>
      </c>
      <c r="S6" s="18"/>
    </row>
    <row r="7" customFormat="false" ht="15" hidden="false" customHeight="false" outlineLevel="0" collapsed="false">
      <c r="A7" s="1" t="n">
        <v>6028</v>
      </c>
      <c r="B7" s="15" t="s">
        <v>424</v>
      </c>
      <c r="C7" s="1" t="n">
        <f aca="false">(MASTERG26[[#This Row],[CANTIDAD INICIAL JUEGO ]]+MASTERG26[[#This Row],[ENTRADAS JUEGOS ]]-MASTERG26[[#This Row],[SALIDAS JUEGOS]])</f>
        <v>8</v>
      </c>
      <c r="D7" s="1" t="n">
        <f aca="false">(MASTERG26[[#This Row],[CANTIDAD INICIAL BARRAS]]+MASTERG26[[#This Row],[ENTRADAS BARRAS]]-MASTERG26[[#This Row],[SALIDA BARRAS]])</f>
        <v>0</v>
      </c>
      <c r="E7" s="17" t="n">
        <v>320</v>
      </c>
      <c r="F7" s="1" t="n">
        <v>99</v>
      </c>
      <c r="G7" s="1" t="n">
        <v>3</v>
      </c>
      <c r="H7" s="1" t="n">
        <f aca="false">(MASTERG26[[#This Row],["J" PRECIO VENTA ]]/MASTERG26[[#This Row],[BARRAS]])</f>
        <v>106.666666666667</v>
      </c>
      <c r="I7" s="1" t="n">
        <f aca="false">(MASTERG26[[#This Row],["J"PRECIO COMPRA ]]/MASTERG26[[#This Row],[BARRAS]])</f>
        <v>33</v>
      </c>
      <c r="J7" s="1" t="n">
        <f aca="false">SUMIF(entradas26[CODIGO],MASTERG26[[#This Row],[CODIGO ]],entradas26[[CAN JUEGOS ]])</f>
        <v>0</v>
      </c>
      <c r="K7" s="1" t="n">
        <f aca="false">SUMIF(entradas26[CODIGO],MASTERG26[[#This Row],[CODIGO ]],entradas26[CAN BARRAS])</f>
        <v>0</v>
      </c>
      <c r="L7" s="1" t="n">
        <f aca="false">SUMIF(salidas26[[CODIGO ]],MASTERG26[[#This Row],[CODIGO ]],salidas26[[CANT JUEGOS ]])</f>
        <v>0</v>
      </c>
      <c r="M7" s="1" t="n">
        <f aca="false">SUMIF(salidas26[[CODIGO ]],MASTERG26[[#This Row],[CODIGO ]],salidas26[CANT BARRAS])</f>
        <v>0</v>
      </c>
      <c r="N7" s="1" t="n">
        <f aca="false">(MASTERG26[[#This Row],["J"PRECIO COMPRA ]]*MASTERG26[[#This Row],[STOCK JUEGOS]])</f>
        <v>792</v>
      </c>
      <c r="O7" s="1" t="n">
        <f aca="false">(MASTERG26[[#This Row],["J" PRECIO VENTA ]]*MASTERG26[[#This Row],[STOCK JUEGOS]])</f>
        <v>2560</v>
      </c>
      <c r="P7" s="1" t="n">
        <f aca="false">(MASTERG26[[#This Row],["B"PRECIO COMPRA]]*MASTERG26[[#This Row],[STOCK BARRAS]])</f>
        <v>0</v>
      </c>
      <c r="Q7" s="1" t="n">
        <f aca="false">(MASTERG26[[#This Row],["B"PRECIO VENTA ]]*MASTERG26[[#This Row],[STOCK BARRAS]])</f>
        <v>0</v>
      </c>
      <c r="R7" s="18" t="n">
        <v>8</v>
      </c>
      <c r="S7" s="18"/>
    </row>
    <row r="8" customFormat="false" ht="31.3" hidden="false" customHeight="false" outlineLevel="0" collapsed="false">
      <c r="A8" s="1" t="n">
        <v>6029</v>
      </c>
      <c r="B8" s="52" t="s">
        <v>425</v>
      </c>
      <c r="C8" s="1" t="n">
        <f aca="false">(MASTERG26[[#This Row],[CANTIDAD INICIAL JUEGO ]]+MASTERG26[[#This Row],[ENTRADAS JUEGOS ]]-MASTERG26[[#This Row],[SALIDAS JUEGOS]])</f>
        <v>18</v>
      </c>
      <c r="D8" s="1" t="n">
        <f aca="false">(MASTERG26[[#This Row],[CANTIDAD INICIAL BARRAS]]+MASTERG26[[#This Row],[ENTRADAS BARRAS]]-MASTERG26[[#This Row],[SALIDA BARRAS]])</f>
        <v>3</v>
      </c>
      <c r="E8" s="17" t="n">
        <v>300</v>
      </c>
      <c r="F8" s="1" t="n">
        <v>84</v>
      </c>
      <c r="G8" s="1" t="n">
        <v>10</v>
      </c>
      <c r="H8" s="1" t="n">
        <f aca="false">(MASTERG26[[#This Row],["J" PRECIO VENTA ]]/MASTERG26[[#This Row],[BARRAS]])</f>
        <v>30</v>
      </c>
      <c r="I8" s="1" t="n">
        <f aca="false">(MASTERG26[[#This Row],["J"PRECIO COMPRA ]]/MASTERG26[[#This Row],[BARRAS]])</f>
        <v>8.4</v>
      </c>
      <c r="J8" s="1" t="n">
        <f aca="false">SUMIF(entradas26[CODIGO],MASTERG26[[#This Row],[CODIGO ]],entradas26[[CAN JUEGOS ]])</f>
        <v>0</v>
      </c>
      <c r="K8" s="1" t="n">
        <f aca="false">SUMIF(entradas26[CODIGO],MASTERG26[[#This Row],[CODIGO ]],entradas26[CAN BARRAS])</f>
        <v>0</v>
      </c>
      <c r="L8" s="1" t="n">
        <f aca="false">SUMIF(salidas26[[CODIGO ]],MASTERG26[[#This Row],[CODIGO ]],salidas26[[CANT JUEGOS ]])</f>
        <v>0</v>
      </c>
      <c r="M8" s="1" t="n">
        <f aca="false">SUMIF(salidas26[[CODIGO ]],MASTERG26[[#This Row],[CODIGO ]],salidas26[CANT BARRAS])</f>
        <v>2</v>
      </c>
      <c r="N8" s="1" t="n">
        <f aca="false">(MASTERG26[[#This Row],["J"PRECIO COMPRA ]]*MASTERG26[[#This Row],[STOCK JUEGOS]])</f>
        <v>1512</v>
      </c>
      <c r="O8" s="1" t="n">
        <f aca="false">(MASTERG26[[#This Row],["J" PRECIO VENTA ]]*MASTERG26[[#This Row],[STOCK JUEGOS]])</f>
        <v>5400</v>
      </c>
      <c r="P8" s="1" t="n">
        <f aca="false">(MASTERG26[[#This Row],["B"PRECIO COMPRA]]*MASTERG26[[#This Row],[STOCK BARRAS]])</f>
        <v>25.2</v>
      </c>
      <c r="Q8" s="1" t="n">
        <f aca="false">(MASTERG26[[#This Row],["B"PRECIO VENTA ]]*MASTERG26[[#This Row],[STOCK BARRAS]])</f>
        <v>90</v>
      </c>
      <c r="R8" s="18" t="n">
        <v>18</v>
      </c>
      <c r="S8" s="18" t="n">
        <v>5</v>
      </c>
    </row>
  </sheetData>
  <mergeCells count="1">
    <mergeCell ref="A1:U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X44"/>
  <sheetViews>
    <sheetView showFormulas="false" showGridLines="true" showRowColHeaders="true" showZeros="true" rightToLeft="false" tabSelected="false" showOutlineSymbols="true" defaultGridColor="true" view="normal" topLeftCell="A25" colorId="64" zoomScale="91" zoomScaleNormal="91" zoomScalePageLayoutView="100" workbookViewId="0">
      <selection pane="topLeft" activeCell="AA42" activeCellId="0" sqref="AA42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1" width="3.86"/>
    <col collapsed="false" customWidth="true" hidden="false" outlineLevel="0" max="2" min="2" style="1" width="5.71"/>
    <col collapsed="false" customWidth="true" hidden="false" outlineLevel="0" max="3" min="3" style="1" width="38"/>
    <col collapsed="false" customWidth="true" hidden="false" outlineLevel="0" max="7" min="4" style="1" width="8.29"/>
    <col collapsed="false" customWidth="true" hidden="false" outlineLevel="0" max="8" min="8" style="1" width="11.57"/>
    <col collapsed="false" customWidth="true" hidden="true" outlineLevel="0" max="17" min="9" style="1" width="8.29"/>
    <col collapsed="false" customWidth="true" hidden="true" outlineLevel="0" max="18" min="18" style="1" width="10.29"/>
    <col collapsed="false" customWidth="true" hidden="false" outlineLevel="0" max="19" min="19" style="1" width="4.86"/>
    <col collapsed="false" customWidth="true" hidden="false" outlineLevel="0" max="20" min="20" style="1" width="6.43"/>
    <col collapsed="false" customWidth="true" hidden="false" outlineLevel="0" max="21" min="21" style="1" width="12"/>
    <col collapsed="false" customWidth="true" hidden="false" outlineLevel="0" max="22" min="22" style="1" width="10.29"/>
  </cols>
  <sheetData>
    <row r="2" customFormat="false" ht="15" hidden="false" customHeight="false" outlineLevel="0" collapsed="false">
      <c r="B2" s="2" t="s">
        <v>426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5" hidden="false" customHeight="fals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27.75" hidden="false" customHeight="true" outlineLevel="0" collapsed="false">
      <c r="B4" s="3" t="s">
        <v>1</v>
      </c>
      <c r="C4" s="3" t="s">
        <v>2</v>
      </c>
      <c r="D4" s="4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9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8" t="s">
        <v>14</v>
      </c>
      <c r="P4" s="11" t="s">
        <v>15</v>
      </c>
      <c r="Q4" s="8" t="s">
        <v>16</v>
      </c>
      <c r="R4" s="8" t="s">
        <v>17</v>
      </c>
      <c r="S4" s="11" t="s">
        <v>18</v>
      </c>
      <c r="T4" s="12" t="s">
        <v>19</v>
      </c>
      <c r="U4" s="13" t="s">
        <v>20</v>
      </c>
      <c r="V4" s="14" t="s">
        <v>21</v>
      </c>
      <c r="W4" s="15" t="s">
        <v>22</v>
      </c>
      <c r="X4" s="15" t="s">
        <v>137</v>
      </c>
    </row>
    <row r="5" customFormat="false" ht="16.4" hidden="false" customHeight="false" outlineLevel="0" collapsed="false">
      <c r="A5" s="1" t="n">
        <v>1</v>
      </c>
      <c r="B5" s="1" t="n">
        <v>8000</v>
      </c>
      <c r="C5" s="52" t="s">
        <v>427</v>
      </c>
      <c r="D5" s="1" t="n">
        <f aca="false">(chino26[[#This Row],[CANTIDAD INICIAL JUEGO ]]+chino26[[#This Row],[ENTRADAS JUEGOS ]]-chino26[[#This Row],[SALIDAS JUEGOS]])</f>
        <v>50</v>
      </c>
      <c r="E5" s="1" t="n">
        <f aca="false">(chino26[[#This Row],[CANTIDAD INICIAL BARRAS]]+chino26[[#This Row],[ENTRADAS BARRAS]]-chino26[[#This Row],[SALIDA BARRAS]])</f>
        <v>0</v>
      </c>
      <c r="F5" s="23" t="n">
        <v>60</v>
      </c>
      <c r="G5" s="1" t="n">
        <v>21.7</v>
      </c>
      <c r="H5" s="1" t="n">
        <v>2</v>
      </c>
      <c r="I5" s="1" t="n">
        <f aca="false">(chino26[[#This Row],["J" PRECIO VENTA ]]/chino26[[#This Row],[BARRAS]])</f>
        <v>30</v>
      </c>
      <c r="J5" s="1" t="n">
        <f aca="false">(chino26[[#This Row],["J"PRECIO COMPRA ]]/chino26[[#This Row],[BARRAS]])</f>
        <v>10.85</v>
      </c>
      <c r="K5" s="1" t="n">
        <f aca="false">SUMIF(entradas26[CODIGO],chino26[[#This Row],[CODIGO ]],entradas26[[CAN JUEGOS ]])</f>
        <v>0</v>
      </c>
      <c r="L5" s="1" t="n">
        <f aca="false">SUMIF(entradas26[CODIGO],chino26[[#This Row],[CODIGO ]],entradas26[CAN BARRAS])</f>
        <v>2</v>
      </c>
      <c r="M5" s="1" t="n">
        <f aca="false">SUMIF(salidas26[[CODIGO ]],chino26[[#This Row],[CODIGO ]],salidas26[[CANT JUEGOS ]])</f>
        <v>1</v>
      </c>
      <c r="N5" s="1" t="n">
        <f aca="false">SUMIF(salidas26[[CODIGO ]],chino26[[#This Row],[CODIGO ]],salidas26[CANT BARRAS])</f>
        <v>3</v>
      </c>
      <c r="O5" s="1" t="n">
        <f aca="false">(chino26[[#This Row],["J"PRECIO COMPRA ]]*chino26[[#This Row],[STOCK JUEGOS]])</f>
        <v>1085</v>
      </c>
      <c r="P5" s="1" t="n">
        <f aca="false">(chino26[[#This Row],["J" PRECIO VENTA ]]*chino26[[#This Row],[STOCK JUEGOS]])</f>
        <v>3000</v>
      </c>
      <c r="Q5" s="1" t="n">
        <f aca="false">(chino26[[#This Row],["B"PRECIO COMPRA]]*chino26[[#This Row],[STOCK BARRAS]])</f>
        <v>0</v>
      </c>
      <c r="R5" s="1" t="n">
        <f aca="false">(chino26[[#This Row],["B"PRECIO VENTA ]]*chino26[[#This Row],[STOCK BARRAS]])</f>
        <v>0</v>
      </c>
      <c r="S5" s="18" t="n">
        <v>51</v>
      </c>
      <c r="T5" s="18" t="n">
        <v>1</v>
      </c>
    </row>
    <row r="6" customFormat="false" ht="16.4" hidden="false" customHeight="false" outlineLevel="0" collapsed="false">
      <c r="A6" s="1" t="n">
        <v>2</v>
      </c>
      <c r="B6" s="1" t="n">
        <v>8003</v>
      </c>
      <c r="C6" s="52" t="s">
        <v>428</v>
      </c>
      <c r="D6" s="1" t="n">
        <f aca="false">(chino26[[#This Row],[CANTIDAD INICIAL JUEGO ]]+chino26[[#This Row],[ENTRADAS JUEGOS ]]-chino26[[#This Row],[SALIDAS JUEGOS]])</f>
        <v>1</v>
      </c>
      <c r="E6" s="1" t="n">
        <f aca="false">(chino26[[#This Row],[CANTIDAD INICIAL BARRAS]]+chino26[[#This Row],[ENTRADAS BARRAS]]-chino26[[#This Row],[SALIDA BARRAS]])</f>
        <v>0</v>
      </c>
      <c r="F6" s="23" t="n">
        <v>70</v>
      </c>
      <c r="G6" s="1" t="n">
        <v>23.8</v>
      </c>
      <c r="H6" s="1" t="n">
        <v>2</v>
      </c>
      <c r="I6" s="1" t="n">
        <f aca="false">(chino26[[#This Row],["J" PRECIO VENTA ]]/chino26[[#This Row],[BARRAS]])</f>
        <v>35</v>
      </c>
      <c r="J6" s="1" t="n">
        <f aca="false">(chino26[[#This Row],["J"PRECIO COMPRA ]]/chino26[[#This Row],[BARRAS]])</f>
        <v>11.9</v>
      </c>
      <c r="K6" s="1" t="n">
        <f aca="false">SUMIF(entradas26[CODIGO],chino26[[#This Row],[CODIGO ]],entradas26[[CAN JUEGOS ]])</f>
        <v>0</v>
      </c>
      <c r="L6" s="1" t="n">
        <f aca="false">SUMIF(entradas26[CODIGO],chino26[[#This Row],[CODIGO ]],entradas26[CAN BARRAS])</f>
        <v>2</v>
      </c>
      <c r="M6" s="1" t="n">
        <f aca="false">SUMIF(salidas26[[CODIGO ]],chino26[[#This Row],[CODIGO ]],salidas26[[CANT JUEGOS ]])</f>
        <v>6</v>
      </c>
      <c r="N6" s="1" t="n">
        <f aca="false">SUMIF(salidas26[[CODIGO ]],chino26[[#This Row],[CODIGO ]],salidas26[CANT BARRAS])</f>
        <v>3</v>
      </c>
      <c r="O6" s="1" t="n">
        <f aca="false">(chino26[[#This Row],["J"PRECIO COMPRA ]]*chino26[[#This Row],[STOCK JUEGOS]])</f>
        <v>23.8</v>
      </c>
      <c r="P6" s="1" t="n">
        <f aca="false">(chino26[[#This Row],["J" PRECIO VENTA ]]*chino26[[#This Row],[STOCK JUEGOS]])</f>
        <v>70</v>
      </c>
      <c r="Q6" s="1" t="n">
        <f aca="false">(chino26[[#This Row],["B"PRECIO COMPRA]]*chino26[[#This Row],[STOCK BARRAS]])</f>
        <v>0</v>
      </c>
      <c r="R6" s="1" t="n">
        <f aca="false">(chino26[[#This Row],["B"PRECIO VENTA ]]*chino26[[#This Row],[STOCK BARRAS]])</f>
        <v>0</v>
      </c>
      <c r="S6" s="18" t="n">
        <v>7</v>
      </c>
      <c r="T6" s="18" t="n">
        <v>1</v>
      </c>
    </row>
    <row r="7" customFormat="false" ht="16.4" hidden="false" customHeight="false" outlineLevel="0" collapsed="false">
      <c r="A7" s="1" t="n">
        <v>3</v>
      </c>
      <c r="B7" s="1" t="n">
        <v>8006</v>
      </c>
      <c r="C7" s="52" t="s">
        <v>429</v>
      </c>
      <c r="D7" s="1" t="n">
        <f aca="false">(chino26[[#This Row],[CANTIDAD INICIAL JUEGO ]]+chino26[[#This Row],[ENTRADAS JUEGOS ]]-chino26[[#This Row],[SALIDAS JUEGOS]])</f>
        <v>63</v>
      </c>
      <c r="E7" s="1" t="n">
        <f aca="false">(chino26[[#This Row],[CANTIDAD INICIAL BARRAS]]+chino26[[#This Row],[ENTRADAS BARRAS]]-chino26[[#This Row],[SALIDA BARRAS]])</f>
        <v>0</v>
      </c>
      <c r="F7" s="23" t="n">
        <v>80</v>
      </c>
      <c r="G7" s="1" t="n">
        <v>25.2</v>
      </c>
      <c r="H7" s="1" t="n">
        <v>3</v>
      </c>
      <c r="I7" s="1" t="n">
        <f aca="false">(chino26[[#This Row],["J" PRECIO VENTA ]]/chino26[[#This Row],[BARRAS]])</f>
        <v>26.6666666666667</v>
      </c>
      <c r="J7" s="1" t="n">
        <f aca="false">(chino26[[#This Row],["J"PRECIO COMPRA ]]/chino26[[#This Row],[BARRAS]])</f>
        <v>8.4</v>
      </c>
      <c r="K7" s="1" t="n">
        <f aca="false">SUMIF(entradas26[CODIGO],chino26[[#This Row],[CODIGO ]],entradas26[[CAN JUEGOS ]])</f>
        <v>0</v>
      </c>
      <c r="L7" s="1" t="n">
        <f aca="false">SUMIF(entradas26[CODIGO],chino26[[#This Row],[CODIGO ]],entradas26[CAN BARRAS])</f>
        <v>0</v>
      </c>
      <c r="M7" s="1" t="n">
        <f aca="false">SUMIF(salidas26[[CODIGO ]],chino26[[#This Row],[CODIGO ]],salidas26[[CANT JUEGOS ]])</f>
        <v>1</v>
      </c>
      <c r="N7" s="1" t="n">
        <f aca="false">SUMIF(salidas26[[CODIGO ]],chino26[[#This Row],[CODIGO ]],salidas26[CANT BARRAS])</f>
        <v>0</v>
      </c>
      <c r="O7" s="1" t="n">
        <f aca="false">(chino26[[#This Row],["J"PRECIO COMPRA ]]*chino26[[#This Row],[STOCK JUEGOS]])</f>
        <v>1587.6</v>
      </c>
      <c r="P7" s="1" t="n">
        <f aca="false">(chino26[[#This Row],["J" PRECIO VENTA ]]*chino26[[#This Row],[STOCK JUEGOS]])</f>
        <v>5040</v>
      </c>
      <c r="Q7" s="1" t="n">
        <f aca="false">(chino26[[#This Row],["B"PRECIO COMPRA]]*chino26[[#This Row],[STOCK BARRAS]])</f>
        <v>0</v>
      </c>
      <c r="R7" s="1" t="n">
        <f aca="false">(chino26[[#This Row],["B"PRECIO VENTA ]]*chino26[[#This Row],[STOCK BARRAS]])</f>
        <v>0</v>
      </c>
      <c r="S7" s="18" t="n">
        <v>64</v>
      </c>
      <c r="T7" s="18"/>
    </row>
    <row r="8" customFormat="false" ht="28.35" hidden="false" customHeight="false" outlineLevel="0" collapsed="false">
      <c r="A8" s="1" t="n">
        <v>4</v>
      </c>
      <c r="B8" s="67" t="n">
        <v>8012</v>
      </c>
      <c r="C8" s="68" t="s">
        <v>430</v>
      </c>
      <c r="D8" s="1" t="n">
        <f aca="false">(chino26[[#This Row],[CANTIDAD INICIAL JUEGO ]]+chino26[[#This Row],[ENTRADAS JUEGOS ]]-chino26[[#This Row],[SALIDAS JUEGOS]])</f>
        <v>0</v>
      </c>
      <c r="E8" s="1" t="n">
        <f aca="false">(chino26[[#This Row],[CANTIDAD INICIAL BARRAS]]+chino26[[#This Row],[ENTRADAS BARRAS]]-chino26[[#This Row],[SALIDA BARRAS]])</f>
        <v>0</v>
      </c>
      <c r="F8" s="23" t="n">
        <v>100</v>
      </c>
      <c r="G8" s="1" t="n">
        <v>51</v>
      </c>
      <c r="H8" s="1" t="n">
        <v>2</v>
      </c>
      <c r="I8" s="1" t="n">
        <f aca="false">(chino26[[#This Row],["J" PRECIO VENTA ]]/chino26[[#This Row],[BARRAS]])</f>
        <v>50</v>
      </c>
      <c r="J8" s="1" t="n">
        <f aca="false">(chino26[[#This Row],["J"PRECIO COMPRA ]]/chino26[[#This Row],[BARRAS]])</f>
        <v>25.5</v>
      </c>
      <c r="K8" s="1" t="n">
        <f aca="false">SUMIF(entradas26[CODIGO],chino26[[#This Row],[CODIGO ]],entradas26[[CAN JUEGOS ]])</f>
        <v>0</v>
      </c>
      <c r="L8" s="1" t="n">
        <f aca="false">SUMIF(entradas26[CODIGO],chino26[[#This Row],[CODIGO ]],entradas26[CAN BARRAS])</f>
        <v>0</v>
      </c>
      <c r="M8" s="1" t="n">
        <f aca="false">SUMIF(salidas26[[CODIGO ]],chino26[[#This Row],[CODIGO ]],salidas26[[CANT JUEGOS ]])</f>
        <v>8</v>
      </c>
      <c r="N8" s="1" t="n">
        <f aca="false">SUMIF(salidas26[[CODIGO ]],chino26[[#This Row],[CODIGO ]],salidas26[CANT BARRAS])</f>
        <v>1</v>
      </c>
      <c r="O8" s="1" t="n">
        <f aca="false">(chino26[[#This Row],["J"PRECIO COMPRA ]]*chino26[[#This Row],[STOCK JUEGOS]])</f>
        <v>0</v>
      </c>
      <c r="P8" s="1" t="n">
        <f aca="false">(chino26[[#This Row],["J" PRECIO VENTA ]]*chino26[[#This Row],[STOCK JUEGOS]])</f>
        <v>0</v>
      </c>
      <c r="Q8" s="1" t="n">
        <f aca="false">(chino26[[#This Row],["B"PRECIO COMPRA]]*chino26[[#This Row],[STOCK BARRAS]])</f>
        <v>0</v>
      </c>
      <c r="R8" s="1" t="n">
        <f aca="false">(chino26[[#This Row],["B"PRECIO VENTA ]]*chino26[[#This Row],[STOCK BARRAS]])</f>
        <v>0</v>
      </c>
      <c r="S8" s="18" t="n">
        <v>8</v>
      </c>
      <c r="T8" s="18" t="n">
        <v>1</v>
      </c>
    </row>
    <row r="9" customFormat="false" ht="16.4" hidden="false" customHeight="false" outlineLevel="0" collapsed="false">
      <c r="A9" s="1" t="n">
        <v>5</v>
      </c>
      <c r="B9" s="67" t="n">
        <v>8013</v>
      </c>
      <c r="C9" s="52" t="s">
        <v>431</v>
      </c>
      <c r="D9" s="1" t="n">
        <f aca="false">(chino26[[#This Row],[CANTIDAD INICIAL JUEGO ]]+chino26[[#This Row],[ENTRADAS JUEGOS ]]-chino26[[#This Row],[SALIDAS JUEGOS]])</f>
        <v>10</v>
      </c>
      <c r="E9" s="1" t="n">
        <f aca="false">(chino26[[#This Row],[CANTIDAD INICIAL BARRAS]]+chino26[[#This Row],[ENTRADAS BARRAS]]-chino26[[#This Row],[SALIDA BARRAS]])</f>
        <v>2</v>
      </c>
      <c r="F9" s="23" t="n">
        <v>100</v>
      </c>
      <c r="G9" s="34" t="n">
        <v>34</v>
      </c>
      <c r="H9" s="1" t="n">
        <v>3</v>
      </c>
      <c r="I9" s="1" t="n">
        <f aca="false">(chino26[[#This Row],["J" PRECIO VENTA ]]/chino26[[#This Row],[BARRAS]])</f>
        <v>33.3333333333333</v>
      </c>
      <c r="J9" s="1" t="n">
        <f aca="false">(chino26[[#This Row],["J"PRECIO COMPRA ]]/chino26[[#This Row],[BARRAS]])</f>
        <v>11.3333333333333</v>
      </c>
      <c r="K9" s="1" t="n">
        <f aca="false">SUMIF(entradas26[CODIGO],chino26[[#This Row],[CODIGO ]],entradas26[[CAN JUEGOS ]])</f>
        <v>3</v>
      </c>
      <c r="L9" s="1" t="n">
        <f aca="false">SUMIF(entradas26[CODIGO],chino26[[#This Row],[CODIGO ]],entradas26[CAN BARRAS])</f>
        <v>3</v>
      </c>
      <c r="M9" s="1" t="n">
        <f aca="false">SUMIF(salidas26[[CODIGO ]],chino26[[#This Row],[CODIGO ]],salidas26[[CANT JUEGOS ]])</f>
        <v>4</v>
      </c>
      <c r="N9" s="1" t="n">
        <f aca="false">SUMIF(salidas26[[CODIGO ]],chino26[[#This Row],[CODIGO ]],salidas26[CANT BARRAS])</f>
        <v>1</v>
      </c>
      <c r="O9" s="1" t="n">
        <f aca="false">(chino26[[#This Row],["J"PRECIO COMPRA ]]*chino26[[#This Row],[STOCK JUEGOS]])</f>
        <v>340</v>
      </c>
      <c r="P9" s="1" t="n">
        <f aca="false">(chino26[[#This Row],["J" PRECIO VENTA ]]*chino26[[#This Row],[STOCK JUEGOS]])</f>
        <v>1000</v>
      </c>
      <c r="Q9" s="1" t="n">
        <f aca="false">(chino26[[#This Row],["B"PRECIO COMPRA]]*chino26[[#This Row],[STOCK BARRAS]])</f>
        <v>22.6666666666667</v>
      </c>
      <c r="R9" s="1" t="n">
        <f aca="false">(chino26[[#This Row],["B"PRECIO VENTA ]]*chino26[[#This Row],[STOCK BARRAS]])</f>
        <v>66.6666666666667</v>
      </c>
      <c r="S9" s="18" t="n">
        <v>11</v>
      </c>
      <c r="T9" s="18"/>
    </row>
    <row r="10" customFormat="false" ht="16.4" hidden="false" customHeight="false" outlineLevel="0" collapsed="false">
      <c r="A10" s="1" t="n">
        <v>6</v>
      </c>
      <c r="B10" s="67" t="n">
        <v>8009</v>
      </c>
      <c r="C10" s="52" t="s">
        <v>432</v>
      </c>
      <c r="D10" s="1" t="n">
        <f aca="false">(chino26[[#This Row],[CANTIDAD INICIAL JUEGO ]]+chino26[[#This Row],[ENTRADAS JUEGOS ]]-chino26[[#This Row],[SALIDAS JUEGOS]])</f>
        <v>19</v>
      </c>
      <c r="E10" s="1" t="n">
        <f aca="false">(chino26[[#This Row],[CANTIDAD INICIAL BARRAS]]+chino26[[#This Row],[ENTRADAS BARRAS]]-chino26[[#This Row],[SALIDA BARRAS]])</f>
        <v>0</v>
      </c>
      <c r="F10" s="23" t="n">
        <v>90</v>
      </c>
      <c r="G10" s="1" t="n">
        <v>40</v>
      </c>
      <c r="H10" s="1" t="n">
        <v>5</v>
      </c>
      <c r="I10" s="1" t="n">
        <f aca="false">(chino26[[#This Row],["J" PRECIO VENTA ]]/chino26[[#This Row],[BARRAS]])</f>
        <v>18</v>
      </c>
      <c r="J10" s="1" t="n">
        <f aca="false">(chino26[[#This Row],["J"PRECIO COMPRA ]]/chino26[[#This Row],[BARRAS]])</f>
        <v>8</v>
      </c>
      <c r="K10" s="1" t="n">
        <f aca="false">SUMIF(entradas26[CODIGO],chino26[[#This Row],[CODIGO ]],entradas26[[CAN JUEGOS ]])</f>
        <v>0</v>
      </c>
      <c r="L10" s="1" t="n">
        <f aca="false">SUMIF(entradas26[CODIGO],chino26[[#This Row],[CODIGO ]],entradas26[CAN BARRAS])</f>
        <v>0</v>
      </c>
      <c r="M10" s="1" t="n">
        <f aca="false">SUMIF(salidas26[[CODIGO ]],chino26[[#This Row],[CODIGO ]],salidas26[[CANT JUEGOS ]])</f>
        <v>0</v>
      </c>
      <c r="N10" s="1" t="n">
        <f aca="false">SUMIF(salidas26[[CODIGO ]],chino26[[#This Row],[CODIGO ]],salidas26[CANT BARRAS])</f>
        <v>0</v>
      </c>
      <c r="O10" s="1" t="n">
        <f aca="false">(chino26[[#This Row],["J"PRECIO COMPRA ]]*chino26[[#This Row],[STOCK JUEGOS]])</f>
        <v>760</v>
      </c>
      <c r="P10" s="1" t="n">
        <f aca="false">(chino26[[#This Row],["J" PRECIO VENTA ]]*chino26[[#This Row],[STOCK JUEGOS]])</f>
        <v>1710</v>
      </c>
      <c r="Q10" s="1" t="n">
        <f aca="false">(chino26[[#This Row],["B"PRECIO COMPRA]]*chino26[[#This Row],[STOCK BARRAS]])</f>
        <v>0</v>
      </c>
      <c r="R10" s="1" t="n">
        <f aca="false">(chino26[[#This Row],["B"PRECIO VENTA ]]*chino26[[#This Row],[STOCK BARRAS]])</f>
        <v>0</v>
      </c>
      <c r="S10" s="18" t="n">
        <v>19</v>
      </c>
      <c r="T10" s="18"/>
      <c r="V10" s="1" t="s">
        <v>433</v>
      </c>
    </row>
    <row r="11" customFormat="false" ht="15" hidden="false" customHeight="false" outlineLevel="0" collapsed="false">
      <c r="A11" s="1" t="n">
        <v>7</v>
      </c>
      <c r="B11" s="67" t="n">
        <v>4001</v>
      </c>
      <c r="C11" s="69" t="s">
        <v>434</v>
      </c>
      <c r="D11" s="1" t="n">
        <f aca="false">(chino26[[#This Row],[CANTIDAD INICIAL JUEGO ]]+chino26[[#This Row],[ENTRADAS JUEGOS ]]-chino26[[#This Row],[SALIDAS JUEGOS]])</f>
        <v>4</v>
      </c>
      <c r="E11" s="1" t="n">
        <f aca="false">(chino26[[#This Row],[CANTIDAD INICIAL BARRAS]]+chino26[[#This Row],[ENTRADAS BARRAS]]-chino26[[#This Row],[SALIDA BARRAS]])</f>
        <v>1</v>
      </c>
      <c r="F11" s="23" t="n">
        <v>60</v>
      </c>
      <c r="G11" s="1" t="n">
        <v>15.5</v>
      </c>
      <c r="H11" s="1" t="n">
        <v>2</v>
      </c>
      <c r="I11" s="1" t="n">
        <f aca="false">(chino26[[#This Row],["J" PRECIO VENTA ]]/chino26[[#This Row],[BARRAS]])</f>
        <v>30</v>
      </c>
      <c r="J11" s="1" t="n">
        <f aca="false">(chino26[[#This Row],["J"PRECIO COMPRA ]]/chino26[[#This Row],[BARRAS]])</f>
        <v>7.75</v>
      </c>
      <c r="K11" s="1" t="n">
        <f aca="false">SUMIF(entradas26[CODIGO],chino26[[#This Row],[CODIGO ]],entradas26[[CAN JUEGOS ]])</f>
        <v>0</v>
      </c>
      <c r="L11" s="1" t="n">
        <f aca="false">SUMIF(entradas26[CODIGO],chino26[[#This Row],[CODIGO ]],entradas26[CAN BARRAS])</f>
        <v>0</v>
      </c>
      <c r="M11" s="1" t="n">
        <f aca="false">SUMIF(salidas26[[CODIGO ]],chino26[[#This Row],[CODIGO ]],salidas26[[CANT JUEGOS ]])</f>
        <v>2</v>
      </c>
      <c r="N11" s="1" t="n">
        <f aca="false">SUMIF(salidas26[[CODIGO ]],chino26[[#This Row],[CODIGO ]],salidas26[CANT BARRAS])</f>
        <v>0</v>
      </c>
      <c r="O11" s="1" t="n">
        <f aca="false">(chino26[[#This Row],["J"PRECIO COMPRA ]]*chino26[[#This Row],[STOCK JUEGOS]])</f>
        <v>62</v>
      </c>
      <c r="P11" s="1" t="n">
        <f aca="false">(chino26[[#This Row],["J" PRECIO VENTA ]]*chino26[[#This Row],[STOCK JUEGOS]])</f>
        <v>240</v>
      </c>
      <c r="Q11" s="1" t="n">
        <f aca="false">(chino26[[#This Row],["B"PRECIO COMPRA]]*chino26[[#This Row],[STOCK BARRAS]])</f>
        <v>7.75</v>
      </c>
      <c r="R11" s="1" t="n">
        <f aca="false">(chino26[[#This Row],["B"PRECIO VENTA ]]*chino26[[#This Row],[STOCK BARRAS]])</f>
        <v>30</v>
      </c>
      <c r="S11" s="18" t="n">
        <v>6</v>
      </c>
      <c r="T11" s="18" t="n">
        <v>1</v>
      </c>
      <c r="U11" s="1" t="n">
        <v>1.11</v>
      </c>
      <c r="W11" s="0" t="s">
        <v>435</v>
      </c>
    </row>
    <row r="12" customFormat="false" ht="16.4" hidden="false" customHeight="false" outlineLevel="0" collapsed="false">
      <c r="A12" s="1" t="n">
        <v>8</v>
      </c>
      <c r="B12" s="1" t="n">
        <v>8007</v>
      </c>
      <c r="C12" s="52" t="s">
        <v>436</v>
      </c>
      <c r="D12" s="1" t="n">
        <f aca="false">(chino26[[#This Row],[CANTIDAD INICIAL JUEGO ]]+chino26[[#This Row],[ENTRADAS JUEGOS ]]-chino26[[#This Row],[SALIDAS JUEGOS]])</f>
        <v>16</v>
      </c>
      <c r="E12" s="1" t="n">
        <f aca="false">(chino26[[#This Row],[CANTIDAD INICIAL BARRAS]]+chino26[[#This Row],[ENTRADAS BARRAS]]-chino26[[#This Row],[SALIDA BARRAS]])</f>
        <v>0</v>
      </c>
      <c r="F12" s="23" t="n">
        <v>120</v>
      </c>
      <c r="G12" s="1" t="n">
        <v>43.4</v>
      </c>
      <c r="H12" s="1" t="n">
        <v>3</v>
      </c>
      <c r="I12" s="1" t="n">
        <f aca="false">(chino26[[#This Row],["J" PRECIO VENTA ]]/chino26[[#This Row],[BARRAS]])</f>
        <v>40</v>
      </c>
      <c r="J12" s="1" t="n">
        <f aca="false">(chino26[[#This Row],["J"PRECIO COMPRA ]]/chino26[[#This Row],[BARRAS]])</f>
        <v>14.4666666666667</v>
      </c>
      <c r="K12" s="1" t="n">
        <f aca="false">SUMIF(entradas26[CODIGO],chino26[[#This Row],[CODIGO ]],entradas26[[CAN JUEGOS ]])</f>
        <v>0</v>
      </c>
      <c r="L12" s="1" t="n">
        <f aca="false">SUMIF(entradas26[CODIGO],chino26[[#This Row],[CODIGO ]],entradas26[CAN BARRAS])</f>
        <v>0</v>
      </c>
      <c r="M12" s="1" t="n">
        <f aca="false">SUMIF(salidas26[[CODIGO ]],chino26[[#This Row],[CODIGO ]],salidas26[[CANT JUEGOS ]])</f>
        <v>0</v>
      </c>
      <c r="N12" s="1" t="n">
        <f aca="false">SUMIF(salidas26[[CODIGO ]],chino26[[#This Row],[CODIGO ]],salidas26[CANT BARRAS])</f>
        <v>0</v>
      </c>
      <c r="O12" s="1" t="n">
        <f aca="false">(chino26[[#This Row],["J"PRECIO COMPRA ]]*chino26[[#This Row],[STOCK JUEGOS]])</f>
        <v>694.4</v>
      </c>
      <c r="P12" s="1" t="n">
        <f aca="false">(chino26[[#This Row],["J" PRECIO VENTA ]]*chino26[[#This Row],[STOCK JUEGOS]])</f>
        <v>1920</v>
      </c>
      <c r="Q12" s="1" t="n">
        <f aca="false">(chino26[[#This Row],["B"PRECIO COMPRA]]*chino26[[#This Row],[STOCK BARRAS]])</f>
        <v>0</v>
      </c>
      <c r="R12" s="1" t="n">
        <f aca="false">(chino26[[#This Row],["B"PRECIO VENTA ]]*chino26[[#This Row],[STOCK BARRAS]])</f>
        <v>0</v>
      </c>
      <c r="S12" s="18" t="n">
        <v>16</v>
      </c>
      <c r="T12" s="18"/>
    </row>
    <row r="13" customFormat="false" ht="16.4" hidden="false" customHeight="false" outlineLevel="0" collapsed="false">
      <c r="B13" s="67" t="n">
        <v>8024</v>
      </c>
      <c r="C13" s="52" t="s">
        <v>437</v>
      </c>
      <c r="D13" s="1" t="n">
        <f aca="false">(chino26[[#This Row],[CANTIDAD INICIAL JUEGO ]]+chino26[[#This Row],[ENTRADAS JUEGOS ]]-chino26[[#This Row],[SALIDAS JUEGOS]])</f>
        <v>7</v>
      </c>
      <c r="E13" s="1" t="n">
        <f aca="false">(chino26[[#This Row],[CANTIDAD INICIAL BARRAS]]+chino26[[#This Row],[ENTRADAS BARRAS]]-chino26[[#This Row],[SALIDA BARRAS]])</f>
        <v>0</v>
      </c>
      <c r="F13" s="23" t="n">
        <v>150</v>
      </c>
      <c r="G13" s="36" t="n">
        <v>39</v>
      </c>
      <c r="H13" s="1" t="n">
        <v>10</v>
      </c>
      <c r="I13" s="1" t="n">
        <f aca="false">(chino26[[#This Row],["J" PRECIO VENTA ]]/chino26[[#This Row],[BARRAS]])</f>
        <v>15</v>
      </c>
      <c r="J13" s="1" t="n">
        <f aca="false">(chino26[[#This Row],["J"PRECIO COMPRA ]]/chino26[[#This Row],[BARRAS]])</f>
        <v>3.9</v>
      </c>
      <c r="K13" s="1" t="n">
        <f aca="false">SUMIF(entradas26[CODIGO],chino26[[#This Row],[CODIGO ]],entradas26[[CAN JUEGOS ]])</f>
        <v>0</v>
      </c>
      <c r="L13" s="1" t="n">
        <f aca="false">SUMIF(entradas26[CODIGO],chino26[[#This Row],[CODIGO ]],entradas26[CAN BARRAS])</f>
        <v>0</v>
      </c>
      <c r="M13" s="1" t="n">
        <f aca="false">SUMIF(salidas26[[CODIGO ]],chino26[[#This Row],[CODIGO ]],salidas26[[CANT JUEGOS ]])</f>
        <v>2</v>
      </c>
      <c r="N13" s="1" t="n">
        <f aca="false">SUMIF(salidas26[[CODIGO ]],chino26[[#This Row],[CODIGO ]],salidas26[CANT BARRAS])</f>
        <v>0</v>
      </c>
      <c r="O13" s="1" t="n">
        <f aca="false">(chino26[[#This Row],["J"PRECIO COMPRA ]]*chino26[[#This Row],[STOCK JUEGOS]])</f>
        <v>273</v>
      </c>
      <c r="P13" s="1" t="n">
        <f aca="false">(chino26[[#This Row],["J" PRECIO VENTA ]]*chino26[[#This Row],[STOCK JUEGOS]])</f>
        <v>1050</v>
      </c>
      <c r="Q13" s="1" t="n">
        <f aca="false">(chino26[[#This Row],["B"PRECIO COMPRA]]*chino26[[#This Row],[STOCK BARRAS]])</f>
        <v>0</v>
      </c>
      <c r="R13" s="1" t="n">
        <f aca="false">(chino26[[#This Row],["B"PRECIO VENTA ]]*chino26[[#This Row],[STOCK BARRAS]])</f>
        <v>0</v>
      </c>
      <c r="S13" s="18" t="n">
        <v>9</v>
      </c>
      <c r="T13" s="18"/>
    </row>
    <row r="14" customFormat="false" ht="16.4" hidden="false" customHeight="false" outlineLevel="0" collapsed="false">
      <c r="A14" s="1" t="n">
        <v>9</v>
      </c>
      <c r="B14" s="67" t="n">
        <v>8025</v>
      </c>
      <c r="C14" s="52" t="s">
        <v>438</v>
      </c>
      <c r="D14" s="1" t="n">
        <f aca="false">(chino26[[#This Row],[CANTIDAD INICIAL JUEGO ]]+chino26[[#This Row],[ENTRADAS JUEGOS ]]-chino26[[#This Row],[SALIDAS JUEGOS]])</f>
        <v>10</v>
      </c>
      <c r="E14" s="1" t="n">
        <f aca="false">(chino26[[#This Row],[CANTIDAD INICIAL BARRAS]]+chino26[[#This Row],[ENTRADAS BARRAS]]-chino26[[#This Row],[SALIDA BARRAS]])</f>
        <v>2</v>
      </c>
      <c r="F14" s="23" t="n">
        <v>200</v>
      </c>
      <c r="G14" s="1" t="n">
        <v>90</v>
      </c>
      <c r="H14" s="1" t="n">
        <v>3</v>
      </c>
      <c r="I14" s="1" t="n">
        <f aca="false">(chino26[[#This Row],["J" PRECIO VENTA ]]/chino26[[#This Row],[BARRAS]])</f>
        <v>66.6666666666667</v>
      </c>
      <c r="J14" s="1" t="n">
        <f aca="false">(chino26[[#This Row],["J"PRECIO COMPRA ]]/chino26[[#This Row],[BARRAS]])</f>
        <v>30</v>
      </c>
      <c r="K14" s="1" t="n">
        <f aca="false">SUMIF(entradas26[CODIGO],chino26[[#This Row],[CODIGO ]],entradas26[[CAN JUEGOS ]])</f>
        <v>0</v>
      </c>
      <c r="L14" s="1" t="n">
        <f aca="false">SUMIF(entradas26[CODIGO],chino26[[#This Row],[CODIGO ]],entradas26[CAN BARRAS])</f>
        <v>0</v>
      </c>
      <c r="M14" s="1" t="n">
        <f aca="false">SUMIF(salidas26[[CODIGO ]],chino26[[#This Row],[CODIGO ]],salidas26[[CANT JUEGOS ]])</f>
        <v>1</v>
      </c>
      <c r="N14" s="1" t="n">
        <f aca="false">SUMIF(salidas26[[CODIGO ]],chino26[[#This Row],[CODIGO ]],salidas26[CANT BARRAS])</f>
        <v>0</v>
      </c>
      <c r="O14" s="1" t="n">
        <f aca="false">(chino26[[#This Row],["J"PRECIO COMPRA ]]*chino26[[#This Row],[STOCK JUEGOS]])</f>
        <v>900</v>
      </c>
      <c r="P14" s="1" t="n">
        <f aca="false">(chino26[[#This Row],["J" PRECIO VENTA ]]*chino26[[#This Row],[STOCK JUEGOS]])</f>
        <v>2000</v>
      </c>
      <c r="Q14" s="1" t="n">
        <f aca="false">(chino26[[#This Row],["B"PRECIO COMPRA]]*chino26[[#This Row],[STOCK BARRAS]])</f>
        <v>60</v>
      </c>
      <c r="R14" s="1" t="n">
        <f aca="false">(chino26[[#This Row],["B"PRECIO VENTA ]]*chino26[[#This Row],[STOCK BARRAS]])</f>
        <v>133.333333333333</v>
      </c>
      <c r="S14" s="18" t="n">
        <v>11</v>
      </c>
      <c r="T14" s="18" t="n">
        <v>2</v>
      </c>
    </row>
    <row r="15" customFormat="false" ht="16.4" hidden="false" customHeight="false" outlineLevel="0" collapsed="false">
      <c r="A15" s="1" t="n">
        <v>10</v>
      </c>
      <c r="B15" s="1" t="n">
        <v>8032</v>
      </c>
      <c r="C15" s="52" t="s">
        <v>439</v>
      </c>
      <c r="D15" s="1" t="n">
        <f aca="false">(chino26[[#This Row],[CANTIDAD INICIAL JUEGO ]]+chino26[[#This Row],[ENTRADAS JUEGOS ]]-chino26[[#This Row],[SALIDAS JUEGOS]])</f>
        <v>2</v>
      </c>
      <c r="E15" s="1" t="n">
        <f aca="false">(chino26[[#This Row],[CANTIDAD INICIAL BARRAS]]+chino26[[#This Row],[ENTRADAS BARRAS]]-chino26[[#This Row],[SALIDA BARRAS]])</f>
        <v>2</v>
      </c>
      <c r="F15" s="23" t="n">
        <v>180</v>
      </c>
      <c r="G15" s="34" t="n">
        <v>127</v>
      </c>
      <c r="H15" s="1" t="n">
        <v>2</v>
      </c>
      <c r="I15" s="1" t="n">
        <f aca="false">(chino26[[#This Row],["J" PRECIO VENTA ]]/chino26[[#This Row],[BARRAS]])</f>
        <v>90</v>
      </c>
      <c r="J15" s="1" t="n">
        <f aca="false">(chino26[[#This Row],["J"PRECIO COMPRA ]]/chino26[[#This Row],[BARRAS]])</f>
        <v>63.5</v>
      </c>
      <c r="K15" s="1" t="n">
        <f aca="false">SUMIF(entradas26[CODIGO],chino26[[#This Row],[CODIGO ]],entradas26[[CAN JUEGOS ]])</f>
        <v>0</v>
      </c>
      <c r="L15" s="1" t="n">
        <f aca="false">SUMIF(entradas26[CODIGO],chino26[[#This Row],[CODIGO ]],entradas26[CAN BARRAS])</f>
        <v>0</v>
      </c>
      <c r="M15" s="1" t="n">
        <f aca="false">SUMIF(salidas26[[CODIGO ]],chino26[[#This Row],[CODIGO ]],salidas26[[CANT JUEGOS ]])</f>
        <v>0</v>
      </c>
      <c r="N15" s="1" t="n">
        <f aca="false">SUMIF(salidas26[[CODIGO ]],chino26[[#This Row],[CODIGO ]],salidas26[CANT BARRAS])</f>
        <v>0</v>
      </c>
      <c r="O15" s="1" t="n">
        <f aca="false">(chino26[[#This Row],["J"PRECIO COMPRA ]]*chino26[[#This Row],[STOCK JUEGOS]])</f>
        <v>254</v>
      </c>
      <c r="P15" s="1" t="n">
        <f aca="false">(chino26[[#This Row],["J" PRECIO VENTA ]]*chino26[[#This Row],[STOCK JUEGOS]])</f>
        <v>360</v>
      </c>
      <c r="Q15" s="1" t="n">
        <f aca="false">(chino26[[#This Row],["B"PRECIO COMPRA]]*chino26[[#This Row],[STOCK BARRAS]])</f>
        <v>127</v>
      </c>
      <c r="R15" s="1" t="n">
        <f aca="false">(chino26[[#This Row],["B"PRECIO VENTA ]]*chino26[[#This Row],[STOCK BARRAS]])</f>
        <v>180</v>
      </c>
      <c r="S15" s="18" t="n">
        <v>2</v>
      </c>
      <c r="T15" s="18" t="n">
        <v>2</v>
      </c>
    </row>
    <row r="16" customFormat="false" ht="16.4" hidden="false" customHeight="false" outlineLevel="0" collapsed="false">
      <c r="A16" s="1" t="n">
        <v>12</v>
      </c>
      <c r="B16" s="1" t="n">
        <v>8030</v>
      </c>
      <c r="C16" s="52" t="s">
        <v>440</v>
      </c>
      <c r="D16" s="1" t="n">
        <f aca="false">(chino26[[#This Row],[CANTIDAD INICIAL JUEGO ]]+chino26[[#This Row],[ENTRADAS JUEGOS ]]-chino26[[#This Row],[SALIDAS JUEGOS]])</f>
        <v>8</v>
      </c>
      <c r="E16" s="1" t="n">
        <f aca="false">(chino26[[#This Row],[CANTIDAD INICIAL BARRAS]]+chino26[[#This Row],[ENTRADAS BARRAS]]-chino26[[#This Row],[SALIDA BARRAS]])</f>
        <v>0</v>
      </c>
      <c r="F16" s="23" t="n">
        <v>150</v>
      </c>
      <c r="G16" s="1" t="n">
        <v>30</v>
      </c>
      <c r="H16" s="1" t="n">
        <v>3</v>
      </c>
      <c r="I16" s="1" t="n">
        <f aca="false">(chino26[[#This Row],["J" PRECIO VENTA ]]/chino26[[#This Row],[BARRAS]])</f>
        <v>50</v>
      </c>
      <c r="J16" s="1" t="n">
        <f aca="false">(chino26[[#This Row],["J"PRECIO COMPRA ]]/chino26[[#This Row],[BARRAS]])</f>
        <v>10</v>
      </c>
      <c r="K16" s="1" t="n">
        <f aca="false">SUMIF(entradas26[CODIGO],chino26[[#This Row],[CODIGO ]],entradas26[[CAN JUEGOS ]])</f>
        <v>0</v>
      </c>
      <c r="L16" s="1" t="n">
        <f aca="false">SUMIF(entradas26[CODIGO],chino26[[#This Row],[CODIGO ]],entradas26[CAN BARRAS])</f>
        <v>0</v>
      </c>
      <c r="M16" s="1" t="n">
        <f aca="false">SUMIF(salidas26[[CODIGO ]],chino26[[#This Row],[CODIGO ]],salidas26[[CANT JUEGOS ]])</f>
        <v>8</v>
      </c>
      <c r="N16" s="1" t="n">
        <f aca="false">SUMIF(salidas26[[CODIGO ]],chino26[[#This Row],[CODIGO ]],salidas26[CANT BARRAS])</f>
        <v>0</v>
      </c>
      <c r="O16" s="1" t="n">
        <f aca="false">(chino26[[#This Row],["J"PRECIO COMPRA ]]*chino26[[#This Row],[STOCK JUEGOS]])</f>
        <v>240</v>
      </c>
      <c r="P16" s="1" t="n">
        <f aca="false">(chino26[[#This Row],["J" PRECIO VENTA ]]*chino26[[#This Row],[STOCK JUEGOS]])</f>
        <v>1200</v>
      </c>
      <c r="Q16" s="1" t="n">
        <f aca="false">(chino26[[#This Row],["B"PRECIO COMPRA]]*chino26[[#This Row],[STOCK BARRAS]])</f>
        <v>0</v>
      </c>
      <c r="R16" s="1" t="n">
        <f aca="false">(chino26[[#This Row],["B"PRECIO VENTA ]]*chino26[[#This Row],[STOCK BARRAS]])</f>
        <v>0</v>
      </c>
      <c r="S16" s="18" t="n">
        <v>16</v>
      </c>
      <c r="T16" s="18"/>
    </row>
    <row r="17" customFormat="false" ht="15" hidden="false" customHeight="false" outlineLevel="0" collapsed="false">
      <c r="A17" s="1" t="n">
        <v>13</v>
      </c>
      <c r="B17" s="1" t="n">
        <v>8036</v>
      </c>
      <c r="C17" s="58" t="s">
        <v>441</v>
      </c>
      <c r="D17" s="1" t="n">
        <f aca="false">(chino26[[#This Row],[CANTIDAD INICIAL JUEGO ]]+chino26[[#This Row],[ENTRADAS JUEGOS ]]-chino26[[#This Row],[SALIDAS JUEGOS]])</f>
        <v>1</v>
      </c>
      <c r="E17" s="1" t="n">
        <f aca="false">(chino26[[#This Row],[CANTIDAD INICIAL BARRAS]]+chino26[[#This Row],[ENTRADAS BARRAS]]-chino26[[#This Row],[SALIDA BARRAS]])</f>
        <v>0</v>
      </c>
      <c r="F17" s="23" t="n">
        <v>150</v>
      </c>
      <c r="G17" s="1" t="n">
        <v>120</v>
      </c>
      <c r="H17" s="1" t="n">
        <v>12</v>
      </c>
      <c r="I17" s="1" t="n">
        <f aca="false">(chino26[[#This Row],["J" PRECIO VENTA ]]/chino26[[#This Row],[BARRAS]])</f>
        <v>12.5</v>
      </c>
      <c r="J17" s="1" t="n">
        <f aca="false">(chino26[[#This Row],["J"PRECIO COMPRA ]]/chino26[[#This Row],[BARRAS]])</f>
        <v>10</v>
      </c>
      <c r="K17" s="1" t="n">
        <f aca="false">SUMIF(entradas26[CODIGO],chino26[[#This Row],[CODIGO ]],entradas26[[CAN JUEGOS ]])</f>
        <v>0</v>
      </c>
      <c r="L17" s="1" t="n">
        <f aca="false">SUMIF(entradas26[CODIGO],chino26[[#This Row],[CODIGO ]],entradas26[CAN BARRAS])</f>
        <v>0</v>
      </c>
      <c r="M17" s="1" t="n">
        <f aca="false">SUMIF(salidas26[[CODIGO ]],chino26[[#This Row],[CODIGO ]],salidas26[[CANT JUEGOS ]])</f>
        <v>0</v>
      </c>
      <c r="N17" s="1" t="n">
        <f aca="false">SUMIF(salidas26[[CODIGO ]],chino26[[#This Row],[CODIGO ]],salidas26[CANT BARRAS])</f>
        <v>0</v>
      </c>
      <c r="O17" s="1" t="n">
        <f aca="false">(chino26[[#This Row],["J"PRECIO COMPRA ]]*chino26[[#This Row],[STOCK JUEGOS]])</f>
        <v>120</v>
      </c>
      <c r="P17" s="1" t="n">
        <f aca="false">(chino26[[#This Row],["J" PRECIO VENTA ]]*chino26[[#This Row],[STOCK JUEGOS]])</f>
        <v>150</v>
      </c>
      <c r="Q17" s="1" t="n">
        <f aca="false">(chino26[[#This Row],["B"PRECIO COMPRA]]*chino26[[#This Row],[STOCK BARRAS]])</f>
        <v>0</v>
      </c>
      <c r="R17" s="1" t="n">
        <f aca="false">(chino26[[#This Row],["B"PRECIO VENTA ]]*chino26[[#This Row],[STOCK BARRAS]])</f>
        <v>0</v>
      </c>
      <c r="S17" s="18" t="n">
        <v>1</v>
      </c>
      <c r="T17" s="18"/>
    </row>
    <row r="18" customFormat="false" ht="16.4" hidden="false" customHeight="false" outlineLevel="0" collapsed="false">
      <c r="A18" s="1" t="n">
        <v>14</v>
      </c>
      <c r="B18" s="67" t="n">
        <v>8042</v>
      </c>
      <c r="C18" s="52" t="s">
        <v>442</v>
      </c>
      <c r="D18" s="1" t="n">
        <f aca="false">(chino26[[#This Row],[CANTIDAD INICIAL JUEGO ]]+chino26[[#This Row],[ENTRADAS JUEGOS ]]-chino26[[#This Row],[SALIDAS JUEGOS]])</f>
        <v>2</v>
      </c>
      <c r="E18" s="1" t="n">
        <f aca="false">(chino26[[#This Row],[CANTIDAD INICIAL BARRAS]]+chino26[[#This Row],[ENTRADAS BARRAS]]-chino26[[#This Row],[SALIDA BARRAS]])</f>
        <v>1</v>
      </c>
      <c r="F18" s="23" t="n">
        <v>180</v>
      </c>
      <c r="H18" s="1" t="n">
        <v>4</v>
      </c>
      <c r="I18" s="1" t="n">
        <f aca="false">(chino26[[#This Row],["J" PRECIO VENTA ]]/chino26[[#This Row],[BARRAS]])</f>
        <v>45</v>
      </c>
      <c r="J18" s="1" t="n">
        <f aca="false">(chino26[[#This Row],["J"PRECIO COMPRA ]]/chino26[[#This Row],[BARRAS]])</f>
        <v>0</v>
      </c>
      <c r="K18" s="1" t="n">
        <f aca="false">SUMIF(entradas26[CODIGO],chino26[[#This Row],[CODIGO ]],entradas26[[CAN JUEGOS ]])</f>
        <v>0</v>
      </c>
      <c r="L18" s="1" t="n">
        <f aca="false">SUMIF(entradas26[CODIGO],chino26[[#This Row],[CODIGO ]],entradas26[CAN BARRAS])</f>
        <v>0</v>
      </c>
      <c r="M18" s="1" t="n">
        <f aca="false">SUMIF(salidas26[[CODIGO ]],chino26[[#This Row],[CODIGO ]],salidas26[[CANT JUEGOS ]])</f>
        <v>0</v>
      </c>
      <c r="N18" s="1" t="n">
        <f aca="false">SUMIF(salidas26[[CODIGO ]],chino26[[#This Row],[CODIGO ]],salidas26[CANT BARRAS])</f>
        <v>0</v>
      </c>
      <c r="O18" s="1" t="n">
        <f aca="false">(chino26[[#This Row],["J"PRECIO COMPRA ]]*chino26[[#This Row],[STOCK JUEGOS]])</f>
        <v>0</v>
      </c>
      <c r="P18" s="1" t="n">
        <f aca="false">(chino26[[#This Row],["J" PRECIO VENTA ]]*chino26[[#This Row],[STOCK JUEGOS]])</f>
        <v>360</v>
      </c>
      <c r="Q18" s="1" t="n">
        <f aca="false">(chino26[[#This Row],["B"PRECIO COMPRA]]*chino26[[#This Row],[STOCK BARRAS]])</f>
        <v>0</v>
      </c>
      <c r="R18" s="1" t="n">
        <f aca="false">(chino26[[#This Row],["B"PRECIO VENTA ]]*chino26[[#This Row],[STOCK BARRAS]])</f>
        <v>45</v>
      </c>
      <c r="S18" s="18" t="n">
        <v>2</v>
      </c>
      <c r="T18" s="18" t="n">
        <v>1</v>
      </c>
    </row>
    <row r="19" customFormat="false" ht="16.4" hidden="false" customHeight="false" outlineLevel="0" collapsed="false">
      <c r="A19" s="1" t="n">
        <v>15</v>
      </c>
      <c r="B19" s="1" t="n">
        <v>8008</v>
      </c>
      <c r="C19" s="52" t="s">
        <v>443</v>
      </c>
      <c r="D19" s="1" t="n">
        <f aca="false">(chino26[[#This Row],[CANTIDAD INICIAL JUEGO ]]+chino26[[#This Row],[ENTRADAS JUEGOS ]]-chino26[[#This Row],[SALIDAS JUEGOS]])</f>
        <v>9</v>
      </c>
      <c r="E19" s="1" t="n">
        <f aca="false">(chino26[[#This Row],[CANTIDAD INICIAL BARRAS]]+chino26[[#This Row],[ENTRADAS BARRAS]]-chino26[[#This Row],[SALIDA BARRAS]])</f>
        <v>0</v>
      </c>
      <c r="F19" s="23" t="n">
        <v>180</v>
      </c>
      <c r="G19" s="36" t="n">
        <v>49</v>
      </c>
      <c r="H19" s="1" t="n">
        <v>3</v>
      </c>
      <c r="I19" s="1" t="n">
        <f aca="false">(chino26[[#This Row],["J" PRECIO VENTA ]]/chino26[[#This Row],[BARRAS]])</f>
        <v>60</v>
      </c>
      <c r="J19" s="1" t="n">
        <f aca="false">(chino26[[#This Row],["J"PRECIO COMPRA ]]/chino26[[#This Row],[BARRAS]])</f>
        <v>16.3333333333333</v>
      </c>
      <c r="K19" s="1" t="n">
        <f aca="false">SUMIF(entradas26[CODIGO],chino26[[#This Row],[CODIGO ]],entradas26[[CAN JUEGOS ]])</f>
        <v>0</v>
      </c>
      <c r="L19" s="1" t="n">
        <f aca="false">SUMIF(entradas26[CODIGO],chino26[[#This Row],[CODIGO ]],entradas26[CAN BARRAS])</f>
        <v>0</v>
      </c>
      <c r="M19" s="1" t="n">
        <f aca="false">SUMIF(salidas26[[CODIGO ]],chino26[[#This Row],[CODIGO ]],salidas26[[CANT JUEGOS ]])</f>
        <v>0</v>
      </c>
      <c r="N19" s="1" t="n">
        <f aca="false">SUMIF(salidas26[[CODIGO ]],chino26[[#This Row],[CODIGO ]],salidas26[CANT BARRAS])</f>
        <v>0</v>
      </c>
      <c r="O19" s="1" t="n">
        <f aca="false">(chino26[[#This Row],["J"PRECIO COMPRA ]]*chino26[[#This Row],[STOCK JUEGOS]])</f>
        <v>441</v>
      </c>
      <c r="P19" s="1" t="n">
        <f aca="false">(chino26[[#This Row],["J" PRECIO VENTA ]]*chino26[[#This Row],[STOCK JUEGOS]])</f>
        <v>1620</v>
      </c>
      <c r="Q19" s="1" t="n">
        <f aca="false">(chino26[[#This Row],["B"PRECIO COMPRA]]*chino26[[#This Row],[STOCK BARRAS]])</f>
        <v>0</v>
      </c>
      <c r="R19" s="1" t="n">
        <f aca="false">(chino26[[#This Row],["B"PRECIO VENTA ]]*chino26[[#This Row],[STOCK BARRAS]])</f>
        <v>0</v>
      </c>
      <c r="S19" s="70" t="n">
        <v>9</v>
      </c>
      <c r="T19" s="70"/>
    </row>
    <row r="20" customFormat="false" ht="16.4" hidden="false" customHeight="false" outlineLevel="0" collapsed="false">
      <c r="A20" s="1" t="n">
        <v>16</v>
      </c>
      <c r="B20" s="1" t="n">
        <v>8054</v>
      </c>
      <c r="C20" s="52" t="s">
        <v>444</v>
      </c>
      <c r="D20" s="1" t="n">
        <f aca="false">(chino26[[#This Row],[CANTIDAD INICIAL JUEGO ]]+chino26[[#This Row],[ENTRADAS JUEGOS ]]-chino26[[#This Row],[SALIDAS JUEGOS]])</f>
        <v>1</v>
      </c>
      <c r="E20" s="1" t="n">
        <f aca="false">(chino26[[#This Row],[CANTIDAD INICIAL BARRAS]]+chino26[[#This Row],[ENTRADAS BARRAS]]-chino26[[#This Row],[SALIDA BARRAS]])</f>
        <v>0</v>
      </c>
      <c r="F20" s="23" t="n">
        <v>180</v>
      </c>
      <c r="G20" s="1" t="n">
        <v>90</v>
      </c>
      <c r="H20" s="1" t="n">
        <v>1</v>
      </c>
      <c r="I20" s="1" t="n">
        <f aca="false">(chino26[[#This Row],["J" PRECIO VENTA ]]/chino26[[#This Row],[BARRAS]])</f>
        <v>180</v>
      </c>
      <c r="J20" s="1" t="n">
        <f aca="false">(chino26[[#This Row],["J"PRECIO COMPRA ]]/chino26[[#This Row],[BARRAS]])</f>
        <v>90</v>
      </c>
      <c r="K20" s="1" t="n">
        <f aca="false">SUMIF(entradas26[CODIGO],chino26[[#This Row],[CODIGO ]],entradas26[[CAN JUEGOS ]])</f>
        <v>0</v>
      </c>
      <c r="L20" s="1" t="n">
        <f aca="false">SUMIF(entradas26[CODIGO],chino26[[#This Row],[CODIGO ]],entradas26[CAN BARRAS])</f>
        <v>0</v>
      </c>
      <c r="M20" s="1" t="n">
        <f aca="false">SUMIF(salidas26[[CODIGO ]],chino26[[#This Row],[CODIGO ]],salidas26[[CANT JUEGOS ]])</f>
        <v>0</v>
      </c>
      <c r="N20" s="1" t="n">
        <f aca="false">SUMIF(salidas26[[CODIGO ]],chino26[[#This Row],[CODIGO ]],salidas26[CANT BARRAS])</f>
        <v>0</v>
      </c>
      <c r="O20" s="1" t="n">
        <f aca="false">(chino26[[#This Row],["J"PRECIO COMPRA ]]*chino26[[#This Row],[STOCK JUEGOS]])</f>
        <v>90</v>
      </c>
      <c r="P20" s="1" t="n">
        <f aca="false">(chino26[[#This Row],["J" PRECIO VENTA ]]*chino26[[#This Row],[STOCK JUEGOS]])</f>
        <v>180</v>
      </c>
      <c r="Q20" s="1" t="n">
        <f aca="false">(chino26[[#This Row],["B"PRECIO COMPRA]]*chino26[[#This Row],[STOCK BARRAS]])</f>
        <v>0</v>
      </c>
      <c r="R20" s="1" t="n">
        <f aca="false">(chino26[[#This Row],["B"PRECIO VENTA ]]*chino26[[#This Row],[STOCK BARRAS]])</f>
        <v>0</v>
      </c>
      <c r="S20" s="18" t="n">
        <v>1</v>
      </c>
      <c r="T20" s="18"/>
    </row>
    <row r="21" customFormat="false" ht="15" hidden="false" customHeight="false" outlineLevel="0" collapsed="false">
      <c r="A21" s="1" t="n">
        <v>17</v>
      </c>
      <c r="B21" s="1" t="n">
        <v>8063</v>
      </c>
      <c r="C21" s="68" t="s">
        <v>445</v>
      </c>
      <c r="D21" s="1" t="n">
        <f aca="false">(chino26[[#This Row],[CANTIDAD INICIAL JUEGO ]]+chino26[[#This Row],[ENTRADAS JUEGOS ]]-chino26[[#This Row],[SALIDAS JUEGOS]])</f>
        <v>0</v>
      </c>
      <c r="E21" s="1" t="n">
        <f aca="false">(chino26[[#This Row],[CANTIDAD INICIAL BARRAS]]+chino26[[#This Row],[ENTRADAS BARRAS]]-chino26[[#This Row],[SALIDA BARRAS]])</f>
        <v>12</v>
      </c>
      <c r="F21" s="23" t="n">
        <v>220</v>
      </c>
      <c r="G21" s="1" t="n">
        <v>100</v>
      </c>
      <c r="H21" s="1" t="n">
        <v>10</v>
      </c>
      <c r="I21" s="1" t="n">
        <f aca="false">(chino26[[#This Row],["J" PRECIO VENTA ]]/chino26[[#This Row],[BARRAS]])</f>
        <v>22</v>
      </c>
      <c r="J21" s="1" t="n">
        <f aca="false">(chino26[[#This Row],["J"PRECIO COMPRA ]]/chino26[[#This Row],[BARRAS]])</f>
        <v>10</v>
      </c>
      <c r="K21" s="1" t="n">
        <f aca="false">SUMIF(entradas26[CODIGO],chino26[[#This Row],[CODIGO ]],entradas26[[CAN JUEGOS ]])</f>
        <v>0</v>
      </c>
      <c r="L21" s="1" t="n">
        <f aca="false">SUMIF(entradas26[CODIGO],chino26[[#This Row],[CODIGO ]],entradas26[CAN BARRAS])</f>
        <v>0</v>
      </c>
      <c r="M21" s="1" t="n">
        <f aca="false">SUMIF(salidas26[[CODIGO ]],chino26[[#This Row],[CODIGO ]],salidas26[[CANT JUEGOS ]])</f>
        <v>0</v>
      </c>
      <c r="N21" s="1" t="n">
        <f aca="false">SUMIF(salidas26[[CODIGO ]],chino26[[#This Row],[CODIGO ]],salidas26[CANT BARRAS])</f>
        <v>0</v>
      </c>
      <c r="O21" s="1" t="n">
        <f aca="false">(chino26[[#This Row],["J"PRECIO COMPRA ]]*chino26[[#This Row],[STOCK JUEGOS]])</f>
        <v>0</v>
      </c>
      <c r="P21" s="1" t="n">
        <f aca="false">(chino26[[#This Row],["J" PRECIO VENTA ]]*chino26[[#This Row],[STOCK JUEGOS]])</f>
        <v>0</v>
      </c>
      <c r="Q21" s="1" t="n">
        <f aca="false">(chino26[[#This Row],["B"PRECIO COMPRA]]*chino26[[#This Row],[STOCK BARRAS]])</f>
        <v>120</v>
      </c>
      <c r="R21" s="1" t="n">
        <f aca="false">(chino26[[#This Row],["B"PRECIO VENTA ]]*chino26[[#This Row],[STOCK BARRAS]])</f>
        <v>264</v>
      </c>
      <c r="S21" s="18"/>
      <c r="T21" s="18" t="n">
        <v>12</v>
      </c>
    </row>
    <row r="22" customFormat="false" ht="15" hidden="false" customHeight="false" outlineLevel="0" collapsed="false">
      <c r="A22" s="1" t="n">
        <v>18</v>
      </c>
      <c r="B22" s="1" t="n">
        <v>8066</v>
      </c>
      <c r="C22" s="1" t="s">
        <v>446</v>
      </c>
      <c r="D22" s="1" t="n">
        <f aca="false">(chino26[[#This Row],[CANTIDAD INICIAL JUEGO ]]+chino26[[#This Row],[ENTRADAS JUEGOS ]]-chino26[[#This Row],[SALIDAS JUEGOS]])</f>
        <v>8</v>
      </c>
      <c r="E22" s="1" t="n">
        <f aca="false">(chino26[[#This Row],[CANTIDAD INICIAL BARRAS]]+chino26[[#This Row],[ENTRADAS BARRAS]]-chino26[[#This Row],[SALIDA BARRAS]])</f>
        <v>3</v>
      </c>
      <c r="F22" s="23" t="n">
        <v>250</v>
      </c>
      <c r="G22" s="1" t="n">
        <v>73</v>
      </c>
      <c r="H22" s="1" t="n">
        <v>8</v>
      </c>
      <c r="I22" s="1" t="n">
        <f aca="false">(chino26[[#This Row],["J" PRECIO VENTA ]]/chino26[[#This Row],[BARRAS]])</f>
        <v>31.25</v>
      </c>
      <c r="J22" s="1" t="n">
        <f aca="false">(chino26[[#This Row],["J"PRECIO COMPRA ]]/chino26[[#This Row],[BARRAS]])</f>
        <v>9.125</v>
      </c>
      <c r="K22" s="1" t="n">
        <f aca="false">SUMIF(entradas26[CODIGO],chino26[[#This Row],[CODIGO ]],entradas26[[CAN JUEGOS ]])</f>
        <v>0</v>
      </c>
      <c r="L22" s="1" t="n">
        <f aca="false">SUMIF(entradas26[CODIGO],chino26[[#This Row],[CODIGO ]],entradas26[CAN BARRAS])</f>
        <v>0</v>
      </c>
      <c r="M22" s="1" t="n">
        <f aca="false">SUMIF(salidas26[[CODIGO ]],chino26[[#This Row],[CODIGO ]],salidas26[[CANT JUEGOS ]])</f>
        <v>0</v>
      </c>
      <c r="N22" s="1" t="n">
        <f aca="false">SUMIF(salidas26[[CODIGO ]],chino26[[#This Row],[CODIGO ]],salidas26[CANT BARRAS])</f>
        <v>0</v>
      </c>
      <c r="O22" s="1" t="n">
        <f aca="false">(chino26[[#This Row],["J"PRECIO COMPRA ]]*chino26[[#This Row],[STOCK JUEGOS]])</f>
        <v>584</v>
      </c>
      <c r="P22" s="1" t="n">
        <f aca="false">(chino26[[#This Row],["J" PRECIO VENTA ]]*chino26[[#This Row],[STOCK JUEGOS]])</f>
        <v>2000</v>
      </c>
      <c r="Q22" s="1" t="n">
        <f aca="false">(chino26[[#This Row],["B"PRECIO COMPRA]]*chino26[[#This Row],[STOCK BARRAS]])</f>
        <v>27.375</v>
      </c>
      <c r="R22" s="1" t="n">
        <f aca="false">(chino26[[#This Row],["B"PRECIO VENTA ]]*chino26[[#This Row],[STOCK BARRAS]])</f>
        <v>93.75</v>
      </c>
      <c r="S22" s="18" t="n">
        <v>8</v>
      </c>
      <c r="T22" s="18" t="n">
        <v>3</v>
      </c>
    </row>
    <row r="23" s="1" customFormat="true" ht="31.3" hidden="false" customHeight="false" outlineLevel="0" collapsed="false">
      <c r="A23" s="1" t="n">
        <v>19</v>
      </c>
      <c r="B23" s="1" t="n">
        <v>8073</v>
      </c>
      <c r="C23" s="52" t="s">
        <v>447</v>
      </c>
      <c r="D23" s="1" t="n">
        <f aca="false">(chino26[[#This Row],[CANTIDAD INICIAL JUEGO ]]+chino26[[#This Row],[ENTRADAS JUEGOS ]]-chino26[[#This Row],[SALIDAS JUEGOS]])</f>
        <v>28</v>
      </c>
      <c r="E23" s="1" t="n">
        <f aca="false">(chino26[[#This Row],[CANTIDAD INICIAL BARRAS]]+chino26[[#This Row],[ENTRADAS BARRAS]]-chino26[[#This Row],[SALIDA BARRAS]])</f>
        <v>0</v>
      </c>
      <c r="F23" s="32" t="n">
        <v>220</v>
      </c>
      <c r="G23" s="1" t="n">
        <v>71</v>
      </c>
      <c r="H23" s="1" t="n">
        <v>4</v>
      </c>
      <c r="I23" s="1" t="n">
        <f aca="false">(chino26[[#This Row],["J" PRECIO VENTA ]]/chino26[[#This Row],[BARRAS]])</f>
        <v>55</v>
      </c>
      <c r="J23" s="1" t="n">
        <f aca="false">(chino26[[#This Row],["J"PRECIO COMPRA ]]/chino26[[#This Row],[BARRAS]])</f>
        <v>17.75</v>
      </c>
      <c r="K23" s="1" t="n">
        <f aca="false">SUMIF(entradas26[CODIGO],chino26[[#This Row],[CODIGO ]],entradas26[[CAN JUEGOS ]])</f>
        <v>30</v>
      </c>
      <c r="L23" s="1" t="n">
        <f aca="false">SUMIF(entradas26[CODIGO],chino26[[#This Row],[CODIGO ]],entradas26[CAN BARRAS])</f>
        <v>0</v>
      </c>
      <c r="M23" s="1" t="n">
        <f aca="false">SUMIF(salidas26[[CODIGO ]],chino26[[#This Row],[CODIGO ]],salidas26[[CANT JUEGOS ]])</f>
        <v>2</v>
      </c>
      <c r="N23" s="1" t="n">
        <f aca="false">SUMIF(salidas26[[CODIGO ]],chino26[[#This Row],[CODIGO ]],salidas26[CANT BARRAS])</f>
        <v>0</v>
      </c>
      <c r="O23" s="1" t="n">
        <f aca="false">(chino26[[#This Row],["J"PRECIO COMPRA ]]*chino26[[#This Row],[STOCK JUEGOS]])</f>
        <v>1988</v>
      </c>
      <c r="P23" s="1" t="n">
        <f aca="false">(chino26[[#This Row],["J" PRECIO VENTA ]]*chino26[[#This Row],[STOCK JUEGOS]])</f>
        <v>6160</v>
      </c>
      <c r="Q23" s="1" t="n">
        <f aca="false">(chino26[[#This Row],["B"PRECIO COMPRA]]*chino26[[#This Row],[STOCK BARRAS]])</f>
        <v>0</v>
      </c>
      <c r="R23" s="1" t="n">
        <f aca="false">(chino26[[#This Row],["B"PRECIO VENTA ]]*chino26[[#This Row],[STOCK BARRAS]])</f>
        <v>0</v>
      </c>
      <c r="U23" s="1" t="n">
        <v>3.43</v>
      </c>
      <c r="W23" s="1" t="s">
        <v>448</v>
      </c>
    </row>
    <row r="24" customFormat="false" ht="16.4" hidden="false" customHeight="false" outlineLevel="0" collapsed="false">
      <c r="A24" s="1" t="n">
        <v>20</v>
      </c>
      <c r="B24" s="67" t="n">
        <v>8061</v>
      </c>
      <c r="C24" s="52" t="s">
        <v>449</v>
      </c>
      <c r="D24" s="1" t="n">
        <f aca="false">(chino26[[#This Row],[CANTIDAD INICIAL JUEGO ]]+chino26[[#This Row],[ENTRADAS JUEGOS ]]-chino26[[#This Row],[SALIDAS JUEGOS]])</f>
        <v>13</v>
      </c>
      <c r="E24" s="1" t="n">
        <f aca="false">(chino26[[#This Row],[CANTIDAD INICIAL BARRAS]]+chino26[[#This Row],[ENTRADAS BARRAS]]-chino26[[#This Row],[SALIDA BARRAS]])</f>
        <v>1</v>
      </c>
      <c r="F24" s="23" t="n">
        <v>250</v>
      </c>
      <c r="G24" s="34" t="n">
        <v>53.9</v>
      </c>
      <c r="H24" s="1" t="n">
        <v>2</v>
      </c>
      <c r="I24" s="1" t="n">
        <f aca="false">(chino26[[#This Row],["J" PRECIO VENTA ]]/chino26[[#This Row],[BARRAS]])</f>
        <v>125</v>
      </c>
      <c r="J24" s="1" t="n">
        <f aca="false">(chino26[[#This Row],["J"PRECIO COMPRA ]]/chino26[[#This Row],[BARRAS]])</f>
        <v>26.95</v>
      </c>
      <c r="K24" s="1" t="n">
        <f aca="false">SUMIF(entradas26[CODIGO],chino26[[#This Row],[CODIGO ]],entradas26[[CAN JUEGOS ]])</f>
        <v>0</v>
      </c>
      <c r="L24" s="1" t="n">
        <f aca="false">SUMIF(entradas26[CODIGO],chino26[[#This Row],[CODIGO ]],entradas26[CAN BARRAS])</f>
        <v>0</v>
      </c>
      <c r="M24" s="1" t="n">
        <f aca="false">SUMIF(salidas26[[CODIGO ]],chino26[[#This Row],[CODIGO ]],salidas26[[CANT JUEGOS ]])</f>
        <v>0</v>
      </c>
      <c r="N24" s="1" t="n">
        <f aca="false">SUMIF(salidas26[[CODIGO ]],chino26[[#This Row],[CODIGO ]],salidas26[CANT BARRAS])</f>
        <v>0</v>
      </c>
      <c r="O24" s="1" t="n">
        <f aca="false">(chino26[[#This Row],["J"PRECIO COMPRA ]]*chino26[[#This Row],[STOCK JUEGOS]])</f>
        <v>700.7</v>
      </c>
      <c r="P24" s="1" t="n">
        <f aca="false">(chino26[[#This Row],["J" PRECIO VENTA ]]*chino26[[#This Row],[STOCK JUEGOS]])</f>
        <v>3250</v>
      </c>
      <c r="Q24" s="1" t="n">
        <f aca="false">(chino26[[#This Row],["B"PRECIO COMPRA]]*chino26[[#This Row],[STOCK BARRAS]])</f>
        <v>26.95</v>
      </c>
      <c r="R24" s="1" t="n">
        <f aca="false">(chino26[[#This Row],["B"PRECIO VENTA ]]*chino26[[#This Row],[STOCK BARRAS]])</f>
        <v>125</v>
      </c>
      <c r="S24" s="19" t="n">
        <v>13</v>
      </c>
      <c r="T24" s="19" t="n">
        <v>1</v>
      </c>
    </row>
    <row r="25" s="70" customFormat="true" ht="16.4" hidden="false" customHeight="false" outlineLevel="0" collapsed="false">
      <c r="B25" s="1" t="n">
        <v>8072</v>
      </c>
      <c r="C25" s="52" t="s">
        <v>450</v>
      </c>
      <c r="D25" s="70" t="n">
        <f aca="false">(chino26[[#This Row],[CANTIDAD INICIAL JUEGO ]]+chino26[[#This Row],[ENTRADAS JUEGOS ]]-chino26[[#This Row],[SALIDAS JUEGOS]])</f>
        <v>0</v>
      </c>
      <c r="E25" s="70" t="n">
        <f aca="false">(chino26[[#This Row],[CANTIDAD INICIAL BARRAS]]+chino26[[#This Row],[ENTRADAS BARRAS]]-chino26[[#This Row],[SALIDA BARRAS]])</f>
        <v>9</v>
      </c>
      <c r="F25" s="23" t="n">
        <v>240</v>
      </c>
      <c r="G25" s="1" t="n">
        <v>100</v>
      </c>
      <c r="H25" s="1" t="n">
        <v>12</v>
      </c>
      <c r="I25" s="70" t="n">
        <f aca="false">(chino26[[#This Row],["J" PRECIO VENTA ]]/chino26[[#This Row],[BARRAS]])</f>
        <v>20</v>
      </c>
      <c r="J25" s="70" t="n">
        <f aca="false">(chino26[[#This Row],["J"PRECIO COMPRA ]]/chino26[[#This Row],[BARRAS]])</f>
        <v>8.33333333333333</v>
      </c>
      <c r="K25" s="70" t="n">
        <f aca="false">SUMIF(entradas26[CODIGO],chino26[[#This Row],[CODIGO ]],entradas26[[CAN JUEGOS ]])</f>
        <v>0</v>
      </c>
      <c r="L25" s="70" t="n">
        <f aca="false">SUMIF(entradas26[CODIGO],chino26[[#This Row],[CODIGO ]],entradas26[CAN BARRAS])</f>
        <v>0</v>
      </c>
      <c r="M25" s="70" t="n">
        <f aca="false">SUMIF(salidas26[[CODIGO ]],chino26[[#This Row],[CODIGO ]],salidas26[[CANT JUEGOS ]])</f>
        <v>0</v>
      </c>
      <c r="N25" s="70" t="n">
        <f aca="false">SUMIF(salidas26[[CODIGO ]],chino26[[#This Row],[CODIGO ]],salidas26[CANT BARRAS])</f>
        <v>0</v>
      </c>
      <c r="O25" s="70" t="n">
        <f aca="false">(chino26[[#This Row],["J"PRECIO COMPRA ]]*chino26[[#This Row],[STOCK JUEGOS]])</f>
        <v>0</v>
      </c>
      <c r="P25" s="70" t="n">
        <f aca="false">(chino26[[#This Row],["J" PRECIO VENTA ]]*chino26[[#This Row],[STOCK JUEGOS]])</f>
        <v>0</v>
      </c>
      <c r="Q25" s="70" t="n">
        <f aca="false">(chino26[[#This Row],["B"PRECIO COMPRA]]*chino26[[#This Row],[STOCK BARRAS]])</f>
        <v>75</v>
      </c>
      <c r="R25" s="70" t="n">
        <f aca="false">(chino26[[#This Row],["B"PRECIO VENTA ]]*chino26[[#This Row],[STOCK BARRAS]])</f>
        <v>180</v>
      </c>
      <c r="S25" s="18"/>
      <c r="T25" s="18" t="n">
        <v>9</v>
      </c>
    </row>
    <row r="26" customFormat="false" ht="16.4" hidden="false" customHeight="false" outlineLevel="0" collapsed="false">
      <c r="A26" s="1" t="n">
        <v>21</v>
      </c>
      <c r="B26" s="1" t="n">
        <v>8075</v>
      </c>
      <c r="C26" s="52" t="s">
        <v>451</v>
      </c>
      <c r="D26" s="1" t="n">
        <f aca="false">(chino26[[#This Row],[CANTIDAD INICIAL JUEGO ]]+chino26[[#This Row],[ENTRADAS JUEGOS ]]-chino26[[#This Row],[SALIDAS JUEGOS]])</f>
        <v>2</v>
      </c>
      <c r="E26" s="1" t="n">
        <f aca="false">(chino26[[#This Row],[CANTIDAD INICIAL BARRAS]]+chino26[[#This Row],[ENTRADAS BARRAS]]-chino26[[#This Row],[SALIDA BARRAS]])</f>
        <v>8</v>
      </c>
      <c r="F26" s="23" t="n">
        <v>250</v>
      </c>
      <c r="H26" s="1" t="n">
        <v>8</v>
      </c>
      <c r="I26" s="1" t="n">
        <f aca="false">(chino26[[#This Row],["J" PRECIO VENTA ]]/chino26[[#This Row],[BARRAS]])</f>
        <v>31.25</v>
      </c>
      <c r="J26" s="1" t="n">
        <f aca="false">(chino26[[#This Row],["J"PRECIO COMPRA ]]/chino26[[#This Row],[BARRAS]])</f>
        <v>0</v>
      </c>
      <c r="K26" s="1" t="n">
        <f aca="false">SUMIF(entradas26[CODIGO],chino26[[#This Row],[CODIGO ]],entradas26[[CAN JUEGOS ]])</f>
        <v>0</v>
      </c>
      <c r="L26" s="1" t="n">
        <f aca="false">SUMIF(entradas26[CODIGO],chino26[[#This Row],[CODIGO ]],entradas26[CAN BARRAS])</f>
        <v>0</v>
      </c>
      <c r="M26" s="1" t="n">
        <f aca="false">SUMIF(salidas26[[CODIGO ]],chino26[[#This Row],[CODIGO ]],salidas26[[CANT JUEGOS ]])</f>
        <v>0</v>
      </c>
      <c r="N26" s="1" t="n">
        <f aca="false">SUMIF(salidas26[[CODIGO ]],chino26[[#This Row],[CODIGO ]],salidas26[CANT BARRAS])</f>
        <v>0</v>
      </c>
      <c r="O26" s="1" t="n">
        <f aca="false">(chino26[[#This Row],["J"PRECIO COMPRA ]]*chino26[[#This Row],[STOCK JUEGOS]])</f>
        <v>0</v>
      </c>
      <c r="P26" s="1" t="n">
        <f aca="false">(chino26[[#This Row],["J" PRECIO VENTA ]]*chino26[[#This Row],[STOCK JUEGOS]])</f>
        <v>500</v>
      </c>
      <c r="Q26" s="1" t="n">
        <f aca="false">(chino26[[#This Row],["B"PRECIO COMPRA]]*chino26[[#This Row],[STOCK BARRAS]])</f>
        <v>0</v>
      </c>
      <c r="R26" s="1" t="n">
        <f aca="false">(chino26[[#This Row],["B"PRECIO VENTA ]]*chino26[[#This Row],[STOCK BARRAS]])</f>
        <v>250</v>
      </c>
      <c r="S26" s="18" t="n">
        <v>2</v>
      </c>
      <c r="T26" s="18" t="n">
        <v>8</v>
      </c>
    </row>
    <row r="27" customFormat="false" ht="16.4" hidden="false" customHeight="false" outlineLevel="0" collapsed="false">
      <c r="A27" s="1" t="n">
        <v>22</v>
      </c>
      <c r="B27" s="1" t="n">
        <v>8094</v>
      </c>
      <c r="C27" s="52" t="s">
        <v>452</v>
      </c>
      <c r="D27" s="1" t="n">
        <f aca="false">(chino26[[#This Row],[CANTIDAD INICIAL JUEGO ]]+chino26[[#This Row],[ENTRADAS JUEGOS ]]-chino26[[#This Row],[SALIDAS JUEGOS]])</f>
        <v>9</v>
      </c>
      <c r="E27" s="1" t="n">
        <f aca="false">(chino26[[#This Row],[CANTIDAD INICIAL BARRAS]]+chino26[[#This Row],[ENTRADAS BARRAS]]-chino26[[#This Row],[SALIDA BARRAS]])</f>
        <v>0</v>
      </c>
      <c r="F27" s="23" t="n">
        <v>320</v>
      </c>
      <c r="G27" s="1" t="n">
        <v>109</v>
      </c>
      <c r="I27" s="1" t="e">
        <f aca="false">(chino26[[#This Row],["J" PRECIO VENTA ]]/chino26[[#This Row],[BARRAS]])</f>
        <v>#DIV/0!</v>
      </c>
      <c r="J27" s="1" t="e">
        <f aca="false">(chino26[[#This Row],["J"PRECIO COMPRA ]]/chino26[[#This Row],[BARRAS]])</f>
        <v>#DIV/0!</v>
      </c>
      <c r="K27" s="1" t="n">
        <f aca="false">SUMIF(entradas26[CODIGO],chino26[[#This Row],[CODIGO ]],entradas26[[CAN JUEGOS ]])</f>
        <v>0</v>
      </c>
      <c r="L27" s="1" t="n">
        <f aca="false">SUMIF(entradas26[CODIGO],chino26[[#This Row],[CODIGO ]],entradas26[CAN BARRAS])</f>
        <v>0</v>
      </c>
      <c r="M27" s="1" t="n">
        <f aca="false">SUMIF(salidas26[[CODIGO ]],chino26[[#This Row],[CODIGO ]],salidas26[[CANT JUEGOS ]])</f>
        <v>1</v>
      </c>
      <c r="N27" s="1" t="n">
        <f aca="false">SUMIF(salidas26[[CODIGO ]],chino26[[#This Row],[CODIGO ]],salidas26[CANT BARRAS])</f>
        <v>0</v>
      </c>
      <c r="O27" s="1" t="n">
        <f aca="false">(chino26[[#This Row],["J"PRECIO COMPRA ]]*chino26[[#This Row],[STOCK JUEGOS]])</f>
        <v>981</v>
      </c>
      <c r="P27" s="1" t="n">
        <f aca="false">(chino26[[#This Row],["J" PRECIO VENTA ]]*chino26[[#This Row],[STOCK JUEGOS]])</f>
        <v>2880</v>
      </c>
      <c r="Q27" s="1" t="e">
        <f aca="false">(chino26[[#This Row],["B"PRECIO COMPRA]]*chino26[[#This Row],[STOCK BARRAS]])</f>
        <v>#DIV/0!</v>
      </c>
      <c r="R27" s="1" t="e">
        <f aca="false">(chino26[[#This Row],["B"PRECIO VENTA ]]*chino26[[#This Row],[STOCK BARRAS]])</f>
        <v>#DIV/0!</v>
      </c>
      <c r="S27" s="18" t="n">
        <v>10</v>
      </c>
      <c r="T27" s="18"/>
    </row>
    <row r="28" customFormat="false" ht="16.4" hidden="false" customHeight="false" outlineLevel="0" collapsed="false">
      <c r="A28" s="1" t="n">
        <v>23</v>
      </c>
      <c r="B28" s="1" t="n">
        <v>8081</v>
      </c>
      <c r="C28" s="52" t="s">
        <v>453</v>
      </c>
      <c r="D28" s="1" t="n">
        <f aca="false">(chino26[[#This Row],[CANTIDAD INICIAL JUEGO ]]+chino26[[#This Row],[ENTRADAS JUEGOS ]]-chino26[[#This Row],[SALIDAS JUEGOS]])</f>
        <v>17</v>
      </c>
      <c r="E28" s="1" t="n">
        <f aca="false">(chino26[[#This Row],[CANTIDAD INICIAL BARRAS]]+chino26[[#This Row],[ENTRADAS BARRAS]]-chino26[[#This Row],[SALIDA BARRAS]])</f>
        <v>0</v>
      </c>
      <c r="F28" s="23" t="n">
        <v>300</v>
      </c>
      <c r="G28" s="34" t="n">
        <v>70</v>
      </c>
      <c r="H28" s="1" t="n">
        <v>2</v>
      </c>
      <c r="I28" s="1" t="n">
        <f aca="false">(chino26[[#This Row],["J" PRECIO VENTA ]]/chino26[[#This Row],[BARRAS]])</f>
        <v>150</v>
      </c>
      <c r="J28" s="1" t="n">
        <f aca="false">(chino26[[#This Row],["J"PRECIO COMPRA ]]/chino26[[#This Row],[BARRAS]])</f>
        <v>35</v>
      </c>
      <c r="K28" s="1" t="n">
        <f aca="false">SUMIF(entradas26[CODIGO],chino26[[#This Row],[CODIGO ]],entradas26[[CAN JUEGOS ]])</f>
        <v>0</v>
      </c>
      <c r="L28" s="1" t="n">
        <f aca="false">SUMIF(entradas26[CODIGO],chino26[[#This Row],[CODIGO ]],entradas26[CAN BARRAS])</f>
        <v>0</v>
      </c>
      <c r="M28" s="1" t="n">
        <f aca="false">SUMIF(salidas26[[CODIGO ]],chino26[[#This Row],[CODIGO ]],salidas26[[CANT JUEGOS ]])</f>
        <v>3</v>
      </c>
      <c r="N28" s="1" t="n">
        <f aca="false">SUMIF(salidas26[[CODIGO ]],chino26[[#This Row],[CODIGO ]],salidas26[CANT BARRAS])</f>
        <v>0</v>
      </c>
      <c r="O28" s="1" t="n">
        <f aca="false">(chino26[[#This Row],["J"PRECIO COMPRA ]]*chino26[[#This Row],[STOCK JUEGOS]])</f>
        <v>1190</v>
      </c>
      <c r="P28" s="1" t="n">
        <f aca="false">(chino26[[#This Row],["J" PRECIO VENTA ]]*chino26[[#This Row],[STOCK JUEGOS]])</f>
        <v>5100</v>
      </c>
      <c r="Q28" s="1" t="n">
        <f aca="false">(chino26[[#This Row],["B"PRECIO COMPRA]]*chino26[[#This Row],[STOCK BARRAS]])</f>
        <v>0</v>
      </c>
      <c r="R28" s="1" t="n">
        <f aca="false">(chino26[[#This Row],["B"PRECIO VENTA ]]*chino26[[#This Row],[STOCK BARRAS]])</f>
        <v>0</v>
      </c>
      <c r="S28" s="18" t="n">
        <v>20</v>
      </c>
      <c r="T28" s="18"/>
      <c r="U28" s="1" t="n">
        <v>3.5</v>
      </c>
      <c r="W28" s="0" t="s">
        <v>454</v>
      </c>
    </row>
    <row r="29" customFormat="false" ht="16.4" hidden="false" customHeight="false" outlineLevel="0" collapsed="false">
      <c r="B29" s="1" t="n">
        <v>8082</v>
      </c>
      <c r="C29" s="52" t="s">
        <v>455</v>
      </c>
      <c r="D29" s="1" t="n">
        <f aca="false">(chino26[[#This Row],[CANTIDAD INICIAL JUEGO ]]+chino26[[#This Row],[ENTRADAS JUEGOS ]]-chino26[[#This Row],[SALIDAS JUEGOS]])</f>
        <v>3</v>
      </c>
      <c r="E29" s="1" t="n">
        <f aca="false">(chino26[[#This Row],[CANTIDAD INICIAL BARRAS]]+chino26[[#This Row],[ENTRADAS BARRAS]]-chino26[[#This Row],[SALIDA BARRAS]])</f>
        <v>0</v>
      </c>
      <c r="F29" s="23" t="n">
        <v>320</v>
      </c>
      <c r="G29" s="34"/>
      <c r="I29" s="1" t="e">
        <f aca="false">(chino26[[#This Row],["J" PRECIO VENTA ]]/chino26[[#This Row],[BARRAS]])</f>
        <v>#DIV/0!</v>
      </c>
      <c r="J29" s="1" t="e">
        <f aca="false">(chino26[[#This Row],["J"PRECIO COMPRA ]]/chino26[[#This Row],[BARRAS]])</f>
        <v>#DIV/0!</v>
      </c>
      <c r="K29" s="1" t="n">
        <f aca="false">SUMIF(entradas26[CODIGO],chino26[[#This Row],[CODIGO ]],entradas26[[CAN JUEGOS ]])</f>
        <v>5</v>
      </c>
      <c r="L29" s="1" t="n">
        <f aca="false">SUMIF(entradas26[CODIGO],chino26[[#This Row],[CODIGO ]],entradas26[CAN BARRAS])</f>
        <v>0</v>
      </c>
      <c r="M29" s="1" t="n">
        <f aca="false">SUMIF(salidas26[[CODIGO ]],chino26[[#This Row],[CODIGO ]],salidas26[[CANT JUEGOS ]])</f>
        <v>2</v>
      </c>
      <c r="N29" s="1" t="n">
        <f aca="false">SUMIF(salidas26[[CODIGO ]],chino26[[#This Row],[CODIGO ]],salidas26[CANT BARRAS])</f>
        <v>0</v>
      </c>
      <c r="O29" s="1" t="n">
        <f aca="false">(chino26[[#This Row],["J"PRECIO COMPRA ]]*chino26[[#This Row],[STOCK JUEGOS]])</f>
        <v>0</v>
      </c>
      <c r="P29" s="1" t="n">
        <f aca="false">(chino26[[#This Row],["J" PRECIO VENTA ]]*chino26[[#This Row],[STOCK JUEGOS]])</f>
        <v>960</v>
      </c>
      <c r="Q29" s="1" t="e">
        <f aca="false">(chino26[[#This Row],["B"PRECIO COMPRA]]*chino26[[#This Row],[STOCK BARRAS]])</f>
        <v>#DIV/0!</v>
      </c>
      <c r="R29" s="1" t="e">
        <f aca="false">(chino26[[#This Row],["B"PRECIO VENTA ]]*chino26[[#This Row],[STOCK BARRAS]])</f>
        <v>#DIV/0!</v>
      </c>
      <c r="S29" s="18"/>
      <c r="T29" s="18"/>
    </row>
    <row r="30" customFormat="false" ht="16.4" hidden="false" customHeight="false" outlineLevel="0" collapsed="false">
      <c r="A30" s="1" t="n">
        <v>24</v>
      </c>
      <c r="B30" s="1" t="n">
        <v>8074</v>
      </c>
      <c r="C30" s="52" t="s">
        <v>456</v>
      </c>
      <c r="D30" s="1" t="n">
        <f aca="false">(chino26[[#This Row],[CANTIDAD INICIAL JUEGO ]]+chino26[[#This Row],[ENTRADAS JUEGOS ]]-chino26[[#This Row],[SALIDAS JUEGOS]])</f>
        <v>12</v>
      </c>
      <c r="E30" s="1" t="n">
        <f aca="false">(chino26[[#This Row],[CANTIDAD INICIAL BARRAS]]+chino26[[#This Row],[ENTRADAS BARRAS]]-chino26[[#This Row],[SALIDA BARRAS]])</f>
        <v>0</v>
      </c>
      <c r="F30" s="23" t="n">
        <v>280</v>
      </c>
      <c r="G30" s="1" t="n">
        <v>60.2</v>
      </c>
      <c r="H30" s="1" t="n">
        <v>8</v>
      </c>
      <c r="I30" s="1" t="n">
        <f aca="false">(chino26[[#This Row],["J" PRECIO VENTA ]]/chino26[[#This Row],[BARRAS]])</f>
        <v>35</v>
      </c>
      <c r="J30" s="1" t="n">
        <f aca="false">(chino26[[#This Row],["J"PRECIO COMPRA ]]/chino26[[#This Row],[BARRAS]])</f>
        <v>7.525</v>
      </c>
      <c r="K30" s="1" t="n">
        <f aca="false">SUMIF(entradas26[CODIGO],chino26[[#This Row],[CODIGO ]],entradas26[[CAN JUEGOS ]])</f>
        <v>0</v>
      </c>
      <c r="L30" s="1" t="n">
        <f aca="false">SUMIF(entradas26[CODIGO],chino26[[#This Row],[CODIGO ]],entradas26[CAN BARRAS])</f>
        <v>0</v>
      </c>
      <c r="M30" s="1" t="n">
        <f aca="false">SUMIF(salidas26[[CODIGO ]],chino26[[#This Row],[CODIGO ]],salidas26[[CANT JUEGOS ]])</f>
        <v>1</v>
      </c>
      <c r="N30" s="1" t="n">
        <f aca="false">SUMIF(salidas26[[CODIGO ]],chino26[[#This Row],[CODIGO ]],salidas26[CANT BARRAS])</f>
        <v>0</v>
      </c>
      <c r="O30" s="1" t="n">
        <f aca="false">(chino26[[#This Row],["J"PRECIO COMPRA ]]*chino26[[#This Row],[STOCK JUEGOS]])</f>
        <v>722.4</v>
      </c>
      <c r="P30" s="1" t="n">
        <f aca="false">(chino26[[#This Row],["J" PRECIO VENTA ]]*chino26[[#This Row],[STOCK JUEGOS]])</f>
        <v>3360</v>
      </c>
      <c r="Q30" s="1" t="n">
        <f aca="false">(chino26[[#This Row],["B"PRECIO COMPRA]]*chino26[[#This Row],[STOCK BARRAS]])</f>
        <v>0</v>
      </c>
      <c r="R30" s="1" t="n">
        <f aca="false">(chino26[[#This Row],["B"PRECIO VENTA ]]*chino26[[#This Row],[STOCK BARRAS]])</f>
        <v>0</v>
      </c>
      <c r="S30" s="18" t="n">
        <v>13</v>
      </c>
      <c r="T30" s="18"/>
    </row>
    <row r="31" customFormat="false" ht="16.4" hidden="false" customHeight="false" outlineLevel="0" collapsed="false">
      <c r="A31" s="1" t="n">
        <v>25</v>
      </c>
      <c r="B31" s="1" t="n">
        <v>8090</v>
      </c>
      <c r="C31" s="52" t="s">
        <v>457</v>
      </c>
      <c r="D31" s="1" t="n">
        <f aca="false">(chino26[[#This Row],[CANTIDAD INICIAL JUEGO ]]+chino26[[#This Row],[ENTRADAS JUEGOS ]]-chino26[[#This Row],[SALIDAS JUEGOS]])</f>
        <v>12</v>
      </c>
      <c r="E31" s="1" t="n">
        <f aca="false">(chino26[[#This Row],[CANTIDAD INICIAL BARRAS]]+chino26[[#This Row],[ENTRADAS BARRAS]]-chino26[[#This Row],[SALIDA BARRAS]])</f>
        <v>4</v>
      </c>
      <c r="F31" s="23" t="n">
        <v>300</v>
      </c>
      <c r="G31" s="1" t="n">
        <v>74</v>
      </c>
      <c r="I31" s="1" t="e">
        <f aca="false">(chino26[[#This Row],["J" PRECIO VENTA ]]/chino26[[#This Row],[BARRAS]])</f>
        <v>#DIV/0!</v>
      </c>
      <c r="J31" s="1" t="e">
        <f aca="false">(chino26[[#This Row],["J"PRECIO COMPRA ]]/chino26[[#This Row],[BARRAS]])</f>
        <v>#DIV/0!</v>
      </c>
      <c r="K31" s="1" t="n">
        <f aca="false">SUMIF(entradas26[CODIGO],chino26[[#This Row],[CODIGO ]],entradas26[[CAN JUEGOS ]])</f>
        <v>0</v>
      </c>
      <c r="L31" s="1" t="n">
        <f aca="false">SUMIF(entradas26[CODIGO],chino26[[#This Row],[CODIGO ]],entradas26[CAN BARRAS])</f>
        <v>0</v>
      </c>
      <c r="M31" s="1" t="n">
        <f aca="false">SUMIF(salidas26[[CODIGO ]],chino26[[#This Row],[CODIGO ]],salidas26[[CANT JUEGOS ]])</f>
        <v>3</v>
      </c>
      <c r="N31" s="1" t="n">
        <f aca="false">SUMIF(salidas26[[CODIGO ]],chino26[[#This Row],[CODIGO ]],salidas26[CANT BARRAS])</f>
        <v>0</v>
      </c>
      <c r="O31" s="1" t="n">
        <f aca="false">(chino26[[#This Row],["J"PRECIO COMPRA ]]*chino26[[#This Row],[STOCK JUEGOS]])</f>
        <v>888</v>
      </c>
      <c r="P31" s="1" t="n">
        <f aca="false">(chino26[[#This Row],["J" PRECIO VENTA ]]*chino26[[#This Row],[STOCK JUEGOS]])</f>
        <v>3600</v>
      </c>
      <c r="Q31" s="1" t="e">
        <f aca="false">(chino26[[#This Row],["B"PRECIO COMPRA]]*chino26[[#This Row],[STOCK BARRAS]])</f>
        <v>#DIV/0!</v>
      </c>
      <c r="R31" s="1" t="e">
        <f aca="false">(chino26[[#This Row],["B"PRECIO VENTA ]]*chino26[[#This Row],[STOCK BARRAS]])</f>
        <v>#DIV/0!</v>
      </c>
      <c r="S31" s="18" t="n">
        <v>15</v>
      </c>
      <c r="T31" s="18" t="n">
        <v>4</v>
      </c>
    </row>
    <row r="32" customFormat="false" ht="16.4" hidden="false" customHeight="false" outlineLevel="0" collapsed="false">
      <c r="B32" s="1" t="n">
        <v>8091</v>
      </c>
      <c r="C32" s="52" t="s">
        <v>458</v>
      </c>
      <c r="D32" s="1" t="n">
        <f aca="false">(chino26[[#This Row],[CANTIDAD INICIAL JUEGO ]]+chino26[[#This Row],[ENTRADAS JUEGOS ]]-chino26[[#This Row],[SALIDAS JUEGOS]])</f>
        <v>20</v>
      </c>
      <c r="E32" s="1" t="n">
        <f aca="false">(chino26[[#This Row],[CANTIDAD INICIAL BARRAS]]+chino26[[#This Row],[ENTRADAS BARRAS]]-chino26[[#This Row],[SALIDA BARRAS]])</f>
        <v>0</v>
      </c>
      <c r="F32" s="23" t="n">
        <v>300</v>
      </c>
      <c r="I32" s="1" t="e">
        <f aca="false">(chino26[[#This Row],["J" PRECIO VENTA ]]/chino26[[#This Row],[BARRAS]])</f>
        <v>#DIV/0!</v>
      </c>
      <c r="J32" s="1" t="e">
        <f aca="false">(chino26[[#This Row],["J"PRECIO COMPRA ]]/chino26[[#This Row],[BARRAS]])</f>
        <v>#DIV/0!</v>
      </c>
      <c r="K32" s="1" t="n">
        <f aca="false">SUMIF(entradas26[CODIGO],chino26[[#This Row],[CODIGO ]],entradas26[[CAN JUEGOS ]])</f>
        <v>20</v>
      </c>
      <c r="L32" s="1" t="n">
        <f aca="false">SUMIF(entradas26[CODIGO],chino26[[#This Row],[CODIGO ]],entradas26[CAN BARRAS])</f>
        <v>0</v>
      </c>
      <c r="M32" s="1" t="n">
        <f aca="false">SUMIF(salidas26[[CODIGO ]],chino26[[#This Row],[CODIGO ]],salidas26[[CANT JUEGOS ]])</f>
        <v>0</v>
      </c>
      <c r="N32" s="1" t="n">
        <f aca="false">SUMIF(salidas26[[CODIGO ]],chino26[[#This Row],[CODIGO ]],salidas26[CANT BARRAS])</f>
        <v>0</v>
      </c>
      <c r="O32" s="1" t="n">
        <f aca="false">(chino26[[#This Row],["J"PRECIO COMPRA ]]*chino26[[#This Row],[STOCK JUEGOS]])</f>
        <v>0</v>
      </c>
      <c r="P32" s="1" t="n">
        <f aca="false">(chino26[[#This Row],["J" PRECIO VENTA ]]*chino26[[#This Row],[STOCK JUEGOS]])</f>
        <v>6000</v>
      </c>
      <c r="Q32" s="1" t="e">
        <f aca="false">(chino26[[#This Row],["B"PRECIO COMPRA]]*chino26[[#This Row],[STOCK BARRAS]])</f>
        <v>#DIV/0!</v>
      </c>
      <c r="R32" s="1" t="e">
        <f aca="false">(chino26[[#This Row],["B"PRECIO VENTA ]]*chino26[[#This Row],[STOCK BARRAS]])</f>
        <v>#DIV/0!</v>
      </c>
      <c r="S32" s="18"/>
      <c r="T32" s="18"/>
      <c r="W32" s="0" t="s">
        <v>459</v>
      </c>
    </row>
    <row r="33" customFormat="false" ht="16.4" hidden="false" customHeight="false" outlineLevel="0" collapsed="false">
      <c r="A33" s="1" t="n">
        <v>26</v>
      </c>
      <c r="B33" s="1" t="n">
        <v>8076</v>
      </c>
      <c r="C33" s="52" t="s">
        <v>460</v>
      </c>
      <c r="D33" s="1" t="n">
        <f aca="false">(chino26[[#This Row],[CANTIDAD INICIAL JUEGO ]]+chino26[[#This Row],[ENTRADAS JUEGOS ]]-chino26[[#This Row],[SALIDAS JUEGOS]])</f>
        <v>18</v>
      </c>
      <c r="E33" s="1" t="n">
        <f aca="false">(chino26[[#This Row],[CANTIDAD INICIAL BARRAS]]+chino26[[#This Row],[ENTRADAS BARRAS]]-chino26[[#This Row],[SALIDA BARRAS]])</f>
        <v>0</v>
      </c>
      <c r="F33" s="23" t="n">
        <v>300</v>
      </c>
      <c r="G33" s="1" t="n">
        <v>126</v>
      </c>
      <c r="H33" s="1" t="n">
        <v>8</v>
      </c>
      <c r="I33" s="1" t="n">
        <f aca="false">(chino26[[#This Row],["J" PRECIO VENTA ]]/chino26[[#This Row],[BARRAS]])</f>
        <v>37.5</v>
      </c>
      <c r="J33" s="1" t="n">
        <f aca="false">(chino26[[#This Row],["J"PRECIO COMPRA ]]/chino26[[#This Row],[BARRAS]])</f>
        <v>15.75</v>
      </c>
      <c r="K33" s="1" t="n">
        <f aca="false">SUMIF(entradas26[CODIGO],chino26[[#This Row],[CODIGO ]],entradas26[[CAN JUEGOS ]])</f>
        <v>0</v>
      </c>
      <c r="L33" s="1" t="n">
        <f aca="false">SUMIF(entradas26[CODIGO],chino26[[#This Row],[CODIGO ]],entradas26[CAN BARRAS])</f>
        <v>0</v>
      </c>
      <c r="M33" s="1" t="n">
        <f aca="false">SUMIF(salidas26[[CODIGO ]],chino26[[#This Row],[CODIGO ]],salidas26[[CANT JUEGOS ]])</f>
        <v>2</v>
      </c>
      <c r="N33" s="1" t="n">
        <f aca="false">SUMIF(salidas26[[CODIGO ]],chino26[[#This Row],[CODIGO ]],salidas26[CANT BARRAS])</f>
        <v>0</v>
      </c>
      <c r="O33" s="1" t="n">
        <f aca="false">(chino26[[#This Row],["J"PRECIO COMPRA ]]*chino26[[#This Row],[STOCK JUEGOS]])</f>
        <v>2268</v>
      </c>
      <c r="P33" s="1" t="n">
        <f aca="false">(chino26[[#This Row],["J" PRECIO VENTA ]]*chino26[[#This Row],[STOCK JUEGOS]])</f>
        <v>5400</v>
      </c>
      <c r="Q33" s="1" t="n">
        <f aca="false">(chino26[[#This Row],["B"PRECIO COMPRA]]*chino26[[#This Row],[STOCK BARRAS]])</f>
        <v>0</v>
      </c>
      <c r="R33" s="1" t="n">
        <f aca="false">(chino26[[#This Row],["B"PRECIO VENTA ]]*chino26[[#This Row],[STOCK BARRAS]])</f>
        <v>0</v>
      </c>
      <c r="S33" s="18" t="n">
        <v>20</v>
      </c>
      <c r="T33" s="18"/>
      <c r="U33" s="1" t="n">
        <v>6.3</v>
      </c>
      <c r="W33" s="0" t="s">
        <v>461</v>
      </c>
    </row>
    <row r="34" customFormat="false" ht="16.4" hidden="false" customHeight="false" outlineLevel="0" collapsed="false">
      <c r="A34" s="1" t="n">
        <v>27</v>
      </c>
      <c r="B34" s="67" t="n">
        <v>8078</v>
      </c>
      <c r="C34" s="52" t="s">
        <v>462</v>
      </c>
      <c r="D34" s="1" t="n">
        <f aca="false">(chino26[[#This Row],[CANTIDAD INICIAL JUEGO ]]+chino26[[#This Row],[ENTRADAS JUEGOS ]]-chino26[[#This Row],[SALIDAS JUEGOS]])</f>
        <v>4</v>
      </c>
      <c r="E34" s="1" t="n">
        <f aca="false">(chino26[[#This Row],[CANTIDAD INICIAL BARRAS]]+chino26[[#This Row],[ENTRADAS BARRAS]]-chino26[[#This Row],[SALIDA BARRAS]])</f>
        <v>6</v>
      </c>
      <c r="F34" s="32" t="n">
        <v>300</v>
      </c>
      <c r="G34" s="1" t="n">
        <v>50</v>
      </c>
      <c r="H34" s="1" t="n">
        <v>6</v>
      </c>
      <c r="I34" s="1" t="n">
        <f aca="false">(chino26[[#This Row],["J" PRECIO VENTA ]]/chino26[[#This Row],[BARRAS]])</f>
        <v>50</v>
      </c>
      <c r="J34" s="1" t="n">
        <f aca="false">(chino26[[#This Row],["J"PRECIO COMPRA ]]/chino26[[#This Row],[BARRAS]])</f>
        <v>8.33333333333333</v>
      </c>
      <c r="K34" s="1" t="n">
        <f aca="false">SUMIF(entradas26[CODIGO],chino26[[#This Row],[CODIGO ]],entradas26[[CAN JUEGOS ]])</f>
        <v>0</v>
      </c>
      <c r="L34" s="1" t="n">
        <f aca="false">SUMIF(entradas26[CODIGO],chino26[[#This Row],[CODIGO ]],entradas26[CAN BARRAS])</f>
        <v>0</v>
      </c>
      <c r="M34" s="1" t="n">
        <f aca="false">SUMIF(salidas26[[CODIGO ]],chino26[[#This Row],[CODIGO ]],salidas26[[CANT JUEGOS ]])</f>
        <v>1</v>
      </c>
      <c r="N34" s="1" t="n">
        <f aca="false">SUMIF(salidas26[[CODIGO ]],chino26[[#This Row],[CODIGO ]],salidas26[CANT BARRAS])</f>
        <v>0</v>
      </c>
      <c r="O34" s="1" t="n">
        <f aca="false">(chino26[[#This Row],["J"PRECIO COMPRA ]]*chino26[[#This Row],[STOCK JUEGOS]])</f>
        <v>200</v>
      </c>
      <c r="P34" s="1" t="n">
        <f aca="false">(chino26[[#This Row],["J" PRECIO VENTA ]]*chino26[[#This Row],[STOCK JUEGOS]])</f>
        <v>1200</v>
      </c>
      <c r="Q34" s="1" t="n">
        <f aca="false">(chino26[[#This Row],["B"PRECIO COMPRA]]*chino26[[#This Row],[STOCK BARRAS]])</f>
        <v>50</v>
      </c>
      <c r="R34" s="1" t="n">
        <f aca="false">(chino26[[#This Row],["B"PRECIO VENTA ]]*chino26[[#This Row],[STOCK BARRAS]])</f>
        <v>300</v>
      </c>
      <c r="S34" s="21" t="n">
        <v>5</v>
      </c>
      <c r="T34" s="21" t="n">
        <v>6</v>
      </c>
    </row>
    <row r="35" customFormat="false" ht="16.4" hidden="false" customHeight="false" outlineLevel="0" collapsed="false">
      <c r="A35" s="1" t="n">
        <v>28</v>
      </c>
      <c r="B35" s="1" t="n">
        <v>8093</v>
      </c>
      <c r="C35" s="52" t="s">
        <v>463</v>
      </c>
      <c r="D35" s="1" t="n">
        <f aca="false">(chino26[[#This Row],[CANTIDAD INICIAL JUEGO ]]+chino26[[#This Row],[ENTRADAS JUEGOS ]]-chino26[[#This Row],[SALIDAS JUEGOS]])</f>
        <v>10</v>
      </c>
      <c r="E35" s="1" t="n">
        <f aca="false">(chino26[[#This Row],[CANTIDAD INICIAL BARRAS]]+chino26[[#This Row],[ENTRADAS BARRAS]]-chino26[[#This Row],[SALIDA BARRAS]])</f>
        <v>0</v>
      </c>
      <c r="F35" s="23" t="n">
        <v>300</v>
      </c>
      <c r="G35" s="1" t="n">
        <v>160</v>
      </c>
      <c r="I35" s="1" t="e">
        <f aca="false">(chino26[[#This Row],["J" PRECIO VENTA ]]/chino26[[#This Row],[BARRAS]])</f>
        <v>#DIV/0!</v>
      </c>
      <c r="J35" s="1" t="e">
        <f aca="false">(chino26[[#This Row],["J"PRECIO COMPRA ]]/chino26[[#This Row],[BARRAS]])</f>
        <v>#DIV/0!</v>
      </c>
      <c r="K35" s="1" t="n">
        <f aca="false">SUMIF(entradas26[CODIGO],chino26[[#This Row],[CODIGO ]],entradas26[[CAN JUEGOS ]])</f>
        <v>0</v>
      </c>
      <c r="L35" s="1" t="n">
        <f aca="false">SUMIF(entradas26[CODIGO],chino26[[#This Row],[CODIGO ]],entradas26[CAN BARRAS])</f>
        <v>0</v>
      </c>
      <c r="M35" s="1" t="n">
        <f aca="false">SUMIF(salidas26[[CODIGO ]],chino26[[#This Row],[CODIGO ]],salidas26[[CANT JUEGOS ]])</f>
        <v>0</v>
      </c>
      <c r="N35" s="1" t="n">
        <f aca="false">SUMIF(salidas26[[CODIGO ]],chino26[[#This Row],[CODIGO ]],salidas26[CANT BARRAS])</f>
        <v>0</v>
      </c>
      <c r="O35" s="1" t="n">
        <f aca="false">(chino26[[#This Row],["J"PRECIO COMPRA ]]*chino26[[#This Row],[STOCK JUEGOS]])</f>
        <v>1600</v>
      </c>
      <c r="P35" s="1" t="n">
        <f aca="false">(chino26[[#This Row],["J" PRECIO VENTA ]]*chino26[[#This Row],[STOCK JUEGOS]])</f>
        <v>3000</v>
      </c>
      <c r="Q35" s="1" t="e">
        <f aca="false">(chino26[[#This Row],["B"PRECIO COMPRA]]*chino26[[#This Row],[STOCK BARRAS]])</f>
        <v>#DIV/0!</v>
      </c>
      <c r="R35" s="1" t="e">
        <f aca="false">(chino26[[#This Row],["B"PRECIO VENTA ]]*chino26[[#This Row],[STOCK BARRAS]])</f>
        <v>#DIV/0!</v>
      </c>
      <c r="S35" s="18" t="n">
        <v>10</v>
      </c>
      <c r="T35" s="18"/>
    </row>
    <row r="36" customFormat="false" ht="15" hidden="false" customHeight="false" outlineLevel="0" collapsed="false">
      <c r="B36" s="1" t="n">
        <v>6027</v>
      </c>
      <c r="C36" s="1" t="s">
        <v>464</v>
      </c>
      <c r="D36" s="1" t="n">
        <f aca="false">(chino26[[#This Row],[CANTIDAD INICIAL JUEGO ]]+chino26[[#This Row],[ENTRADAS JUEGOS ]]-chino26[[#This Row],[SALIDAS JUEGOS]])</f>
        <v>18</v>
      </c>
      <c r="E36" s="1" t="n">
        <f aca="false">(chino26[[#This Row],[CANTIDAD INICIAL BARRAS]]+chino26[[#This Row],[ENTRADAS BARRAS]]-chino26[[#This Row],[SALIDA BARRAS]])</f>
        <v>2</v>
      </c>
      <c r="F36" s="23" t="n">
        <v>280</v>
      </c>
      <c r="G36" s="34" t="n">
        <v>150</v>
      </c>
      <c r="H36" s="1" t="n">
        <v>10</v>
      </c>
      <c r="I36" s="1" t="n">
        <f aca="false">(chino26[[#This Row],["J" PRECIO VENTA ]]/chino26[[#This Row],[BARRAS]])</f>
        <v>28</v>
      </c>
      <c r="J36" s="1" t="n">
        <f aca="false">(chino26[[#This Row],["J"PRECIO COMPRA ]]/chino26[[#This Row],[BARRAS]])</f>
        <v>15</v>
      </c>
      <c r="K36" s="1" t="n">
        <f aca="false">SUMIF(entradas26[CODIGO],chino26[[#This Row],[CODIGO ]],entradas26[[CAN JUEGOS ]])</f>
        <v>0</v>
      </c>
      <c r="L36" s="1" t="n">
        <f aca="false">SUMIF(entradas26[CODIGO],chino26[[#This Row],[CODIGO ]],entradas26[CAN BARRAS])</f>
        <v>10</v>
      </c>
      <c r="M36" s="1" t="n">
        <f aca="false">SUMIF(salidas26[[CODIGO ]],chino26[[#This Row],[CODIGO ]],salidas26[[CANT JUEGOS ]])</f>
        <v>2</v>
      </c>
      <c r="N36" s="1" t="n">
        <f aca="false">SUMIF(salidas26[[CODIGO ]],chino26[[#This Row],[CODIGO ]],salidas26[CANT BARRAS])</f>
        <v>18</v>
      </c>
      <c r="O36" s="1" t="n">
        <f aca="false">(chino26[[#This Row],["J"PRECIO COMPRA ]]*chino26[[#This Row],[STOCK JUEGOS]])</f>
        <v>2700</v>
      </c>
      <c r="P36" s="1" t="n">
        <f aca="false">(chino26[[#This Row],["J" PRECIO VENTA ]]*chino26[[#This Row],[STOCK JUEGOS]])</f>
        <v>5040</v>
      </c>
      <c r="Q36" s="1" t="n">
        <f aca="false">(chino26[[#This Row],["B"PRECIO COMPRA]]*chino26[[#This Row],[STOCK BARRAS]])</f>
        <v>30</v>
      </c>
      <c r="R36" s="1" t="n">
        <f aca="false">(chino26[[#This Row],["B"PRECIO VENTA ]]*chino26[[#This Row],[STOCK BARRAS]])</f>
        <v>56</v>
      </c>
      <c r="S36" s="18" t="n">
        <v>20</v>
      </c>
      <c r="T36" s="18" t="n">
        <v>10</v>
      </c>
      <c r="U36" s="1" t="n">
        <v>6.5</v>
      </c>
      <c r="W36" s="0" t="s">
        <v>465</v>
      </c>
      <c r="X36" s="0" t="s">
        <v>466</v>
      </c>
    </row>
    <row r="37" customFormat="false" ht="16.4" hidden="false" customHeight="false" outlineLevel="0" collapsed="false">
      <c r="A37" s="1" t="n">
        <v>29</v>
      </c>
      <c r="B37" s="1" t="n">
        <v>8103</v>
      </c>
      <c r="C37" s="52" t="s">
        <v>467</v>
      </c>
      <c r="D37" s="1" t="n">
        <f aca="false">(chino26[[#This Row],[CANTIDAD INICIAL JUEGO ]]+chino26[[#This Row],[ENTRADAS JUEGOS ]]-chino26[[#This Row],[SALIDAS JUEGOS]])</f>
        <v>13</v>
      </c>
      <c r="E37" s="1" t="n">
        <f aca="false">(chino26[[#This Row],[CANTIDAD INICIAL BARRAS]]+chino26[[#This Row],[ENTRADAS BARRAS]]-chino26[[#This Row],[SALIDA BARRAS]])</f>
        <v>1</v>
      </c>
      <c r="F37" s="23" t="n">
        <v>320</v>
      </c>
      <c r="G37" s="1" t="n">
        <v>69</v>
      </c>
      <c r="I37" s="1" t="e">
        <f aca="false">(chino26[[#This Row],["J" PRECIO VENTA ]]/chino26[[#This Row],[BARRAS]])</f>
        <v>#DIV/0!</v>
      </c>
      <c r="J37" s="1" t="e">
        <f aca="false">(chino26[[#This Row],["J"PRECIO COMPRA ]]/chino26[[#This Row],[BARRAS]])</f>
        <v>#DIV/0!</v>
      </c>
      <c r="K37" s="1" t="n">
        <f aca="false">SUMIF(entradas26[CODIGO],chino26[[#This Row],[CODIGO ]],entradas26[[CAN JUEGOS ]])</f>
        <v>0</v>
      </c>
      <c r="L37" s="1" t="n">
        <f aca="false">SUMIF(entradas26[CODIGO],chino26[[#This Row],[CODIGO ]],entradas26[CAN BARRAS])</f>
        <v>0</v>
      </c>
      <c r="M37" s="1" t="n">
        <f aca="false">SUMIF(salidas26[[CODIGO ]],chino26[[#This Row],[CODIGO ]],salidas26[[CANT JUEGOS ]])</f>
        <v>0</v>
      </c>
      <c r="N37" s="1" t="n">
        <f aca="false">SUMIF(salidas26[[CODIGO ]],chino26[[#This Row],[CODIGO ]],salidas26[CANT BARRAS])</f>
        <v>0</v>
      </c>
      <c r="O37" s="1" t="n">
        <f aca="false">(chino26[[#This Row],["J"PRECIO COMPRA ]]*chino26[[#This Row],[STOCK JUEGOS]])</f>
        <v>897</v>
      </c>
      <c r="P37" s="1" t="n">
        <f aca="false">(chino26[[#This Row],["J" PRECIO VENTA ]]*chino26[[#This Row],[STOCK JUEGOS]])</f>
        <v>4160</v>
      </c>
      <c r="Q37" s="1" t="e">
        <f aca="false">(chino26[[#This Row],["B"PRECIO COMPRA]]*chino26[[#This Row],[STOCK BARRAS]])</f>
        <v>#DIV/0!</v>
      </c>
      <c r="R37" s="1" t="e">
        <f aca="false">(chino26[[#This Row],["B"PRECIO VENTA ]]*chino26[[#This Row],[STOCK BARRAS]])</f>
        <v>#DIV/0!</v>
      </c>
      <c r="S37" s="18" t="n">
        <v>13</v>
      </c>
      <c r="T37" s="18" t="n">
        <v>1</v>
      </c>
    </row>
    <row r="38" customFormat="false" ht="16.4" hidden="false" customHeight="false" outlineLevel="0" collapsed="false">
      <c r="B38" s="1" t="n">
        <v>8064</v>
      </c>
      <c r="C38" s="52" t="s">
        <v>468</v>
      </c>
      <c r="D38" s="1" t="n">
        <f aca="false">(chino26[[#This Row],[CANTIDAD INICIAL JUEGO ]]+chino26[[#This Row],[ENTRADAS JUEGOS ]]-chino26[[#This Row],[SALIDAS JUEGOS]])</f>
        <v>20</v>
      </c>
      <c r="E38" s="1" t="n">
        <f aca="false">(chino26[[#This Row],[CANTIDAD INICIAL BARRAS]]+chino26[[#This Row],[ENTRADAS BARRAS]]-chino26[[#This Row],[SALIDA BARRAS]])</f>
        <v>0</v>
      </c>
      <c r="F38" s="23" t="n">
        <v>320</v>
      </c>
      <c r="I38" s="1" t="e">
        <f aca="false">(chino26[[#This Row],["J" PRECIO VENTA ]]/chino26[[#This Row],[BARRAS]])</f>
        <v>#DIV/0!</v>
      </c>
      <c r="J38" s="1" t="e">
        <f aca="false">(chino26[[#This Row],["J"PRECIO COMPRA ]]/chino26[[#This Row],[BARRAS]])</f>
        <v>#DIV/0!</v>
      </c>
      <c r="K38" s="1" t="n">
        <f aca="false">SUMIF(entradas26[CODIGO],chino26[[#This Row],[CODIGO ]],entradas26[[CAN JUEGOS ]])</f>
        <v>20</v>
      </c>
      <c r="L38" s="1" t="n">
        <f aca="false">SUMIF(entradas26[CODIGO],chino26[[#This Row],[CODIGO ]],entradas26[CAN BARRAS])</f>
        <v>0</v>
      </c>
      <c r="M38" s="1" t="n">
        <f aca="false">SUMIF(salidas26[[CODIGO ]],chino26[[#This Row],[CODIGO ]],salidas26[[CANT JUEGOS ]])</f>
        <v>0</v>
      </c>
      <c r="N38" s="1" t="n">
        <f aca="false">SUMIF(salidas26[[CODIGO ]],chino26[[#This Row],[CODIGO ]],salidas26[CANT BARRAS])</f>
        <v>0</v>
      </c>
      <c r="O38" s="1" t="n">
        <f aca="false">(chino26[[#This Row],["J"PRECIO COMPRA ]]*chino26[[#This Row],[STOCK JUEGOS]])</f>
        <v>0</v>
      </c>
      <c r="P38" s="1" t="n">
        <f aca="false">(chino26[[#This Row],["J" PRECIO VENTA ]]*chino26[[#This Row],[STOCK JUEGOS]])</f>
        <v>6400</v>
      </c>
      <c r="Q38" s="1" t="e">
        <f aca="false">(chino26[[#This Row],["B"PRECIO COMPRA]]*chino26[[#This Row],[STOCK BARRAS]])</f>
        <v>#DIV/0!</v>
      </c>
      <c r="R38" s="1" t="e">
        <f aca="false">(chino26[[#This Row],["B"PRECIO VENTA ]]*chino26[[#This Row],[STOCK BARRAS]])</f>
        <v>#DIV/0!</v>
      </c>
      <c r="W38" s="0" t="s">
        <v>459</v>
      </c>
    </row>
    <row r="39" customFormat="false" ht="15" hidden="false" customHeight="false" outlineLevel="0" collapsed="false">
      <c r="A39" s="1" t="n">
        <v>37</v>
      </c>
      <c r="B39" s="1" t="n">
        <v>8120</v>
      </c>
      <c r="C39" s="1" t="s">
        <v>469</v>
      </c>
      <c r="D39" s="1" t="n">
        <f aca="false">(chino26[[#This Row],[CANTIDAD INICIAL JUEGO ]]+chino26[[#This Row],[ENTRADAS JUEGOS ]]-chino26[[#This Row],[SALIDAS JUEGOS]])</f>
        <v>0</v>
      </c>
      <c r="E39" s="1" t="n">
        <f aca="false">(chino26[[#This Row],[CANTIDAD INICIAL BARRAS]]+chino26[[#This Row],[ENTRADAS BARRAS]]-chino26[[#This Row],[SALIDA BARRAS]])</f>
        <v>0</v>
      </c>
      <c r="F39" s="23" t="n">
        <v>3.5</v>
      </c>
      <c r="G39" s="1" t="n">
        <v>1.96</v>
      </c>
      <c r="H39" s="1" t="n">
        <v>1</v>
      </c>
      <c r="I39" s="1" t="n">
        <f aca="false">(chino26[[#This Row],["J" PRECIO VENTA ]]/chino26[[#This Row],[BARRAS]])</f>
        <v>3.5</v>
      </c>
      <c r="J39" s="1" t="n">
        <f aca="false">(chino26[[#This Row],["J"PRECIO COMPRA ]]/chino26[[#This Row],[BARRAS]])</f>
        <v>1.96</v>
      </c>
      <c r="K39" s="1" t="n">
        <f aca="false">SUMIF(entradas26[CODIGO],chino26[[#This Row],[CODIGO ]],entradas26[[CAN JUEGOS ]])</f>
        <v>0</v>
      </c>
      <c r="L39" s="1" t="n">
        <f aca="false">SUMIF(entradas26[CODIGO],chino26[[#This Row],[CODIGO ]],entradas26[CAN BARRAS])</f>
        <v>0</v>
      </c>
      <c r="M39" s="1" t="n">
        <f aca="false">SUMIF(salidas26[[CODIGO ]],chino26[[#This Row],[CODIGO ]],salidas26[[CANT JUEGOS ]])</f>
        <v>0</v>
      </c>
      <c r="N39" s="1" t="n">
        <f aca="false">SUMIF(salidas26[[CODIGO ]],chino26[[#This Row],[CODIGO ]],salidas26[CANT BARRAS])</f>
        <v>0</v>
      </c>
      <c r="O39" s="1" t="n">
        <f aca="false">(chino26[[#This Row],["J"PRECIO COMPRA ]]*chino26[[#This Row],[STOCK JUEGOS]])</f>
        <v>0</v>
      </c>
      <c r="P39" s="1" t="n">
        <f aca="false">(chino26[[#This Row],["J" PRECIO VENTA ]]*chino26[[#This Row],[STOCK JUEGOS]])</f>
        <v>0</v>
      </c>
      <c r="Q39" s="1" t="n">
        <f aca="false">(chino26[[#This Row],["B"PRECIO COMPRA]]*chino26[[#This Row],[STOCK BARRAS]])</f>
        <v>0</v>
      </c>
      <c r="R39" s="1" t="n">
        <f aca="false">(chino26[[#This Row],["B"PRECIO VENTA ]]*chino26[[#This Row],[STOCK BARRAS]])</f>
        <v>0</v>
      </c>
      <c r="S39" s="1" t="n">
        <v>0</v>
      </c>
      <c r="T39" s="1" t="n">
        <v>0</v>
      </c>
    </row>
    <row r="40" customFormat="false" ht="15" hidden="false" customHeight="false" outlineLevel="0" collapsed="false">
      <c r="A40" s="1" t="n">
        <v>38</v>
      </c>
      <c r="B40" s="67" t="n">
        <v>8123</v>
      </c>
      <c r="C40" s="1" t="s">
        <v>470</v>
      </c>
      <c r="D40" s="1" t="n">
        <f aca="false">(chino26[[#This Row],[CANTIDAD INICIAL JUEGO ]]+chino26[[#This Row],[ENTRADAS JUEGOS ]]-chino26[[#This Row],[SALIDAS JUEGOS]])</f>
        <v>0</v>
      </c>
      <c r="E40" s="1" t="n">
        <f aca="false">(chino26[[#This Row],[CANTIDAD INICIAL BARRAS]]+chino26[[#This Row],[ENTRADAS BARRAS]]-chino26[[#This Row],[SALIDA BARRAS]])</f>
        <v>1290</v>
      </c>
      <c r="F40" s="23" t="n">
        <v>3.5</v>
      </c>
      <c r="G40" s="1" t="n">
        <v>1.8</v>
      </c>
      <c r="H40" s="1" t="n">
        <v>1</v>
      </c>
      <c r="I40" s="1" t="n">
        <f aca="false">(chino26[[#This Row],["J" PRECIO VENTA ]]/chino26[[#This Row],[BARRAS]])</f>
        <v>3.5</v>
      </c>
      <c r="J40" s="1" t="n">
        <f aca="false">(chino26[[#This Row],["J"PRECIO COMPRA ]]/chino26[[#This Row],[BARRAS]])</f>
        <v>1.8</v>
      </c>
      <c r="K40" s="1" t="n">
        <f aca="false">SUMIF(entradas26[CODIGO],chino26[[#This Row],[CODIGO ]],entradas26[[CAN JUEGOS ]])</f>
        <v>0</v>
      </c>
      <c r="L40" s="1" t="n">
        <f aca="false">SUMIF(entradas26[CODIGO],chino26[[#This Row],[CODIGO ]],entradas26[CAN BARRAS])</f>
        <v>0</v>
      </c>
      <c r="M40" s="1" t="n">
        <f aca="false">SUMIF(salidas26[[CODIGO ]],chino26[[#This Row],[CODIGO ]],salidas26[[CANT JUEGOS ]])</f>
        <v>0</v>
      </c>
      <c r="N40" s="1" t="n">
        <f aca="false">SUMIF(salidas26[[CODIGO ]],chino26[[#This Row],[CODIGO ]],salidas26[CANT BARRAS])</f>
        <v>559</v>
      </c>
      <c r="O40" s="1" t="n">
        <f aca="false">(chino26[[#This Row],["J"PRECIO COMPRA ]]*chino26[[#This Row],[STOCK JUEGOS]])</f>
        <v>0</v>
      </c>
      <c r="P40" s="1" t="n">
        <f aca="false">(chino26[[#This Row],["J" PRECIO VENTA ]]*chino26[[#This Row],[STOCK JUEGOS]])</f>
        <v>0</v>
      </c>
      <c r="Q40" s="1" t="n">
        <f aca="false">(chino26[[#This Row],["B"PRECIO COMPRA]]*chino26[[#This Row],[STOCK BARRAS]])</f>
        <v>2322</v>
      </c>
      <c r="R40" s="1" t="n">
        <f aca="false">(chino26[[#This Row],["B"PRECIO VENTA ]]*chino26[[#This Row],[STOCK BARRAS]])</f>
        <v>4515</v>
      </c>
      <c r="S40" s="1" t="n">
        <v>0</v>
      </c>
      <c r="T40" s="1" t="n">
        <v>1849</v>
      </c>
    </row>
    <row r="41" customFormat="false" ht="15" hidden="false" customHeight="false" outlineLevel="0" collapsed="false">
      <c r="A41" s="1" t="n">
        <v>39</v>
      </c>
      <c r="B41" s="1" t="n">
        <v>8126</v>
      </c>
      <c r="C41" s="1" t="s">
        <v>471</v>
      </c>
      <c r="D41" s="1" t="n">
        <f aca="false">(chino26[[#This Row],[CANTIDAD INICIAL JUEGO ]]+chino26[[#This Row],[ENTRADAS JUEGOS ]]-chino26[[#This Row],[SALIDAS JUEGOS]])</f>
        <v>0</v>
      </c>
      <c r="E41" s="1" t="n">
        <f aca="false">(chino26[[#This Row],[CANTIDAD INICIAL BARRAS]]+chino26[[#This Row],[ENTRADAS BARRAS]]-chino26[[#This Row],[SALIDA BARRAS]])</f>
        <v>21</v>
      </c>
      <c r="F41" s="23" t="n">
        <v>3.5</v>
      </c>
      <c r="G41" s="1" t="n">
        <v>2.1</v>
      </c>
      <c r="H41" s="1" t="n">
        <v>1</v>
      </c>
      <c r="I41" s="1" t="n">
        <f aca="false">(chino26[[#This Row],["J" PRECIO VENTA ]]/chino26[[#This Row],[BARRAS]])</f>
        <v>3.5</v>
      </c>
      <c r="J41" s="1" t="n">
        <f aca="false">(chino26[[#This Row],["J"PRECIO COMPRA ]]/chino26[[#This Row],[BARRAS]])</f>
        <v>2.1</v>
      </c>
      <c r="K41" s="1" t="n">
        <f aca="false">SUMIF(entradas26[CODIGO],chino26[[#This Row],[CODIGO ]],entradas26[[CAN JUEGOS ]])</f>
        <v>0</v>
      </c>
      <c r="L41" s="1" t="n">
        <f aca="false">SUMIF(entradas26[CODIGO],chino26[[#This Row],[CODIGO ]],entradas26[CAN BARRAS])</f>
        <v>0</v>
      </c>
      <c r="M41" s="1" t="n">
        <f aca="false">SUMIF(salidas26[[CODIGO ]],chino26[[#This Row],[CODIGO ]],salidas26[[CANT JUEGOS ]])</f>
        <v>0</v>
      </c>
      <c r="N41" s="1" t="n">
        <f aca="false">SUMIF(salidas26[[CODIGO ]],chino26[[#This Row],[CODIGO ]],salidas26[CANT BARRAS])</f>
        <v>12</v>
      </c>
      <c r="O41" s="1" t="n">
        <f aca="false">(chino26[[#This Row],["J"PRECIO COMPRA ]]*chino26[[#This Row],[STOCK JUEGOS]])</f>
        <v>0</v>
      </c>
      <c r="P41" s="1" t="n">
        <f aca="false">(chino26[[#This Row],["J" PRECIO VENTA ]]*chino26[[#This Row],[STOCK JUEGOS]])</f>
        <v>0</v>
      </c>
      <c r="Q41" s="1" t="n">
        <f aca="false">(chino26[[#This Row],["B"PRECIO COMPRA]]*chino26[[#This Row],[STOCK BARRAS]])</f>
        <v>44.1</v>
      </c>
      <c r="R41" s="1" t="n">
        <f aca="false">(chino26[[#This Row],["B"PRECIO VENTA ]]*chino26[[#This Row],[STOCK BARRAS]])</f>
        <v>73.5</v>
      </c>
      <c r="S41" s="18" t="n">
        <v>0</v>
      </c>
      <c r="T41" s="18" t="n">
        <v>33</v>
      </c>
    </row>
    <row r="42" customFormat="false" ht="15" hidden="false" customHeight="false" outlineLevel="0" collapsed="false">
      <c r="A42" s="1" t="n">
        <v>40</v>
      </c>
      <c r="B42" s="1" t="n">
        <v>8129</v>
      </c>
      <c r="C42" s="15" t="s">
        <v>472</v>
      </c>
      <c r="D42" s="1" t="n">
        <f aca="false">(chino26[[#This Row],[CANTIDAD INICIAL JUEGO ]]+chino26[[#This Row],[ENTRADAS JUEGOS ]]-chino26[[#This Row],[SALIDAS JUEGOS]])</f>
        <v>0</v>
      </c>
      <c r="E42" s="1" t="n">
        <f aca="false">(chino26[[#This Row],[CANTIDAD INICIAL BARRAS]]+chino26[[#This Row],[ENTRADAS BARRAS]]-chino26[[#This Row],[SALIDA BARRAS]])</f>
        <v>4</v>
      </c>
      <c r="F42" s="23" t="n">
        <v>3.5</v>
      </c>
      <c r="G42" s="1" t="n">
        <v>2.2</v>
      </c>
      <c r="H42" s="1" t="n">
        <v>1</v>
      </c>
      <c r="I42" s="1" t="n">
        <f aca="false">(chino26[[#This Row],["J" PRECIO VENTA ]]/chino26[[#This Row],[BARRAS]])</f>
        <v>3.5</v>
      </c>
      <c r="J42" s="1" t="n">
        <f aca="false">(chino26[[#This Row],["J"PRECIO COMPRA ]]/chino26[[#This Row],[BARRAS]])</f>
        <v>2.2</v>
      </c>
      <c r="K42" s="1" t="n">
        <f aca="false">SUMIF(entradas26[CODIGO],chino26[[#This Row],[CODIGO ]],entradas26[[CAN JUEGOS ]])</f>
        <v>0</v>
      </c>
      <c r="L42" s="1" t="n">
        <f aca="false">SUMIF(entradas26[CODIGO],chino26[[#This Row],[CODIGO ]],entradas26[CAN BARRAS])</f>
        <v>0</v>
      </c>
      <c r="M42" s="1" t="n">
        <f aca="false">SUMIF(salidas26[[CODIGO ]],chino26[[#This Row],[CODIGO ]],salidas26[[CANT JUEGOS ]])</f>
        <v>0</v>
      </c>
      <c r="N42" s="1" t="n">
        <f aca="false">SUMIF(salidas26[[CODIGO ]],chino26[[#This Row],[CODIGO ]],salidas26[CANT BARRAS])</f>
        <v>5</v>
      </c>
      <c r="O42" s="1" t="n">
        <f aca="false">(chino26[[#This Row],["J"PRECIO COMPRA ]]*chino26[[#This Row],[STOCK JUEGOS]])</f>
        <v>0</v>
      </c>
      <c r="P42" s="1" t="n">
        <f aca="false">(chino26[[#This Row],["J" PRECIO VENTA ]]*chino26[[#This Row],[STOCK JUEGOS]])</f>
        <v>0</v>
      </c>
      <c r="Q42" s="1" t="n">
        <f aca="false">(chino26[[#This Row],["B"PRECIO COMPRA]]*chino26[[#This Row],[STOCK BARRAS]])</f>
        <v>8.8</v>
      </c>
      <c r="R42" s="1" t="n">
        <f aca="false">(chino26[[#This Row],["B"PRECIO VENTA ]]*chino26[[#This Row],[STOCK BARRAS]])</f>
        <v>14</v>
      </c>
      <c r="S42" s="1" t="n">
        <v>0</v>
      </c>
      <c r="T42" s="1" t="n">
        <v>9</v>
      </c>
    </row>
    <row r="43" customFormat="false" ht="15" hidden="false" customHeight="false" outlineLevel="0" collapsed="false">
      <c r="A43" s="1" t="n">
        <v>41</v>
      </c>
      <c r="B43" s="67" t="n">
        <v>8124</v>
      </c>
      <c r="C43" s="60" t="s">
        <v>473</v>
      </c>
      <c r="D43" s="1" t="n">
        <f aca="false">(chino26[[#This Row],[CANTIDAD INICIAL JUEGO ]]+chino26[[#This Row],[ENTRADAS JUEGOS ]]-chino26[[#This Row],[SALIDAS JUEGOS]])</f>
        <v>-20</v>
      </c>
      <c r="E43" s="1" t="n">
        <f aca="false">(chino26[[#This Row],[CANTIDAD INICIAL BARRAS]]+chino26[[#This Row],[ENTRADAS BARRAS]]-chino26[[#This Row],[SALIDA BARRAS]])</f>
        <v>665</v>
      </c>
      <c r="F43" s="23" t="n">
        <v>3.5</v>
      </c>
      <c r="G43" s="1" t="n">
        <v>2</v>
      </c>
      <c r="H43" s="1" t="n">
        <v>1</v>
      </c>
      <c r="I43" s="1" t="n">
        <f aca="false">(chino26[[#This Row],["J" PRECIO VENTA ]]/chino26[[#This Row],[BARRAS]])</f>
        <v>3.5</v>
      </c>
      <c r="J43" s="1" t="n">
        <f aca="false">(chino26[[#This Row],["J"PRECIO COMPRA ]]/chino26[[#This Row],[BARRAS]])</f>
        <v>2</v>
      </c>
      <c r="K43" s="1" t="n">
        <f aca="false">SUMIF(entradas26[CODIGO],chino26[[#This Row],[CODIGO ]],entradas26[[CAN JUEGOS ]])</f>
        <v>0</v>
      </c>
      <c r="L43" s="1" t="n">
        <f aca="false">SUMIF(entradas26[CODIGO],chino26[[#This Row],[CODIGO ]],entradas26[CAN BARRAS])</f>
        <v>0</v>
      </c>
      <c r="M43" s="1" t="n">
        <f aca="false">SUMIF(salidas26[[CODIGO ]],chino26[[#This Row],[CODIGO ]],salidas26[[CANT JUEGOS ]])</f>
        <v>20</v>
      </c>
      <c r="N43" s="1" t="n">
        <f aca="false">SUMIF(salidas26[[CODIGO ]],chino26[[#This Row],[CODIGO ]],salidas26[CANT BARRAS])</f>
        <v>200</v>
      </c>
      <c r="O43" s="1" t="n">
        <f aca="false">(chino26[[#This Row],["J"PRECIO COMPRA ]]*chino26[[#This Row],[STOCK JUEGOS]])</f>
        <v>-40</v>
      </c>
      <c r="P43" s="1" t="n">
        <f aca="false">(chino26[[#This Row],["J" PRECIO VENTA ]]*chino26[[#This Row],[STOCK JUEGOS]])</f>
        <v>-70</v>
      </c>
      <c r="Q43" s="1" t="n">
        <f aca="false">(chino26[[#This Row],["B"PRECIO COMPRA]]*chino26[[#This Row],[STOCK BARRAS]])</f>
        <v>1330</v>
      </c>
      <c r="R43" s="1" t="n">
        <f aca="false">(chino26[[#This Row],["B"PRECIO VENTA ]]*chino26[[#This Row],[STOCK BARRAS]])</f>
        <v>2327.5</v>
      </c>
      <c r="S43" s="18" t="n">
        <v>0</v>
      </c>
      <c r="T43" s="18" t="n">
        <v>865</v>
      </c>
    </row>
    <row r="44" customFormat="false" ht="15" hidden="false" customHeight="false" outlineLevel="0" collapsed="false">
      <c r="A44" s="1" t="n">
        <v>42</v>
      </c>
      <c r="B44" s="1" t="n">
        <v>8130</v>
      </c>
      <c r="C44" s="60" t="s">
        <v>474</v>
      </c>
      <c r="D44" s="1" t="n">
        <f aca="false">(chino26[[#This Row],[CANTIDAD INICIAL JUEGO ]]+chino26[[#This Row],[ENTRADAS JUEGOS ]]-chino26[[#This Row],[SALIDAS JUEGOS]])</f>
        <v>0</v>
      </c>
      <c r="E44" s="1" t="n">
        <f aca="false">(chino26[[#This Row],[CANTIDAD INICIAL BARRAS]]+chino26[[#This Row],[ENTRADAS BARRAS]]-chino26[[#This Row],[SALIDA BARRAS]])</f>
        <v>1469</v>
      </c>
      <c r="F44" s="23" t="n">
        <v>3.5</v>
      </c>
      <c r="G44" s="1" t="n">
        <v>2.2</v>
      </c>
      <c r="H44" s="1" t="n">
        <v>1</v>
      </c>
      <c r="I44" s="1" t="n">
        <f aca="false">(chino26[[#This Row],["J" PRECIO VENTA ]]/chino26[[#This Row],[BARRAS]])</f>
        <v>3.5</v>
      </c>
      <c r="J44" s="1" t="n">
        <f aca="false">(chino26[[#This Row],["J"PRECIO COMPRA ]]/chino26[[#This Row],[BARRAS]])</f>
        <v>2.2</v>
      </c>
      <c r="K44" s="1" t="n">
        <f aca="false">SUMIF(entradas26[CODIGO],chino26[[#This Row],[CODIGO ]],entradas26[[CAN JUEGOS ]])</f>
        <v>0</v>
      </c>
      <c r="L44" s="1" t="n">
        <f aca="false">SUMIF(entradas26[CODIGO],chino26[[#This Row],[CODIGO ]],entradas26[CAN BARRAS])</f>
        <v>0</v>
      </c>
      <c r="M44" s="1" t="n">
        <f aca="false">SUMIF(salidas26[[CODIGO ]],chino26[[#This Row],[CODIGO ]],salidas26[[CANT JUEGOS ]])</f>
        <v>0</v>
      </c>
      <c r="N44" s="1" t="n">
        <f aca="false">SUMIF(salidas26[[CODIGO ]],chino26[[#This Row],[CODIGO ]],salidas26[CANT BARRAS])</f>
        <v>176</v>
      </c>
      <c r="O44" s="1" t="n">
        <f aca="false">(chino26[[#This Row],["J"PRECIO COMPRA ]]*chino26[[#This Row],[STOCK JUEGOS]])</f>
        <v>0</v>
      </c>
      <c r="P44" s="1" t="n">
        <f aca="false">(chino26[[#This Row],["J" PRECIO VENTA ]]*chino26[[#This Row],[STOCK JUEGOS]])</f>
        <v>0</v>
      </c>
      <c r="Q44" s="1" t="n">
        <f aca="false">(chino26[[#This Row],["B"PRECIO COMPRA]]*chino26[[#This Row],[STOCK BARRAS]])</f>
        <v>3231.8</v>
      </c>
      <c r="R44" s="1" t="n">
        <f aca="false">(chino26[[#This Row],["B"PRECIO VENTA ]]*chino26[[#This Row],[STOCK BARRAS]])</f>
        <v>5141.5</v>
      </c>
      <c r="S44" s="18" t="n">
        <v>0</v>
      </c>
      <c r="T44" s="18" t="n">
        <v>1645</v>
      </c>
    </row>
  </sheetData>
  <mergeCells count="1">
    <mergeCell ref="B2:V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W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W5" activeCellId="0" sqref="W5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8.72"/>
    <col collapsed="false" customWidth="true" hidden="false" outlineLevel="0" max="3" min="3" style="1" width="30"/>
    <col collapsed="false" customWidth="true" hidden="false" outlineLevel="0" max="10" min="4" style="1" width="8.86"/>
    <col collapsed="false" customWidth="true" hidden="true" outlineLevel="0" max="18" min="11" style="1" width="8.86"/>
    <col collapsed="false" customWidth="true" hidden="false" outlineLevel="0" max="20" min="19" style="1" width="8.86"/>
    <col collapsed="false" customWidth="true" hidden="false" outlineLevel="0" max="21" min="21" style="1" width="12"/>
    <col collapsed="false" customWidth="true" hidden="false" outlineLevel="0" max="22" min="22" style="1" width="10.29"/>
  </cols>
  <sheetData>
    <row r="2" customFormat="false" ht="15" hidden="false" customHeight="false" outlineLevel="0" collapsed="false">
      <c r="B2" s="2" t="s">
        <v>475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5" hidden="false" customHeight="fals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38.25" hidden="false" customHeight="true" outlineLevel="0" collapsed="false">
      <c r="B4" s="3" t="s">
        <v>1</v>
      </c>
      <c r="C4" s="3" t="s">
        <v>2</v>
      </c>
      <c r="D4" s="4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9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8" t="s">
        <v>14</v>
      </c>
      <c r="P4" s="11" t="s">
        <v>15</v>
      </c>
      <c r="Q4" s="8" t="s">
        <v>16</v>
      </c>
      <c r="R4" s="8" t="s">
        <v>17</v>
      </c>
      <c r="S4" s="11" t="s">
        <v>18</v>
      </c>
      <c r="T4" s="12" t="s">
        <v>19</v>
      </c>
      <c r="U4" s="13" t="s">
        <v>20</v>
      </c>
      <c r="V4" s="14" t="s">
        <v>21</v>
      </c>
      <c r="W4" s="15" t="s">
        <v>22</v>
      </c>
    </row>
    <row r="5" customFormat="false" ht="16.4" hidden="false" customHeight="false" outlineLevel="0" collapsed="false">
      <c r="A5" s="1" t="n">
        <v>1</v>
      </c>
      <c r="B5" s="1" t="n">
        <v>8021</v>
      </c>
      <c r="C5" s="52" t="s">
        <v>476</v>
      </c>
      <c r="D5" s="1" t="n">
        <f aca="false">(aocyjvc26[[#This Row],[CANTIDAD INICIAL JUEGO ]]+aocyjvc26[[#This Row],[ENTRADAS JUEGOS ]]-aocyjvc26[[#This Row],[SALIDAS JUEGOS]])</f>
        <v>2</v>
      </c>
      <c r="E5" s="1" t="n">
        <f aca="false">(aocyjvc26[[#This Row],[CANTIDAD INICIAL BARRAS]]+aocyjvc26[[#This Row],[ENTRADAS BARRAS]]-aocyjvc26[[#This Row],[SALIDA BARRAS]])</f>
        <v>1</v>
      </c>
      <c r="F5" s="23" t="n">
        <v>60</v>
      </c>
      <c r="G5" s="1" t="n">
        <v>21</v>
      </c>
      <c r="H5" s="1" t="n">
        <v>2</v>
      </c>
      <c r="I5" s="1" t="n">
        <f aca="false">(aocyjvc26[[#This Row],["J" PRECIO VENTA ]]/aocyjvc26[[#This Row],[BARRAS]])</f>
        <v>30</v>
      </c>
      <c r="J5" s="1" t="n">
        <f aca="false">(aocyjvc26[[#This Row],["J"PRECIO COMPRA ]]/aocyjvc26[[#This Row],[BARRAS]])</f>
        <v>10.5</v>
      </c>
      <c r="K5" s="1" t="n">
        <f aca="false">SUMIF(entradas26[CODIGO],aocyjvc26[[#This Row],[CODIGO ]],entradas26[[CAN JUEGOS ]])</f>
        <v>0</v>
      </c>
      <c r="L5" s="1" t="n">
        <f aca="false">SUMIF(entradas26[CODIGO],aocyjvc26[[#This Row],[CODIGO ]],entradas26[CAN BARRAS])</f>
        <v>2</v>
      </c>
      <c r="M5" s="1" t="n">
        <f aca="false">SUMIF(salidas26[[CODIGO ]],aocyjvc26[[#This Row],[CODIGO ]],salidas26[[CANT JUEGOS ]])</f>
        <v>25</v>
      </c>
      <c r="N5" s="1" t="n">
        <f aca="false">SUMIF(salidas26[[CODIGO ]],aocyjvc26[[#This Row],[CODIGO ]],salidas26[CANT BARRAS])</f>
        <v>1</v>
      </c>
      <c r="O5" s="1" t="n">
        <f aca="false">(aocyjvc26[[#This Row],["J"PRECIO COMPRA ]]*aocyjvc26[[#This Row],[STOCK JUEGOS]])</f>
        <v>42</v>
      </c>
      <c r="P5" s="1" t="n">
        <f aca="false">(aocyjvc26[[#This Row],["J" PRECIO VENTA ]]*aocyjvc26[[#This Row],[STOCK JUEGOS]])</f>
        <v>120</v>
      </c>
      <c r="Q5" s="1" t="n">
        <f aca="false">(aocyjvc26[[#This Row],["B"PRECIO COMPRA]]*aocyjvc26[[#This Row],[STOCK BARRAS]])</f>
        <v>10.5</v>
      </c>
      <c r="R5" s="1" t="n">
        <f aca="false">(aocyjvc26[[#This Row],["B"PRECIO VENTA ]]*aocyjvc26[[#This Row],[STOCK BARRAS]])</f>
        <v>30</v>
      </c>
      <c r="S5" s="18" t="n">
        <v>27</v>
      </c>
      <c r="T5" s="18"/>
    </row>
    <row r="6" customFormat="false" ht="16.4" hidden="false" customHeight="false" outlineLevel="0" collapsed="false">
      <c r="A6" s="1" t="n">
        <v>3</v>
      </c>
      <c r="B6" s="1" t="n">
        <v>8060</v>
      </c>
      <c r="C6" s="52" t="s">
        <v>477</v>
      </c>
      <c r="D6" s="1" t="n">
        <f aca="false">(aocyjvc26[[#This Row],[CANTIDAD INICIAL JUEGO ]]+aocyjvc26[[#This Row],[ENTRADAS JUEGOS ]]-aocyjvc26[[#This Row],[SALIDAS JUEGOS]])</f>
        <v>2</v>
      </c>
      <c r="E6" s="1" t="n">
        <f aca="false">(aocyjvc26[[#This Row],[CANTIDAD INICIAL BARRAS]]+aocyjvc26[[#This Row],[ENTRADAS BARRAS]]-aocyjvc26[[#This Row],[SALIDA BARRAS]])</f>
        <v>0</v>
      </c>
      <c r="F6" s="23" t="n">
        <v>200</v>
      </c>
      <c r="G6" s="34" t="n">
        <v>100</v>
      </c>
      <c r="H6" s="1" t="n">
        <v>2</v>
      </c>
      <c r="I6" s="1" t="n">
        <f aca="false">(aocyjvc26[[#This Row],["J" PRECIO VENTA ]]/aocyjvc26[[#This Row],[BARRAS]])</f>
        <v>100</v>
      </c>
      <c r="J6" s="1" t="n">
        <f aca="false">(aocyjvc26[[#This Row],["J"PRECIO COMPRA ]]/aocyjvc26[[#This Row],[BARRAS]])</f>
        <v>50</v>
      </c>
      <c r="K6" s="1" t="n">
        <f aca="false">SUMIF(entradas26[CODIGO],aocyjvc26[[#This Row],[CODIGO ]],entradas26[[CAN JUEGOS ]])</f>
        <v>0</v>
      </c>
      <c r="L6" s="1" t="n">
        <f aca="false">SUMIF(entradas26[CODIGO],aocyjvc26[[#This Row],[CODIGO ]],entradas26[CAN BARRAS])</f>
        <v>0</v>
      </c>
      <c r="M6" s="1" t="n">
        <f aca="false">SUMIF(salidas26[[CODIGO ]],aocyjvc26[[#This Row],[CODIGO ]],salidas26[[CANT JUEGOS ]])</f>
        <v>0</v>
      </c>
      <c r="N6" s="1" t="n">
        <f aca="false">SUMIF(salidas26[[CODIGO ]],aocyjvc26[[#This Row],[CODIGO ]],salidas26[CANT BARRAS])</f>
        <v>0</v>
      </c>
      <c r="O6" s="1" t="n">
        <f aca="false">(aocyjvc26[[#This Row],["J"PRECIO COMPRA ]]*aocyjvc26[[#This Row],[STOCK JUEGOS]])</f>
        <v>200</v>
      </c>
      <c r="P6" s="1" t="n">
        <f aca="false">(aocyjvc26[[#This Row],["J" PRECIO VENTA ]]*aocyjvc26[[#This Row],[STOCK JUEGOS]])</f>
        <v>400</v>
      </c>
      <c r="Q6" s="1" t="n">
        <f aca="false">(aocyjvc26[[#This Row],["B"PRECIO COMPRA]]*aocyjvc26[[#This Row],[STOCK BARRAS]])</f>
        <v>0</v>
      </c>
      <c r="R6" s="1" t="n">
        <f aca="false">(aocyjvc26[[#This Row],["B"PRECIO VENTA ]]*aocyjvc26[[#This Row],[STOCK BARRAS]])</f>
        <v>0</v>
      </c>
      <c r="S6" s="18" t="n">
        <v>2</v>
      </c>
      <c r="T6" s="18"/>
    </row>
    <row r="7" customFormat="false" ht="16.4" hidden="false" customHeight="false" outlineLevel="0" collapsed="false">
      <c r="A7" s="1" t="n">
        <v>4</v>
      </c>
      <c r="B7" s="1" t="n">
        <v>8070</v>
      </c>
      <c r="C7" s="52" t="s">
        <v>478</v>
      </c>
      <c r="D7" s="1" t="n">
        <f aca="false">(aocyjvc26[[#This Row],[CANTIDAD INICIAL JUEGO ]]+aocyjvc26[[#This Row],[ENTRADAS JUEGOS ]]-aocyjvc26[[#This Row],[SALIDAS JUEGOS]])</f>
        <v>17</v>
      </c>
      <c r="E7" s="1" t="n">
        <f aca="false">(aocyjvc26[[#This Row],[CANTIDAD INICIAL BARRAS]]+aocyjvc26[[#This Row],[ENTRADAS BARRAS]]-aocyjvc26[[#This Row],[SALIDA BARRAS]])</f>
        <v>0</v>
      </c>
      <c r="F7" s="23" t="n">
        <v>250</v>
      </c>
      <c r="G7" s="1" t="n">
        <v>150</v>
      </c>
      <c r="H7" s="1" t="n">
        <v>4</v>
      </c>
      <c r="I7" s="1" t="n">
        <f aca="false">(aocyjvc26[[#This Row],["J" PRECIO VENTA ]]/aocyjvc26[[#This Row],[BARRAS]])</f>
        <v>62.5</v>
      </c>
      <c r="J7" s="1" t="n">
        <f aca="false">(aocyjvc26[[#This Row],["J"PRECIO COMPRA ]]/aocyjvc26[[#This Row],[BARRAS]])</f>
        <v>37.5</v>
      </c>
      <c r="K7" s="1" t="n">
        <f aca="false">SUMIF(entradas26[CODIGO],aocyjvc26[[#This Row],[CODIGO ]],entradas26[[CAN JUEGOS ]])</f>
        <v>0</v>
      </c>
      <c r="L7" s="1" t="n">
        <f aca="false">SUMIF(entradas26[CODIGO],aocyjvc26[[#This Row],[CODIGO ]],entradas26[CAN BARRAS])</f>
        <v>0</v>
      </c>
      <c r="M7" s="1" t="n">
        <f aca="false">SUMIF(salidas26[[CODIGO ]],aocyjvc26[[#This Row],[CODIGO ]],salidas26[[CANT JUEGOS ]])</f>
        <v>3</v>
      </c>
      <c r="N7" s="1" t="n">
        <f aca="false">SUMIF(salidas26[[CODIGO ]],aocyjvc26[[#This Row],[CODIGO ]],salidas26[CANT BARRAS])</f>
        <v>0</v>
      </c>
      <c r="O7" s="1" t="n">
        <f aca="false">(aocyjvc26[[#This Row],["J"PRECIO COMPRA ]]*aocyjvc26[[#This Row],[STOCK JUEGOS]])</f>
        <v>2550</v>
      </c>
      <c r="P7" s="1" t="n">
        <f aca="false">(aocyjvc26[[#This Row],["J" PRECIO VENTA ]]*aocyjvc26[[#This Row],[STOCK JUEGOS]])</f>
        <v>4250</v>
      </c>
      <c r="Q7" s="1" t="n">
        <f aca="false">(aocyjvc26[[#This Row],["B"PRECIO COMPRA]]*aocyjvc26[[#This Row],[STOCK BARRAS]])</f>
        <v>0</v>
      </c>
      <c r="R7" s="1" t="n">
        <f aca="false">(aocyjvc26[[#This Row],["B"PRECIO VENTA ]]*aocyjvc26[[#This Row],[STOCK BARRAS]])</f>
        <v>0</v>
      </c>
      <c r="S7" s="18" t="n">
        <v>20</v>
      </c>
      <c r="T7" s="18"/>
      <c r="U7" s="1" t="n">
        <v>7.5</v>
      </c>
      <c r="W7" s="0" t="s">
        <v>479</v>
      </c>
    </row>
    <row r="8" customFormat="false" ht="15" hidden="false" customHeight="false" outlineLevel="0" collapsed="false">
      <c r="A8" s="1" t="n">
        <v>6</v>
      </c>
      <c r="B8" s="1" t="n">
        <v>8099</v>
      </c>
      <c r="C8" s="68" t="s">
        <v>480</v>
      </c>
      <c r="D8" s="1" t="n">
        <f aca="false">(aocyjvc26[[#This Row],[CANTIDAD INICIAL JUEGO ]]+aocyjvc26[[#This Row],[ENTRADAS JUEGOS ]]-aocyjvc26[[#This Row],[SALIDAS JUEGOS]])</f>
        <v>4</v>
      </c>
      <c r="E8" s="1" t="n">
        <f aca="false">(aocyjvc26[[#This Row],[CANTIDAD INICIAL BARRAS]]+aocyjvc26[[#This Row],[ENTRADAS BARRAS]]-aocyjvc26[[#This Row],[SALIDA BARRAS]])</f>
        <v>0</v>
      </c>
      <c r="F8" s="23" t="n">
        <v>350</v>
      </c>
      <c r="G8" s="1" t="n">
        <v>76.3</v>
      </c>
      <c r="H8" s="1" t="n">
        <v>4</v>
      </c>
      <c r="I8" s="1" t="n">
        <f aca="false">(aocyjvc26[[#This Row],["J" PRECIO VENTA ]]/aocyjvc26[[#This Row],[BARRAS]])</f>
        <v>87.5</v>
      </c>
      <c r="J8" s="1" t="n">
        <f aca="false">(aocyjvc26[[#This Row],["J"PRECIO COMPRA ]]/aocyjvc26[[#This Row],[BARRAS]])</f>
        <v>19.075</v>
      </c>
      <c r="K8" s="1" t="n">
        <f aca="false">SUMIF(entradas26[CODIGO],aocyjvc26[[#This Row],[CODIGO ]],entradas26[[CAN JUEGOS ]])</f>
        <v>0</v>
      </c>
      <c r="L8" s="1" t="n">
        <f aca="false">SUMIF(entradas26[CODIGO],aocyjvc26[[#This Row],[CODIGO ]],entradas26[CAN BARRAS])</f>
        <v>0</v>
      </c>
      <c r="M8" s="1" t="n">
        <f aca="false">SUMIF(salidas26[[CODIGO ]],aocyjvc26[[#This Row],[CODIGO ]],salidas26[[CANT JUEGOS ]])</f>
        <v>2</v>
      </c>
      <c r="N8" s="1" t="n">
        <f aca="false">SUMIF(salidas26[[CODIGO ]],aocyjvc26[[#This Row],[CODIGO ]],salidas26[CANT BARRAS])</f>
        <v>0</v>
      </c>
      <c r="O8" s="1" t="n">
        <f aca="false">(aocyjvc26[[#This Row],["J"PRECIO COMPRA ]]*aocyjvc26[[#This Row],[STOCK JUEGOS]])</f>
        <v>305.2</v>
      </c>
      <c r="P8" s="1" t="n">
        <f aca="false">(aocyjvc26[[#This Row],["J" PRECIO VENTA ]]*aocyjvc26[[#This Row],[STOCK JUEGOS]])</f>
        <v>1400</v>
      </c>
      <c r="Q8" s="1" t="n">
        <f aca="false">(aocyjvc26[[#This Row],["B"PRECIO COMPRA]]*aocyjvc26[[#This Row],[STOCK BARRAS]])</f>
        <v>0</v>
      </c>
      <c r="R8" s="1" t="n">
        <f aca="false">(aocyjvc26[[#This Row],["B"PRECIO VENTA ]]*aocyjvc26[[#This Row],[STOCK BARRAS]])</f>
        <v>0</v>
      </c>
      <c r="S8" s="18" t="n">
        <v>6</v>
      </c>
      <c r="T8" s="18"/>
    </row>
    <row r="9" customFormat="false" ht="16.4" hidden="false" customHeight="false" outlineLevel="0" collapsed="false">
      <c r="A9" s="1" t="n">
        <v>7</v>
      </c>
      <c r="B9" s="1" t="n">
        <v>8100</v>
      </c>
      <c r="C9" s="52" t="s">
        <v>481</v>
      </c>
      <c r="D9" s="1" t="n">
        <f aca="false">(aocyjvc26[[#This Row],[CANTIDAD INICIAL JUEGO ]]+aocyjvc26[[#This Row],[ENTRADAS JUEGOS ]]-aocyjvc26[[#This Row],[SALIDAS JUEGOS]])</f>
        <v>11</v>
      </c>
      <c r="E9" s="1" t="n">
        <f aca="false">(aocyjvc26[[#This Row],[CANTIDAD INICIAL BARRAS]]+aocyjvc26[[#This Row],[ENTRADAS BARRAS]]-aocyjvc26[[#This Row],[SALIDA BARRAS]])</f>
        <v>0</v>
      </c>
      <c r="F9" s="23" t="n">
        <v>300</v>
      </c>
      <c r="G9" s="1" t="n">
        <v>80</v>
      </c>
      <c r="H9" s="1" t="n">
        <v>5</v>
      </c>
      <c r="I9" s="1" t="n">
        <f aca="false">(aocyjvc26[[#This Row],["J" PRECIO VENTA ]]/aocyjvc26[[#This Row],[BARRAS]])</f>
        <v>60</v>
      </c>
      <c r="J9" s="1" t="n">
        <f aca="false">(aocyjvc26[[#This Row],["J"PRECIO COMPRA ]]/aocyjvc26[[#This Row],[BARRAS]])</f>
        <v>16</v>
      </c>
      <c r="K9" s="1" t="n">
        <f aca="false">SUMIF(entradas26[CODIGO],aocyjvc26[[#This Row],[CODIGO ]],entradas26[[CAN JUEGOS ]])</f>
        <v>0</v>
      </c>
      <c r="L9" s="1" t="n">
        <f aca="false">SUMIF(entradas26[CODIGO],aocyjvc26[[#This Row],[CODIGO ]],entradas26[CAN BARRAS])</f>
        <v>0</v>
      </c>
      <c r="M9" s="1" t="n">
        <f aca="false">SUMIF(salidas26[[CODIGO ]],aocyjvc26[[#This Row],[CODIGO ]],salidas26[[CANT JUEGOS ]])</f>
        <v>9</v>
      </c>
      <c r="N9" s="1" t="n">
        <f aca="false">SUMIF(salidas26[[CODIGO ]],aocyjvc26[[#This Row],[CODIGO ]],salidas26[CANT BARRAS])</f>
        <v>0</v>
      </c>
      <c r="O9" s="1" t="n">
        <f aca="false">(aocyjvc26[[#This Row],["J"PRECIO COMPRA ]]*aocyjvc26[[#This Row],[STOCK JUEGOS]])</f>
        <v>880</v>
      </c>
      <c r="P9" s="1" t="n">
        <f aca="false">(aocyjvc26[[#This Row],["J" PRECIO VENTA ]]*aocyjvc26[[#This Row],[STOCK JUEGOS]])</f>
        <v>3300</v>
      </c>
      <c r="Q9" s="1" t="n">
        <f aca="false">(aocyjvc26[[#This Row],["B"PRECIO COMPRA]]*aocyjvc26[[#This Row],[STOCK BARRAS]])</f>
        <v>0</v>
      </c>
      <c r="R9" s="1" t="n">
        <f aca="false">(aocyjvc26[[#This Row],["B"PRECIO VENTA ]]*aocyjvc26[[#This Row],[STOCK BARRAS]])</f>
        <v>0</v>
      </c>
      <c r="S9" s="18" t="n">
        <v>20</v>
      </c>
      <c r="T9" s="18"/>
      <c r="U9" s="1" t="n">
        <v>4</v>
      </c>
      <c r="W9" s="0" t="s">
        <v>482</v>
      </c>
    </row>
    <row r="10" customFormat="false" ht="16.4" hidden="false" customHeight="false" outlineLevel="0" collapsed="false">
      <c r="A10" s="1" t="n">
        <v>8</v>
      </c>
      <c r="B10" s="1" t="n">
        <v>8101</v>
      </c>
      <c r="C10" s="52" t="s">
        <v>483</v>
      </c>
      <c r="D10" s="1" t="n">
        <f aca="false">(aocyjvc26[[#This Row],[CANTIDAD INICIAL JUEGO ]]+aocyjvc26[[#This Row],[ENTRADAS JUEGOS ]]-aocyjvc26[[#This Row],[SALIDAS JUEGOS]])</f>
        <v>19</v>
      </c>
      <c r="E10" s="1" t="n">
        <f aca="false">(aocyjvc26[[#This Row],[CANTIDAD INICIAL BARRAS]]+aocyjvc26[[#This Row],[ENTRADAS BARRAS]]-aocyjvc26[[#This Row],[SALIDA BARRAS]])</f>
        <v>11</v>
      </c>
      <c r="F10" s="23" t="n">
        <v>400</v>
      </c>
      <c r="G10" s="1" t="n">
        <v>155</v>
      </c>
      <c r="H10" s="1" t="n">
        <v>12</v>
      </c>
      <c r="I10" s="1" t="n">
        <f aca="false">(aocyjvc26[[#This Row],["J" PRECIO VENTA ]]/aocyjvc26[[#This Row],[BARRAS]])</f>
        <v>33.3333333333333</v>
      </c>
      <c r="J10" s="1" t="n">
        <f aca="false">(aocyjvc26[[#This Row],["J"PRECIO COMPRA ]]/aocyjvc26[[#This Row],[BARRAS]])</f>
        <v>12.9166666666667</v>
      </c>
      <c r="K10" s="1" t="n">
        <f aca="false">SUMIF(entradas26[CODIGO],aocyjvc26[[#This Row],[CODIGO ]],entradas26[[CAN JUEGOS ]])</f>
        <v>0</v>
      </c>
      <c r="L10" s="1" t="n">
        <f aca="false">SUMIF(entradas26[CODIGO],aocyjvc26[[#This Row],[CODIGO ]],entradas26[CAN BARRAS])</f>
        <v>0</v>
      </c>
      <c r="M10" s="1" t="n">
        <f aca="false">SUMIF(salidas26[[CODIGO ]],aocyjvc26[[#This Row],[CODIGO ]],salidas26[[CANT JUEGOS ]])</f>
        <v>2</v>
      </c>
      <c r="N10" s="1" t="n">
        <f aca="false">SUMIF(salidas26[[CODIGO ]],aocyjvc26[[#This Row],[CODIGO ]],salidas26[CANT BARRAS])</f>
        <v>0</v>
      </c>
      <c r="O10" s="1" t="n">
        <f aca="false">(aocyjvc26[[#This Row],["J"PRECIO COMPRA ]]*aocyjvc26[[#This Row],[STOCK JUEGOS]])</f>
        <v>2945</v>
      </c>
      <c r="P10" s="1" t="n">
        <f aca="false">(aocyjvc26[[#This Row],["J" PRECIO VENTA ]]*aocyjvc26[[#This Row],[STOCK JUEGOS]])</f>
        <v>7600</v>
      </c>
      <c r="Q10" s="1" t="n">
        <f aca="false">(aocyjvc26[[#This Row],["B"PRECIO COMPRA]]*aocyjvc26[[#This Row],[STOCK BARRAS]])</f>
        <v>142.083333333333</v>
      </c>
      <c r="R10" s="1" t="n">
        <f aca="false">(aocyjvc26[[#This Row],["B"PRECIO VENTA ]]*aocyjvc26[[#This Row],[STOCK BARRAS]])</f>
        <v>366.666666666667</v>
      </c>
      <c r="S10" s="1" t="n">
        <v>21</v>
      </c>
      <c r="T10" s="1" t="n">
        <v>11</v>
      </c>
    </row>
    <row r="11" customFormat="false" ht="16.4" hidden="false" customHeight="false" outlineLevel="0" collapsed="false">
      <c r="A11" s="1" t="n">
        <v>9</v>
      </c>
      <c r="B11" s="1" t="n">
        <v>8104</v>
      </c>
      <c r="C11" s="52" t="s">
        <v>484</v>
      </c>
      <c r="D11" s="1" t="n">
        <f aca="false">(aocyjvc26[[#This Row],[CANTIDAD INICIAL JUEGO ]]+aocyjvc26[[#This Row],[ENTRADAS JUEGOS ]]-aocyjvc26[[#This Row],[SALIDAS JUEGOS]])</f>
        <v>11</v>
      </c>
      <c r="E11" s="1" t="n">
        <f aca="false">(aocyjvc26[[#This Row],[CANTIDAD INICIAL BARRAS]]+aocyjvc26[[#This Row],[ENTRADAS BARRAS]]-aocyjvc26[[#This Row],[SALIDA BARRAS]])</f>
        <v>0</v>
      </c>
      <c r="F11" s="23" t="n">
        <v>400</v>
      </c>
      <c r="G11" s="1" t="n">
        <v>125</v>
      </c>
      <c r="H11" s="1" t="n">
        <v>10</v>
      </c>
      <c r="I11" s="1" t="n">
        <f aca="false">(aocyjvc26[[#This Row],["J" PRECIO VENTA ]]/aocyjvc26[[#This Row],[BARRAS]])</f>
        <v>40</v>
      </c>
      <c r="J11" s="1" t="n">
        <f aca="false">(aocyjvc26[[#This Row],["J"PRECIO COMPRA ]]/aocyjvc26[[#This Row],[BARRAS]])</f>
        <v>12.5</v>
      </c>
      <c r="K11" s="1" t="n">
        <f aca="false">SUMIF(entradas26[CODIGO],aocyjvc26[[#This Row],[CODIGO ]],entradas26[[CAN JUEGOS ]])</f>
        <v>0</v>
      </c>
      <c r="L11" s="1" t="n">
        <f aca="false">SUMIF(entradas26[CODIGO],aocyjvc26[[#This Row],[CODIGO ]],entradas26[CAN BARRAS])</f>
        <v>0</v>
      </c>
      <c r="M11" s="1" t="n">
        <f aca="false">SUMIF(salidas26[[CODIGO ]],aocyjvc26[[#This Row],[CODIGO ]],salidas26[[CANT JUEGOS ]])</f>
        <v>3</v>
      </c>
      <c r="N11" s="1" t="n">
        <f aca="false">SUMIF(salidas26[[CODIGO ]],aocyjvc26[[#This Row],[CODIGO ]],salidas26[CANT BARRAS])</f>
        <v>0</v>
      </c>
      <c r="O11" s="1" t="n">
        <f aca="false">(aocyjvc26[[#This Row],["J"PRECIO COMPRA ]]*aocyjvc26[[#This Row],[STOCK JUEGOS]])</f>
        <v>1375</v>
      </c>
      <c r="P11" s="1" t="n">
        <f aca="false">(aocyjvc26[[#This Row],["J" PRECIO VENTA ]]*aocyjvc26[[#This Row],[STOCK JUEGOS]])</f>
        <v>4400</v>
      </c>
      <c r="Q11" s="1" t="n">
        <f aca="false">(aocyjvc26[[#This Row],["B"PRECIO COMPRA]]*aocyjvc26[[#This Row],[STOCK BARRAS]])</f>
        <v>0</v>
      </c>
      <c r="R11" s="1" t="n">
        <f aca="false">(aocyjvc26[[#This Row],["B"PRECIO VENTA ]]*aocyjvc26[[#This Row],[STOCK BARRAS]])</f>
        <v>0</v>
      </c>
      <c r="S11" s="18" t="n">
        <v>14</v>
      </c>
      <c r="T11" s="18"/>
    </row>
    <row r="12" customFormat="false" ht="16.4" hidden="false" customHeight="false" outlineLevel="0" collapsed="false">
      <c r="A12" s="1" t="n">
        <v>11</v>
      </c>
      <c r="B12" s="15" t="n">
        <v>9001</v>
      </c>
      <c r="C12" s="52" t="s">
        <v>485</v>
      </c>
      <c r="D12" s="1" t="n">
        <f aca="false">(aocyjvc26[[#This Row],[CANTIDAD INICIAL JUEGO ]]+aocyjvc26[[#This Row],[ENTRADAS JUEGOS ]]-aocyjvc26[[#This Row],[SALIDAS JUEGOS]])</f>
        <v>9</v>
      </c>
      <c r="E12" s="1" t="n">
        <f aca="false">(aocyjvc26[[#This Row],[CANTIDAD INICIAL BARRAS]]+aocyjvc26[[#This Row],[ENTRADAS BARRAS]]-aocyjvc26[[#This Row],[SALIDA BARRAS]])</f>
        <v>9</v>
      </c>
      <c r="F12" s="23" t="n">
        <v>450</v>
      </c>
      <c r="G12" s="1" t="n">
        <v>157</v>
      </c>
      <c r="H12" s="1" t="n">
        <v>12</v>
      </c>
      <c r="I12" s="1" t="n">
        <f aca="false">(aocyjvc26[[#This Row],["J" PRECIO VENTA ]]/aocyjvc26[[#This Row],[BARRAS]])</f>
        <v>37.5</v>
      </c>
      <c r="J12" s="1" t="n">
        <f aca="false">(aocyjvc26[[#This Row],["J"PRECIO COMPRA ]]/aocyjvc26[[#This Row],[BARRAS]])</f>
        <v>13.0833333333333</v>
      </c>
      <c r="K12" s="1" t="n">
        <f aca="false">SUMIF(entradas26[CODIGO],aocyjvc26[[#This Row],[CODIGO ]],entradas26[[CAN JUEGOS ]])</f>
        <v>0</v>
      </c>
      <c r="L12" s="1" t="n">
        <f aca="false">SUMIF(entradas26[CODIGO],aocyjvc26[[#This Row],[CODIGO ]],entradas26[CAN BARRAS])</f>
        <v>12</v>
      </c>
      <c r="M12" s="1" t="n">
        <f aca="false">SUMIF(salidas26[[CODIGO ]],aocyjvc26[[#This Row],[CODIGO ]],salidas26[[CANT JUEGOS ]])</f>
        <v>1</v>
      </c>
      <c r="N12" s="1" t="n">
        <f aca="false">SUMIF(salidas26[[CODIGO ]],aocyjvc26[[#This Row],[CODIGO ]],salidas26[CANT BARRAS])</f>
        <v>3</v>
      </c>
      <c r="O12" s="1" t="n">
        <f aca="false">(aocyjvc26[[#This Row],["J"PRECIO COMPRA ]]*aocyjvc26[[#This Row],[STOCK JUEGOS]])</f>
        <v>1413</v>
      </c>
      <c r="P12" s="1" t="n">
        <f aca="false">(aocyjvc26[[#This Row],["J" PRECIO VENTA ]]*aocyjvc26[[#This Row],[STOCK JUEGOS]])</f>
        <v>4050</v>
      </c>
      <c r="Q12" s="1" t="n">
        <f aca="false">(aocyjvc26[[#This Row],["B"PRECIO COMPRA]]*aocyjvc26[[#This Row],[STOCK BARRAS]])</f>
        <v>117.75</v>
      </c>
      <c r="R12" s="1" t="n">
        <f aca="false">(aocyjvc26[[#This Row],["B"PRECIO VENTA ]]*aocyjvc26[[#This Row],[STOCK BARRAS]])</f>
        <v>337.5</v>
      </c>
      <c r="S12" s="18" t="n">
        <v>10</v>
      </c>
      <c r="T12" s="18"/>
      <c r="U12" s="1" t="n">
        <v>7.85</v>
      </c>
      <c r="W12" s="0" t="s">
        <v>486</v>
      </c>
    </row>
    <row r="13" s="1" customFormat="true" ht="16.4" hidden="false" customHeight="false" outlineLevel="0" collapsed="false">
      <c r="A13" s="1" t="n">
        <v>12</v>
      </c>
      <c r="B13" s="1" t="n">
        <v>9002</v>
      </c>
      <c r="C13" s="52" t="s">
        <v>487</v>
      </c>
      <c r="D13" s="1" t="n">
        <f aca="false">(aocyjvc26[[#This Row],[CANTIDAD INICIAL JUEGO ]]+aocyjvc26[[#This Row],[ENTRADAS JUEGOS ]]-aocyjvc26[[#This Row],[SALIDAS JUEGOS]])</f>
        <v>9</v>
      </c>
      <c r="E13" s="1" t="n">
        <f aca="false">(aocyjvc26[[#This Row],[CANTIDAD INICIAL BARRAS]]+aocyjvc26[[#This Row],[ENTRADAS BARRAS]]-aocyjvc26[[#This Row],[SALIDA BARRAS]])</f>
        <v>0</v>
      </c>
      <c r="F13" s="32" t="n">
        <v>450</v>
      </c>
      <c r="G13" s="1" t="n">
        <v>237</v>
      </c>
      <c r="H13" s="1" t="n">
        <v>14</v>
      </c>
      <c r="I13" s="1" t="n">
        <f aca="false">(aocyjvc26[[#This Row],["J" PRECIO VENTA ]]/aocyjvc26[[#This Row],[BARRAS]])</f>
        <v>32.1428571428571</v>
      </c>
      <c r="J13" s="1" t="n">
        <f aca="false">(aocyjvc26[[#This Row],["J"PRECIO COMPRA ]]/aocyjvc26[[#This Row],[BARRAS]])</f>
        <v>16.9285714285714</v>
      </c>
      <c r="K13" s="1" t="n">
        <f aca="false">SUMIF(entradas26[CODIGO],aocyjvc26[[#This Row],[CODIGO ]],entradas26[[CAN JUEGOS ]])</f>
        <v>10</v>
      </c>
      <c r="L13" s="1" t="n">
        <f aca="false">SUMIF(entradas26[CODIGO],aocyjvc26[[#This Row],[CODIGO ]],entradas26[CAN BARRAS])</f>
        <v>0</v>
      </c>
      <c r="M13" s="1" t="n">
        <f aca="false">SUMIF(salidas26[[CODIGO ]],aocyjvc26[[#This Row],[CODIGO ]],salidas26[[CANT JUEGOS ]])</f>
        <v>1</v>
      </c>
      <c r="N13" s="1" t="n">
        <f aca="false">SUMIF(salidas26[[CODIGO ]],aocyjvc26[[#This Row],[CODIGO ]],salidas26[CANT BARRAS])</f>
        <v>0</v>
      </c>
      <c r="O13" s="1" t="n">
        <f aca="false">(aocyjvc26[[#This Row],["J"PRECIO COMPRA ]]*aocyjvc26[[#This Row],[STOCK JUEGOS]])</f>
        <v>2133</v>
      </c>
      <c r="P13" s="1" t="n">
        <f aca="false">(aocyjvc26[[#This Row],["J" PRECIO VENTA ]]*aocyjvc26[[#This Row],[STOCK JUEGOS]])</f>
        <v>4050</v>
      </c>
      <c r="Q13" s="1" t="n">
        <f aca="false">(aocyjvc26[[#This Row],["B"PRECIO COMPRA]]*aocyjvc26[[#This Row],[STOCK BARRAS]])</f>
        <v>0</v>
      </c>
      <c r="R13" s="1" t="n">
        <f aca="false">(aocyjvc26[[#This Row],["B"PRECIO VENTA ]]*aocyjvc26[[#This Row],[STOCK BARRAS]])</f>
        <v>0</v>
      </c>
      <c r="U13" s="1" t="n">
        <v>11.5</v>
      </c>
      <c r="W13" s="1" t="s">
        <v>488</v>
      </c>
    </row>
  </sheetData>
  <mergeCells count="1">
    <mergeCell ref="B2:V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198"/>
  <sheetViews>
    <sheetView showFormulas="false" showGridLines="true" showRowColHeaders="true" showZeros="true" rightToLeft="false" tabSelected="false" showOutlineSymbols="true" defaultGridColor="true" view="normal" topLeftCell="B690" colorId="64" zoomScale="106" zoomScaleNormal="106" zoomScalePageLayoutView="100" workbookViewId="0">
      <selection pane="topLeft" activeCell="H699" activeCellId="0" sqref="H699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1" width="10.29"/>
    <col collapsed="false" customWidth="true" hidden="false" outlineLevel="0" max="2" min="2" style="1" width="9.3"/>
    <col collapsed="false" customWidth="true" hidden="false" outlineLevel="0" max="3" min="3" style="1" width="30.57"/>
    <col collapsed="false" customWidth="true" hidden="false" outlineLevel="0" max="6" min="6" style="1" width="7.86"/>
    <col collapsed="false" customWidth="true" hidden="false" outlineLevel="0" max="7" min="7" style="1" width="8.29"/>
    <col collapsed="false" customWidth="true" hidden="false" outlineLevel="0" max="8" min="8" style="1" width="15.43"/>
    <col collapsed="false" customWidth="true" hidden="false" outlineLevel="0" max="10" min="9" style="1" width="12.43"/>
    <col collapsed="false" customWidth="true" hidden="false" outlineLevel="0" max="11" min="11" style="1" width="14.57"/>
    <col collapsed="false" customWidth="true" hidden="false" outlineLevel="0" max="12" min="12" style="1" width="7.86"/>
    <col collapsed="false" customWidth="true" hidden="false" outlineLevel="0" max="13" min="13" style="1" width="29.71"/>
  </cols>
  <sheetData>
    <row r="2" customFormat="false" ht="15" hidden="false" customHeight="true" outlineLevel="0" collapsed="false">
      <c r="A2" s="71" t="s">
        <v>489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customFormat="false" ht="15" hidden="false" customHeight="true" outlineLevel="0" collapsed="false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</row>
    <row r="4" customFormat="false" ht="15" hidden="false" customHeight="true" outlineLevel="0" collapsed="false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</row>
    <row r="5" customFormat="false" ht="15" hidden="false" customHeight="true" outlineLevel="0" collapsed="false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</row>
    <row r="6" customFormat="false" ht="61.15" hidden="false" customHeight="false" outlineLevel="0" collapsed="false">
      <c r="A6" s="72" t="s">
        <v>490</v>
      </c>
      <c r="B6" s="73" t="s">
        <v>1</v>
      </c>
      <c r="C6" s="73" t="s">
        <v>491</v>
      </c>
      <c r="D6" s="73" t="s">
        <v>492</v>
      </c>
      <c r="E6" s="73" t="s">
        <v>493</v>
      </c>
      <c r="F6" s="73" t="s">
        <v>494</v>
      </c>
      <c r="G6" s="73" t="s">
        <v>495</v>
      </c>
      <c r="H6" s="73" t="s">
        <v>496</v>
      </c>
      <c r="I6" s="74" t="s">
        <v>497</v>
      </c>
      <c r="J6" s="74" t="s">
        <v>498</v>
      </c>
      <c r="K6" s="74" t="s">
        <v>499</v>
      </c>
      <c r="L6" s="73" t="s">
        <v>500</v>
      </c>
      <c r="M6" s="73" t="s">
        <v>501</v>
      </c>
    </row>
    <row r="7" customFormat="false" ht="15" hidden="false" customHeight="false" outlineLevel="0" collapsed="false">
      <c r="A7" s="1" t="n">
        <v>3824</v>
      </c>
      <c r="B7" s="1" t="n">
        <v>1012</v>
      </c>
      <c r="C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32LB620B-32LF620B -3B/6V/6L</v>
      </c>
      <c r="D7" s="75" t="n">
        <v>46024</v>
      </c>
      <c r="E7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" s="1" t="n">
        <v>1</v>
      </c>
      <c r="I7" s="1" t="n">
        <f aca="false">(salidas26[[#This Row],[CANT JUEGOS ]]*salidas26[[#This Row],[PRECIO JUEGO]])</f>
        <v>90</v>
      </c>
      <c r="J7" s="1" t="n">
        <f aca="false">(salidas26[[#This Row],[CANT BARRAS]]*salidas26[[#This Row],[PRECIO BARRA]])</f>
        <v>0</v>
      </c>
      <c r="K7" s="1" t="n">
        <v>100</v>
      </c>
      <c r="L7" s="1" t="s">
        <v>502</v>
      </c>
      <c r="M7" s="1" t="s">
        <v>503</v>
      </c>
    </row>
    <row r="8" customFormat="false" ht="15" hidden="false" customHeight="false" outlineLevel="0" collapsed="false">
      <c r="A8" s="1" t="n">
        <v>3825</v>
      </c>
      <c r="B8" s="1" t="n">
        <v>1117</v>
      </c>
      <c r="C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55LB6500/10B/6V </v>
      </c>
      <c r="D8" s="75" t="n">
        <v>46024</v>
      </c>
      <c r="E8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8" s="1" t="n">
        <v>1</v>
      </c>
      <c r="I8" s="1" t="n">
        <f aca="false">(salidas26[[#This Row],[CANT JUEGOS ]]*salidas26[[#This Row],[PRECIO JUEGO]])</f>
        <v>350</v>
      </c>
      <c r="J8" s="1" t="n">
        <f aca="false">(salidas26[[#This Row],[CANT BARRAS]]*salidas26[[#This Row],[PRECIO BARRA]])</f>
        <v>0</v>
      </c>
      <c r="K8" s="1" t="n">
        <v>350</v>
      </c>
      <c r="L8" s="1" t="s">
        <v>502</v>
      </c>
      <c r="M8" s="1" t="s">
        <v>503</v>
      </c>
    </row>
    <row r="9" customFormat="false" ht="15" hidden="false" customHeight="false" outlineLevel="0" collapsed="false">
      <c r="A9" s="1" t="n">
        <v>3826</v>
      </c>
      <c r="B9" s="1" t="n">
        <v>8021</v>
      </c>
      <c r="C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JVC RECTO /2B</v>
      </c>
      <c r="D9" s="75" t="n">
        <v>46024</v>
      </c>
      <c r="E9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" s="1" t="n">
        <v>1</v>
      </c>
      <c r="I9" s="1" t="n">
        <f aca="false">(salidas26[[#This Row],[CANT JUEGOS ]]*salidas26[[#This Row],[PRECIO JUEGO]])</f>
        <v>60</v>
      </c>
      <c r="J9" s="1" t="n">
        <f aca="false">(salidas26[[#This Row],[CANT BARRAS]]*salidas26[[#This Row],[PRECIO BARRA]])</f>
        <v>0</v>
      </c>
      <c r="K9" s="1" t="n">
        <v>60</v>
      </c>
      <c r="L9" s="1" t="s">
        <v>502</v>
      </c>
      <c r="M9" s="1" t="s">
        <v>504</v>
      </c>
    </row>
    <row r="10" customFormat="false" ht="15" hidden="false" customHeight="false" outlineLevel="0" collapsed="false">
      <c r="A10" s="1" t="n">
        <v>3827</v>
      </c>
      <c r="B10" s="1" t="n">
        <v>2078</v>
      </c>
      <c r="C1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UN55NU7095G/9L/4B</v>
      </c>
      <c r="D10" s="75" t="n">
        <v>46025</v>
      </c>
      <c r="E10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1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62.5</v>
      </c>
      <c r="G10" s="1" t="n">
        <v>1</v>
      </c>
      <c r="I10" s="1" t="n">
        <f aca="false">(salidas26[[#This Row],[CANT JUEGOS ]]*salidas26[[#This Row],[PRECIO JUEGO]])</f>
        <v>250</v>
      </c>
      <c r="J10" s="1" t="n">
        <f aca="false">(salidas26[[#This Row],[CANT BARRAS]]*salidas26[[#This Row],[PRECIO BARRA]])</f>
        <v>0</v>
      </c>
      <c r="K10" s="1" t="n">
        <v>280</v>
      </c>
      <c r="L10" s="1" t="s">
        <v>502</v>
      </c>
      <c r="M10" s="1" t="s">
        <v>505</v>
      </c>
    </row>
    <row r="11" customFormat="false" ht="15" hidden="false" customHeight="false" outlineLevel="0" collapsed="false">
      <c r="A11" s="1" t="n">
        <v>3828</v>
      </c>
      <c r="B11" s="1" t="n">
        <v>2095</v>
      </c>
      <c r="C1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UN60AU8000G-60BU8000/2B</v>
      </c>
      <c r="D11" s="75" t="n">
        <v>46025</v>
      </c>
      <c r="E11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1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125</v>
      </c>
      <c r="G11" s="1" t="n">
        <v>1</v>
      </c>
      <c r="I11" s="1" t="n">
        <f aca="false">(salidas26[[#This Row],[CANT JUEGOS ]]*salidas26[[#This Row],[PRECIO JUEGO]])</f>
        <v>250</v>
      </c>
      <c r="J11" s="1" t="n">
        <f aca="false">(salidas26[[#This Row],[CANT BARRAS]]*salidas26[[#This Row],[PRECIO BARRA]])</f>
        <v>0</v>
      </c>
      <c r="K11" s="1" t="n">
        <v>320</v>
      </c>
      <c r="L11" s="1" t="s">
        <v>502</v>
      </c>
      <c r="M11" s="1" t="s">
        <v>506</v>
      </c>
    </row>
    <row r="12" customFormat="false" ht="15" hidden="false" customHeight="false" outlineLevel="0" collapsed="false">
      <c r="A12" s="1" t="n">
        <v>3830</v>
      </c>
      <c r="B12" s="1" t="n">
        <v>8056</v>
      </c>
      <c r="C1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PREMIER 8L/6V/3B</v>
      </c>
      <c r="D12" s="75" t="n">
        <v>46025</v>
      </c>
      <c r="E12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12" s="1" t="n">
        <v>1</v>
      </c>
      <c r="I12" s="1" t="n">
        <f aca="false">(salidas26[[#This Row],[CANT JUEGOS ]]*salidas26[[#This Row],[PRECIO JUEGO]])</f>
        <v>180</v>
      </c>
      <c r="J12" s="1" t="n">
        <f aca="false">(salidas26[[#This Row],[CANT BARRAS]]*salidas26[[#This Row],[PRECIO BARRA]])</f>
        <v>0</v>
      </c>
      <c r="K12" s="1" t="n">
        <v>170</v>
      </c>
      <c r="L12" s="1" t="s">
        <v>502</v>
      </c>
      <c r="M12" s="1" t="s">
        <v>507</v>
      </c>
    </row>
    <row r="13" customFormat="false" ht="15" hidden="false" customHeight="false" outlineLevel="0" collapsed="false">
      <c r="A13" s="1" t="n">
        <v>3832</v>
      </c>
      <c r="B13" s="1" t="n">
        <v>7004</v>
      </c>
      <c r="C1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IRT LED4060SFHD 8L/3V/3B</v>
      </c>
      <c r="D13" s="75" t="n">
        <v>46025</v>
      </c>
      <c r="E13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1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13" s="1" t="n">
        <v>1</v>
      </c>
      <c r="I13" s="1" t="n">
        <f aca="false">(salidas26[[#This Row],[CANT JUEGOS ]]*salidas26[[#This Row],[PRECIO JUEGO]])</f>
        <v>150</v>
      </c>
      <c r="J13" s="1" t="n">
        <f aca="false">(salidas26[[#This Row],[CANT BARRAS]]*salidas26[[#This Row],[PRECIO BARRA]])</f>
        <v>0</v>
      </c>
      <c r="K13" s="1" t="n">
        <v>140</v>
      </c>
      <c r="L13" s="1" t="s">
        <v>502</v>
      </c>
      <c r="M13" s="1" t="s">
        <v>508</v>
      </c>
    </row>
    <row r="14" customFormat="false" ht="15" hidden="false" customHeight="false" outlineLevel="0" collapsed="false">
      <c r="A14" s="1" t="n">
        <v>3833</v>
      </c>
      <c r="B14" s="1" t="n">
        <v>1027</v>
      </c>
      <c r="C1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32LM3400-4B/3V/9L</v>
      </c>
      <c r="D14" s="75" t="n">
        <v>46025</v>
      </c>
      <c r="E14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120</v>
      </c>
      <c r="F1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4" s="1" t="n">
        <v>1</v>
      </c>
      <c r="I14" s="1" t="n">
        <f aca="false">(salidas26[[#This Row],[CANT JUEGOS ]]*salidas26[[#This Row],[PRECIO JUEGO]])</f>
        <v>120</v>
      </c>
      <c r="J14" s="1" t="n">
        <f aca="false">(salidas26[[#This Row],[CANT BARRAS]]*salidas26[[#This Row],[PRECIO BARRA]])</f>
        <v>0</v>
      </c>
      <c r="K14" s="1" t="n">
        <v>130</v>
      </c>
      <c r="L14" s="1" t="s">
        <v>502</v>
      </c>
      <c r="M14" s="1" t="s">
        <v>509</v>
      </c>
    </row>
    <row r="15" customFormat="false" ht="15" hidden="false" customHeight="false" outlineLevel="0" collapsed="false">
      <c r="A15" s="1" t="n">
        <v>3834</v>
      </c>
      <c r="B15" s="1" t="n">
        <v>7000</v>
      </c>
      <c r="C1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IRT/6L/2B/6V</v>
      </c>
      <c r="D15" s="75" t="n">
        <v>46025</v>
      </c>
      <c r="E15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1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5" s="1" t="n">
        <v>1</v>
      </c>
      <c r="I15" s="1" t="n">
        <f aca="false">(salidas26[[#This Row],[CANT JUEGOS ]]*salidas26[[#This Row],[PRECIO JUEGO]])</f>
        <v>60</v>
      </c>
      <c r="J15" s="1" t="n">
        <f aca="false">(salidas26[[#This Row],[CANT BARRAS]]*salidas26[[#This Row],[PRECIO BARRA]])</f>
        <v>0</v>
      </c>
      <c r="K15" s="1" t="n">
        <v>50</v>
      </c>
      <c r="L15" s="1" t="s">
        <v>502</v>
      </c>
      <c r="M15" s="1" t="s">
        <v>510</v>
      </c>
    </row>
    <row r="16" customFormat="false" ht="15" hidden="false" customHeight="false" outlineLevel="0" collapsed="false">
      <c r="A16" s="1" t="n">
        <v>3835</v>
      </c>
      <c r="B16" s="1" t="n">
        <v>2090</v>
      </c>
      <c r="C1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UN58FH/12B</v>
      </c>
      <c r="D16" s="75" t="n">
        <v>46025</v>
      </c>
      <c r="E16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1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29.1666666666667</v>
      </c>
      <c r="G16" s="1" t="n">
        <v>1</v>
      </c>
      <c r="I16" s="1" t="n">
        <f aca="false">(salidas26[[#This Row],[CANT JUEGOS ]]*salidas26[[#This Row],[PRECIO JUEGO]])</f>
        <v>350</v>
      </c>
      <c r="J16" s="1" t="n">
        <f aca="false">(salidas26[[#This Row],[CANT BARRAS]]*salidas26[[#This Row],[PRECIO BARRA]])</f>
        <v>0</v>
      </c>
      <c r="K16" s="1" t="n">
        <v>350</v>
      </c>
      <c r="L16" s="1" t="s">
        <v>502</v>
      </c>
      <c r="M16" s="1" t="s">
        <v>510</v>
      </c>
    </row>
    <row r="17" customFormat="false" ht="15" hidden="false" customHeight="false" outlineLevel="0" collapsed="false">
      <c r="A17" s="1" t="n">
        <v>3836</v>
      </c>
      <c r="B17" s="1" t="n">
        <v>6022</v>
      </c>
      <c r="C1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SKYWORTH SUC9350Pro /10L</v>
      </c>
      <c r="D17" s="75" t="n">
        <v>46025</v>
      </c>
      <c r="E17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1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70</v>
      </c>
      <c r="G17" s="1" t="n">
        <v>1</v>
      </c>
      <c r="I17" s="1" t="n">
        <f aca="false">(salidas26[[#This Row],[CANT JUEGOS ]]*salidas26[[#This Row],[PRECIO JUEGO]])</f>
        <v>350</v>
      </c>
      <c r="J17" s="1" t="n">
        <f aca="false">(salidas26[[#This Row],[CANT BARRAS]]*salidas26[[#This Row],[PRECIO BARRA]])</f>
        <v>0</v>
      </c>
      <c r="K17" s="1" t="n">
        <v>340</v>
      </c>
      <c r="L17" s="1" t="s">
        <v>502</v>
      </c>
      <c r="M17" s="1" t="s">
        <v>511</v>
      </c>
    </row>
    <row r="18" customFormat="false" ht="15" hidden="false" customHeight="false" outlineLevel="0" collapsed="false">
      <c r="A18" s="1" t="n">
        <v>3837</v>
      </c>
      <c r="B18" s="1" t="n">
        <v>8015</v>
      </c>
      <c r="C1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18" s="75" t="n">
        <v>46025</v>
      </c>
      <c r="E18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1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8" s="1" t="n">
        <v>2</v>
      </c>
      <c r="I18" s="1" t="n">
        <f aca="false">(salidas26[[#This Row],[CANT JUEGOS ]]*salidas26[[#This Row],[PRECIO JUEGO]])</f>
        <v>120</v>
      </c>
      <c r="J18" s="1" t="n">
        <f aca="false">(salidas26[[#This Row],[CANT BARRAS]]*salidas26[[#This Row],[PRECIO BARRA]])</f>
        <v>0</v>
      </c>
      <c r="K18" s="1" t="n">
        <v>140</v>
      </c>
      <c r="L18" s="1" t="s">
        <v>502</v>
      </c>
      <c r="M18" s="1" t="s">
        <v>511</v>
      </c>
    </row>
    <row r="19" customFormat="false" ht="15" hidden="false" customHeight="false" outlineLevel="0" collapsed="false">
      <c r="A19" s="1" t="n">
        <v>3838</v>
      </c>
      <c r="B19" s="1" t="n">
        <v>1069</v>
      </c>
      <c r="C1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47LB6500- 8B/6V</v>
      </c>
      <c r="D19" s="75" t="n">
        <v>46025</v>
      </c>
      <c r="E19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1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31.25</v>
      </c>
      <c r="I19" s="1" t="n">
        <f aca="false">(salidas26[[#This Row],[CANT JUEGOS ]]*salidas26[[#This Row],[PRECIO JUEGO]])</f>
        <v>0</v>
      </c>
      <c r="J19" s="1" t="n">
        <f aca="false">(salidas26[[#This Row],[CANT BARRAS]]*salidas26[[#This Row],[PRECIO BARRA]])</f>
        <v>0</v>
      </c>
      <c r="K19" s="1" t="n">
        <v>230</v>
      </c>
      <c r="L19" s="1" t="s">
        <v>502</v>
      </c>
      <c r="M19" s="1" t="s">
        <v>512</v>
      </c>
    </row>
    <row r="20" customFormat="false" ht="15" hidden="false" customHeight="false" outlineLevel="0" collapsed="false">
      <c r="A20" s="1" t="n">
        <v>3839</v>
      </c>
      <c r="B20" s="1" t="n">
        <v>8015</v>
      </c>
      <c r="C2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20" s="75" t="n">
        <v>46025</v>
      </c>
      <c r="E20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2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20" s="1" t="n">
        <v>1</v>
      </c>
      <c r="I20" s="1" t="n">
        <f aca="false">(salidas26[[#This Row],[CANT JUEGOS ]]*salidas26[[#This Row],[PRECIO JUEGO]])</f>
        <v>60</v>
      </c>
      <c r="J20" s="1" t="n">
        <f aca="false">(salidas26[[#This Row],[CANT BARRAS]]*salidas26[[#This Row],[PRECIO BARRA]])</f>
        <v>0</v>
      </c>
      <c r="K20" s="1" t="n">
        <v>60</v>
      </c>
      <c r="L20" s="1" t="s">
        <v>502</v>
      </c>
      <c r="M20" s="1" t="s">
        <v>513</v>
      </c>
    </row>
    <row r="21" customFormat="false" ht="15" hidden="false" customHeight="false" outlineLevel="0" collapsed="false">
      <c r="A21" s="1" t="n">
        <v>3841</v>
      </c>
      <c r="B21" s="1" t="n">
        <v>2003</v>
      </c>
      <c r="C2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UN32F5000-SAMSUNG 5B</v>
      </c>
      <c r="D21" s="75" t="n">
        <v>46025</v>
      </c>
      <c r="E21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130</v>
      </c>
      <c r="F2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</v>
      </c>
      <c r="H21" s="1" t="n">
        <v>2</v>
      </c>
      <c r="I21" s="1" t="n">
        <f aca="false">(salidas26[[#This Row],[CANT JUEGOS ]]*salidas26[[#This Row],[PRECIO JUEGO]])</f>
        <v>0</v>
      </c>
      <c r="J21" s="1" t="n">
        <f aca="false">(salidas26[[#This Row],[CANT BARRAS]]*salidas26[[#This Row],[PRECIO BARRA]])</f>
        <v>52</v>
      </c>
      <c r="K21" s="1" t="n">
        <v>72</v>
      </c>
      <c r="L21" s="1" t="s">
        <v>502</v>
      </c>
      <c r="M21" s="1" t="s">
        <v>503</v>
      </c>
    </row>
    <row r="22" customFormat="false" ht="15" hidden="false" customHeight="false" outlineLevel="0" collapsed="false">
      <c r="A22" s="1" t="n">
        <v>3840</v>
      </c>
      <c r="B22" s="1" t="n">
        <v>1012</v>
      </c>
      <c r="C2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32LB620B-32LF620B -3B/6V/6L</v>
      </c>
      <c r="D22" s="75" t="n">
        <v>46025</v>
      </c>
      <c r="E22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2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22" s="1" t="n">
        <v>1</v>
      </c>
      <c r="I22" s="1" t="n">
        <f aca="false">(salidas26[[#This Row],[CANT JUEGOS ]]*salidas26[[#This Row],[PRECIO JUEGO]])</f>
        <v>90</v>
      </c>
      <c r="J22" s="1" t="n">
        <f aca="false">(salidas26[[#This Row],[CANT BARRAS]]*salidas26[[#This Row],[PRECIO BARRA]])</f>
        <v>0</v>
      </c>
      <c r="K22" s="1" t="n">
        <v>100</v>
      </c>
      <c r="L22" s="1" t="s">
        <v>502</v>
      </c>
      <c r="M22" s="1" t="s">
        <v>503</v>
      </c>
    </row>
    <row r="23" customFormat="false" ht="15" hidden="false" customHeight="false" outlineLevel="0" collapsed="false">
      <c r="A23" s="1" t="n">
        <v>3842</v>
      </c>
      <c r="B23" s="1" t="n">
        <v>1015</v>
      </c>
      <c r="C2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32LH500B-32LK500 3B/7L/3V</v>
      </c>
      <c r="D23" s="75" t="n">
        <v>46025</v>
      </c>
      <c r="E23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2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23" s="1" t="n">
        <v>1</v>
      </c>
      <c r="I23" s="1" t="n">
        <f aca="false">(salidas26[[#This Row],[CANT JUEGOS ]]*salidas26[[#This Row],[PRECIO JUEGO]])</f>
        <v>80</v>
      </c>
      <c r="J23" s="1" t="n">
        <f aca="false">(salidas26[[#This Row],[CANT BARRAS]]*salidas26[[#This Row],[PRECIO BARRA]])</f>
        <v>0</v>
      </c>
      <c r="K23" s="1" t="n">
        <v>100</v>
      </c>
      <c r="L23" s="1" t="s">
        <v>502</v>
      </c>
      <c r="M23" s="1" t="s">
        <v>514</v>
      </c>
    </row>
    <row r="24" customFormat="false" ht="15" hidden="false" customHeight="false" outlineLevel="0" collapsed="false">
      <c r="A24" s="1" t="n">
        <v>3843</v>
      </c>
      <c r="B24" s="1" t="n">
        <v>8030</v>
      </c>
      <c r="C2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CHINO TCL 10L/6V/2B DIF 180º</v>
      </c>
      <c r="D24" s="75" t="n">
        <v>46025</v>
      </c>
      <c r="E24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2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24" s="1" t="n">
        <v>4</v>
      </c>
      <c r="I24" s="1" t="n">
        <f aca="false">(salidas26[[#This Row],[CANT JUEGOS ]]*salidas26[[#This Row],[PRECIO JUEGO]])</f>
        <v>600</v>
      </c>
      <c r="J24" s="1" t="n">
        <f aca="false">(salidas26[[#This Row],[CANT BARRAS]]*salidas26[[#This Row],[PRECIO BARRA]])</f>
        <v>0</v>
      </c>
      <c r="L24" s="1" t="s">
        <v>515</v>
      </c>
      <c r="M24" s="1" t="s">
        <v>516</v>
      </c>
    </row>
    <row r="25" customFormat="false" ht="15" hidden="false" customHeight="false" outlineLevel="0" collapsed="false">
      <c r="A25" s="1" t="n">
        <v>3844</v>
      </c>
      <c r="B25" s="1" t="n">
        <v>8015</v>
      </c>
      <c r="C2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25" s="75" t="n">
        <v>46025</v>
      </c>
      <c r="E25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2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25" s="1" t="n">
        <v>2</v>
      </c>
      <c r="I25" s="1" t="n">
        <f aca="false">(salidas26[[#This Row],[CANT JUEGOS ]]*salidas26[[#This Row],[PRECIO JUEGO]])</f>
        <v>120</v>
      </c>
      <c r="J25" s="1" t="n">
        <f aca="false">(salidas26[[#This Row],[CANT BARRAS]]*salidas26[[#This Row],[PRECIO BARRA]])</f>
        <v>0</v>
      </c>
      <c r="K25" s="1" t="n">
        <v>100</v>
      </c>
      <c r="L25" s="1" t="s">
        <v>502</v>
      </c>
      <c r="M25" s="1" t="s">
        <v>511</v>
      </c>
    </row>
    <row r="26" customFormat="false" ht="15" hidden="false" customHeight="false" outlineLevel="0" collapsed="false">
      <c r="A26" s="1" t="n">
        <v>3845</v>
      </c>
      <c r="B26" s="1" t="n">
        <v>6000</v>
      </c>
      <c r="C2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SKYWORTH 2B/6LED/3V </v>
      </c>
      <c r="D26" s="75" t="n">
        <v>46025</v>
      </c>
      <c r="E26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2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26" s="1" t="n">
        <v>1</v>
      </c>
      <c r="I26" s="1" t="n">
        <f aca="false">(salidas26[[#This Row],[CANT JUEGOS ]]*salidas26[[#This Row],[PRECIO JUEGO]])</f>
        <v>60</v>
      </c>
      <c r="J26" s="1" t="n">
        <f aca="false">(salidas26[[#This Row],[CANT BARRAS]]*salidas26[[#This Row],[PRECIO BARRA]])</f>
        <v>0</v>
      </c>
      <c r="K26" s="1" t="n">
        <v>60</v>
      </c>
      <c r="L26" s="1" t="s">
        <v>502</v>
      </c>
      <c r="M26" s="1" t="s">
        <v>511</v>
      </c>
    </row>
    <row r="27" customFormat="false" ht="15" hidden="false" customHeight="false" outlineLevel="0" collapsed="false">
      <c r="A27" s="1" t="n">
        <v>3846</v>
      </c>
      <c r="B27" s="1" t="n">
        <v>1105</v>
      </c>
      <c r="C2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50LB6500/10B</v>
      </c>
      <c r="D27" s="75" t="n">
        <v>46025</v>
      </c>
      <c r="E27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2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27" s="1" t="n">
        <v>1</v>
      </c>
      <c r="I27" s="1" t="n">
        <f aca="false">(salidas26[[#This Row],[CANT JUEGOS ]]*salidas26[[#This Row],[PRECIO JUEGO]])</f>
        <v>300</v>
      </c>
      <c r="J27" s="1" t="n">
        <f aca="false">(salidas26[[#This Row],[CANT BARRAS]]*salidas26[[#This Row],[PRECIO BARRA]])</f>
        <v>0</v>
      </c>
      <c r="K27" s="1" t="n">
        <v>280</v>
      </c>
      <c r="L27" s="1" t="s">
        <v>502</v>
      </c>
      <c r="M27" s="1" t="s">
        <v>511</v>
      </c>
    </row>
    <row r="28" customFormat="false" ht="15" hidden="false" customHeight="false" outlineLevel="0" collapsed="false">
      <c r="A28" s="1" t="n">
        <v>3849</v>
      </c>
      <c r="B28" s="1" t="n">
        <v>6009</v>
      </c>
      <c r="C2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L4700 TOSHIBA/6B (180 Bs) -43UJ-6200/LG/8B (200 BS)</v>
      </c>
      <c r="D28" s="75" t="n">
        <v>46027</v>
      </c>
      <c r="E28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2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H28" s="1" t="n">
        <v>6</v>
      </c>
      <c r="I28" s="1" t="n">
        <f aca="false">(salidas26[[#This Row],[CANT JUEGOS ]]*salidas26[[#This Row],[PRECIO JUEGO]])</f>
        <v>0</v>
      </c>
      <c r="J28" s="1" t="n">
        <f aca="false">(salidas26[[#This Row],[CANT BARRAS]]*salidas26[[#This Row],[PRECIO BARRA]])</f>
        <v>135</v>
      </c>
      <c r="K28" s="1" t="n">
        <v>160</v>
      </c>
      <c r="L28" s="1" t="s">
        <v>502</v>
      </c>
      <c r="M28" s="1" t="s">
        <v>517</v>
      </c>
    </row>
    <row r="29" customFormat="false" ht="15" hidden="false" customHeight="false" outlineLevel="0" collapsed="false">
      <c r="A29" s="1" t="n">
        <v>3850</v>
      </c>
      <c r="B29" s="1" t="n">
        <v>5001</v>
      </c>
      <c r="C2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KDL-32R405 SONY/4B</v>
      </c>
      <c r="D29" s="75" t="n">
        <v>46027</v>
      </c>
      <c r="E29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100</v>
      </c>
      <c r="F2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25</v>
      </c>
      <c r="G29" s="1" t="n">
        <v>1</v>
      </c>
      <c r="I29" s="1" t="n">
        <f aca="false">(salidas26[[#This Row],[CANT JUEGOS ]]*salidas26[[#This Row],[PRECIO JUEGO]])</f>
        <v>100</v>
      </c>
      <c r="J29" s="1" t="n">
        <f aca="false">(salidas26[[#This Row],[CANT BARRAS]]*salidas26[[#This Row],[PRECIO BARRA]])</f>
        <v>0</v>
      </c>
      <c r="K29" s="1" t="n">
        <v>100</v>
      </c>
      <c r="L29" s="1" t="s">
        <v>502</v>
      </c>
      <c r="M29" s="1" t="s">
        <v>517</v>
      </c>
    </row>
    <row r="30" customFormat="false" ht="31.3" hidden="false" customHeight="false" outlineLevel="0" collapsed="false">
      <c r="A30" s="1" t="n">
        <v>3851</v>
      </c>
      <c r="B30" s="1" t="n">
        <v>4000</v>
      </c>
      <c r="C30" s="76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 V780-TCL 5L/6V -2B
MI L32M5-5ASP</v>
      </c>
      <c r="D30" s="75" t="n">
        <v>46027</v>
      </c>
      <c r="E30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3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0" s="1" t="n">
        <v>1</v>
      </c>
      <c r="I30" s="1" t="n">
        <f aca="false">(salidas26[[#This Row],[CANT JUEGOS ]]*salidas26[[#This Row],[PRECIO JUEGO]])</f>
        <v>60</v>
      </c>
      <c r="J30" s="1" t="n">
        <f aca="false">(salidas26[[#This Row],[CANT BARRAS]]*salidas26[[#This Row],[PRECIO BARRA]])</f>
        <v>0</v>
      </c>
      <c r="K30" s="1" t="n">
        <v>60</v>
      </c>
      <c r="L30" s="1" t="s">
        <v>502</v>
      </c>
      <c r="M30" s="1" t="s">
        <v>518</v>
      </c>
    </row>
    <row r="31" customFormat="false" ht="15" hidden="false" customHeight="false" outlineLevel="0" collapsed="false">
      <c r="A31" s="1" t="n">
        <v>3852</v>
      </c>
      <c r="B31" s="1" t="n">
        <v>8015</v>
      </c>
      <c r="C3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31" s="75" t="n">
        <v>46027</v>
      </c>
      <c r="E31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3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1" s="1" t="n">
        <v>1</v>
      </c>
      <c r="I31" s="1" t="n">
        <f aca="false">(salidas26[[#This Row],[CANT JUEGOS ]]*salidas26[[#This Row],[PRECIO JUEGO]])</f>
        <v>60</v>
      </c>
      <c r="J31" s="1" t="n">
        <f aca="false">(salidas26[[#This Row],[CANT BARRAS]]*salidas26[[#This Row],[PRECIO BARRA]])</f>
        <v>0</v>
      </c>
      <c r="K31" s="1" t="n">
        <v>60</v>
      </c>
      <c r="L31" s="1" t="s">
        <v>502</v>
      </c>
      <c r="M31" s="1" t="s">
        <v>519</v>
      </c>
    </row>
    <row r="32" customFormat="false" ht="15" hidden="false" customHeight="false" outlineLevel="0" collapsed="false">
      <c r="A32" s="1" t="n">
        <v>3853</v>
      </c>
      <c r="B32" s="1" t="n">
        <v>1069</v>
      </c>
      <c r="C3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47LB6500- 8B/6V</v>
      </c>
      <c r="D32" s="75" t="n">
        <v>46027</v>
      </c>
      <c r="E32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3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31.25</v>
      </c>
      <c r="G32" s="1" t="n">
        <v>1</v>
      </c>
      <c r="I32" s="1" t="n">
        <f aca="false">(salidas26[[#This Row],[CANT JUEGOS ]]*salidas26[[#This Row],[PRECIO JUEGO]])</f>
        <v>250</v>
      </c>
      <c r="J32" s="1" t="n">
        <f aca="false">(salidas26[[#This Row],[CANT BARRAS]]*salidas26[[#This Row],[PRECIO BARRA]])</f>
        <v>0</v>
      </c>
      <c r="K32" s="1" t="n">
        <v>200</v>
      </c>
      <c r="L32" s="1" t="s">
        <v>502</v>
      </c>
      <c r="M32" s="1" t="s">
        <v>508</v>
      </c>
    </row>
    <row r="33" customFormat="false" ht="15" hidden="false" customHeight="false" outlineLevel="0" collapsed="false">
      <c r="A33" s="1" t="n">
        <v>3854</v>
      </c>
      <c r="B33" s="1" t="n">
        <v>7002</v>
      </c>
      <c r="C3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F1000 KONKA 6L/LED3250HDD/CRONW TV3277D IRT</v>
      </c>
      <c r="D33" s="75" t="n">
        <v>46027</v>
      </c>
      <c r="E33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3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33" s="1" t="n">
        <v>1</v>
      </c>
      <c r="I33" s="1" t="n">
        <f aca="false">(salidas26[[#This Row],[CANT JUEGOS ]]*salidas26[[#This Row],[PRECIO JUEGO]])</f>
        <v>70</v>
      </c>
      <c r="J33" s="1" t="n">
        <f aca="false">(salidas26[[#This Row],[CANT BARRAS]]*salidas26[[#This Row],[PRECIO BARRA]])</f>
        <v>0</v>
      </c>
      <c r="K33" s="1" t="n">
        <v>60</v>
      </c>
      <c r="L33" s="1" t="s">
        <v>502</v>
      </c>
      <c r="M33" s="1" t="s">
        <v>520</v>
      </c>
    </row>
    <row r="34" customFormat="false" ht="15" hidden="false" customHeight="false" outlineLevel="0" collapsed="false">
      <c r="A34" s="1" t="n">
        <v>3855</v>
      </c>
      <c r="B34" s="1" t="n">
        <v>1033</v>
      </c>
      <c r="C3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D34" s="75" t="n">
        <v>46027</v>
      </c>
      <c r="E34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3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34" s="1" t="n">
        <v>1</v>
      </c>
      <c r="I34" s="1" t="n">
        <f aca="false">(salidas26[[#This Row],[CANT JUEGOS ]]*salidas26[[#This Row],[PRECIO JUEGO]])</f>
        <v>180</v>
      </c>
      <c r="J34" s="1" t="n">
        <f aca="false">(salidas26[[#This Row],[CANT BARRAS]]*salidas26[[#This Row],[PRECIO BARRA]])</f>
        <v>0</v>
      </c>
      <c r="K34" s="1" t="n">
        <v>200</v>
      </c>
      <c r="L34" s="1" t="s">
        <v>502</v>
      </c>
      <c r="M34" s="1" t="s">
        <v>521</v>
      </c>
    </row>
    <row r="35" customFormat="false" ht="15" hidden="false" customHeight="false" outlineLevel="0" collapsed="false">
      <c r="A35" s="1" t="n">
        <v>3856</v>
      </c>
      <c r="B35" s="1" t="n">
        <v>7004</v>
      </c>
      <c r="C3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IRT LED4060SFHD 8L/3V/3B</v>
      </c>
      <c r="D35" s="75" t="n">
        <v>46027</v>
      </c>
      <c r="E35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3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35" s="1" t="n">
        <v>1</v>
      </c>
      <c r="I35" s="1" t="n">
        <f aca="false">(salidas26[[#This Row],[CANT JUEGOS ]]*salidas26[[#This Row],[PRECIO JUEGO]])</f>
        <v>150</v>
      </c>
      <c r="J35" s="1" t="n">
        <f aca="false">(salidas26[[#This Row],[CANT BARRAS]]*salidas26[[#This Row],[PRECIO BARRA]])</f>
        <v>0</v>
      </c>
      <c r="K35" s="1" t="n">
        <v>150</v>
      </c>
      <c r="L35" s="1" t="s">
        <v>502</v>
      </c>
      <c r="M35" s="1" t="s">
        <v>514</v>
      </c>
    </row>
    <row r="36" customFormat="false" ht="15" hidden="false" customHeight="false" outlineLevel="0" collapsed="false">
      <c r="A36" s="1" t="n">
        <v>3857</v>
      </c>
      <c r="B36" s="1" t="n">
        <v>1141</v>
      </c>
      <c r="C3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60LB6500/12B/6V</v>
      </c>
      <c r="D36" s="75" t="n">
        <v>46027</v>
      </c>
      <c r="E36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450</v>
      </c>
      <c r="F3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37.5</v>
      </c>
      <c r="G36" s="1" t="n">
        <v>1</v>
      </c>
      <c r="I36" s="1" t="n">
        <f aca="false">(salidas26[[#This Row],[CANT JUEGOS ]]*salidas26[[#This Row],[PRECIO JUEGO]])</f>
        <v>450</v>
      </c>
      <c r="J36" s="1" t="n">
        <f aca="false">(salidas26[[#This Row],[CANT BARRAS]]*salidas26[[#This Row],[PRECIO BARRA]])</f>
        <v>0</v>
      </c>
      <c r="K36" s="1" t="n">
        <v>513</v>
      </c>
      <c r="L36" s="1" t="s">
        <v>502</v>
      </c>
      <c r="M36" s="1" t="s">
        <v>522</v>
      </c>
    </row>
    <row r="37" customFormat="false" ht="15" hidden="false" customHeight="false" outlineLevel="0" collapsed="false">
      <c r="A37" s="1" t="n">
        <v>3858</v>
      </c>
      <c r="B37" s="1" t="n">
        <v>2063</v>
      </c>
      <c r="C3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UN50NU7100./2B EDGE</v>
      </c>
      <c r="D37" s="75" t="n">
        <v>46027</v>
      </c>
      <c r="E37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3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90</v>
      </c>
      <c r="G37" s="1" t="n">
        <v>1</v>
      </c>
      <c r="I37" s="1" t="n">
        <f aca="false">(salidas26[[#This Row],[CANT JUEGOS ]]*salidas26[[#This Row],[PRECIO JUEGO]])</f>
        <v>180</v>
      </c>
      <c r="J37" s="1" t="n">
        <f aca="false">(salidas26[[#This Row],[CANT BARRAS]]*salidas26[[#This Row],[PRECIO BARRA]])</f>
        <v>0</v>
      </c>
      <c r="K37" s="1" t="n">
        <v>180</v>
      </c>
      <c r="L37" s="1" t="s">
        <v>502</v>
      </c>
      <c r="M37" s="1" t="s">
        <v>522</v>
      </c>
    </row>
    <row r="38" customFormat="false" ht="15" hidden="false" customHeight="false" outlineLevel="0" collapsed="false">
      <c r="A38" s="1" t="n">
        <v>3859</v>
      </c>
      <c r="B38" s="1" t="n">
        <v>8124</v>
      </c>
      <c r="C3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LUPA NORMAL 3V/2W S/C </v>
      </c>
      <c r="D38" s="75" t="n">
        <v>46027</v>
      </c>
      <c r="E38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3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38" s="1" t="n">
        <v>12</v>
      </c>
      <c r="I38" s="1" t="n">
        <f aca="false">(salidas26[[#This Row],[CANT JUEGOS ]]*salidas26[[#This Row],[PRECIO JUEGO]])</f>
        <v>0</v>
      </c>
      <c r="J38" s="1" t="n">
        <f aca="false">(salidas26[[#This Row],[CANT BARRAS]]*salidas26[[#This Row],[PRECIO BARRA]])</f>
        <v>42</v>
      </c>
      <c r="K38" s="1" t="n">
        <v>40</v>
      </c>
      <c r="L38" s="1" t="s">
        <v>502</v>
      </c>
      <c r="M38" s="1" t="s">
        <v>507</v>
      </c>
    </row>
    <row r="39" customFormat="false" ht="15" hidden="false" customHeight="false" outlineLevel="0" collapsed="false">
      <c r="A39" s="1" t="n">
        <v>3860</v>
      </c>
      <c r="B39" s="1" t="n">
        <v>8101</v>
      </c>
      <c r="C3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LT-65 KB608 JVC /12B</v>
      </c>
      <c r="D39" s="75" t="n">
        <v>46027</v>
      </c>
      <c r="E39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3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39" s="1" t="n">
        <v>1</v>
      </c>
      <c r="I39" s="1" t="n">
        <f aca="false">(salidas26[[#This Row],[CANT JUEGOS ]]*salidas26[[#This Row],[PRECIO JUEGO]])</f>
        <v>400</v>
      </c>
      <c r="J39" s="1" t="n">
        <f aca="false">(salidas26[[#This Row],[CANT BARRAS]]*salidas26[[#This Row],[PRECIO BARRA]])</f>
        <v>0</v>
      </c>
      <c r="K39" s="1" t="n">
        <v>400</v>
      </c>
      <c r="L39" s="1" t="s">
        <v>502</v>
      </c>
      <c r="M39" s="1" t="s">
        <v>504</v>
      </c>
    </row>
    <row r="40" customFormat="false" ht="15" hidden="false" customHeight="false" outlineLevel="0" collapsed="false">
      <c r="A40" s="1" t="n">
        <v>3861</v>
      </c>
      <c r="B40" s="1" t="n">
        <v>4011</v>
      </c>
      <c r="C4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DAEWO L43V780BTS 3B/7LED/3V</v>
      </c>
      <c r="D40" s="75" t="n">
        <v>46027</v>
      </c>
      <c r="E40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4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40" s="1" t="n">
        <v>1</v>
      </c>
      <c r="I40" s="1" t="n">
        <f aca="false">(salidas26[[#This Row],[CANT JUEGOS ]]*salidas26[[#This Row],[PRECIO JUEGO]])</f>
        <v>160</v>
      </c>
      <c r="J40" s="1" t="n">
        <f aca="false">(salidas26[[#This Row],[CANT BARRAS]]*salidas26[[#This Row],[PRECIO BARRA]])</f>
        <v>0</v>
      </c>
      <c r="K40" s="1" t="n">
        <v>150</v>
      </c>
      <c r="L40" s="1" t="s">
        <v>502</v>
      </c>
      <c r="M40" s="1" t="s">
        <v>523</v>
      </c>
    </row>
    <row r="41" customFormat="false" ht="15" hidden="false" customHeight="false" outlineLevel="0" collapsed="false">
      <c r="A41" s="1" t="n">
        <v>3862</v>
      </c>
      <c r="B41" s="1" t="n">
        <v>3000</v>
      </c>
      <c r="C4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32B8000 3B/10LED/3V </v>
      </c>
      <c r="D41" s="75" t="n">
        <v>46027</v>
      </c>
      <c r="E41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4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1" s="1" t="n">
        <v>1</v>
      </c>
      <c r="I41" s="1" t="n">
        <f aca="false">(salidas26[[#This Row],[CANT JUEGOS ]]*salidas26[[#This Row],[PRECIO JUEGO]])</f>
        <v>90</v>
      </c>
      <c r="J41" s="1" t="n">
        <f aca="false">(salidas26[[#This Row],[CANT BARRAS]]*salidas26[[#This Row],[PRECIO BARRA]])</f>
        <v>0</v>
      </c>
      <c r="K41" s="1" t="n">
        <v>100</v>
      </c>
      <c r="L41" s="1" t="s">
        <v>502</v>
      </c>
      <c r="M41" s="1" t="s">
        <v>524</v>
      </c>
    </row>
    <row r="42" customFormat="false" ht="15" hidden="false" customHeight="false" outlineLevel="0" collapsed="false">
      <c r="A42" s="1" t="n">
        <v>3863</v>
      </c>
      <c r="B42" s="1" t="n">
        <v>8000</v>
      </c>
      <c r="C4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19 PULG</v>
      </c>
      <c r="D42" s="75" t="n">
        <v>46027</v>
      </c>
      <c r="E42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4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H42" s="1" t="n">
        <v>1</v>
      </c>
      <c r="I42" s="1" t="n">
        <f aca="false">(salidas26[[#This Row],[CANT JUEGOS ]]*salidas26[[#This Row],[PRECIO JUEGO]])</f>
        <v>0</v>
      </c>
      <c r="J42" s="1" t="n">
        <f aca="false">(salidas26[[#This Row],[CANT BARRAS]]*salidas26[[#This Row],[PRECIO BARRA]])</f>
        <v>30</v>
      </c>
      <c r="K42" s="1" t="n">
        <v>50</v>
      </c>
      <c r="L42" s="1" t="s">
        <v>502</v>
      </c>
      <c r="M42" s="1" t="s">
        <v>524</v>
      </c>
    </row>
    <row r="43" customFormat="false" ht="15" hidden="false" customHeight="false" outlineLevel="0" collapsed="false">
      <c r="A43" s="1" t="n">
        <v>3864</v>
      </c>
      <c r="B43" s="1" t="n">
        <v>2021</v>
      </c>
      <c r="C4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UN40F5000-F6400/14 B</v>
      </c>
      <c r="D43" s="75" t="n">
        <v>46027</v>
      </c>
      <c r="E43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4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18.5714285714286</v>
      </c>
      <c r="G43" s="1" t="n">
        <v>1</v>
      </c>
      <c r="I43" s="1" t="n">
        <f aca="false">(salidas26[[#This Row],[CANT JUEGOS ]]*salidas26[[#This Row],[PRECIO JUEGO]])</f>
        <v>260</v>
      </c>
      <c r="J43" s="1" t="n">
        <f aca="false">(salidas26[[#This Row],[CANT BARRAS]]*salidas26[[#This Row],[PRECIO BARRA]])</f>
        <v>0</v>
      </c>
      <c r="K43" s="1" t="n">
        <v>250</v>
      </c>
      <c r="L43" s="1" t="s">
        <v>502</v>
      </c>
      <c r="M43" s="1" t="s">
        <v>525</v>
      </c>
    </row>
    <row r="44" customFormat="false" ht="15" hidden="false" customHeight="false" outlineLevel="0" collapsed="false">
      <c r="A44" s="1" t="n">
        <v>3865</v>
      </c>
      <c r="B44" s="1" t="n">
        <v>6007</v>
      </c>
      <c r="C4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TB70000 SKYWORTH 3B</v>
      </c>
      <c r="D44" s="75" t="n">
        <v>46028</v>
      </c>
      <c r="E44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4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44" s="1" t="n">
        <v>1</v>
      </c>
      <c r="I44" s="1" t="n">
        <f aca="false">(salidas26[[#This Row],[CANT JUEGOS ]]*salidas26[[#This Row],[PRECIO JUEGO]])</f>
        <v>180</v>
      </c>
      <c r="J44" s="1" t="n">
        <f aca="false">(salidas26[[#This Row],[CANT BARRAS]]*salidas26[[#This Row],[PRECIO BARRA]])</f>
        <v>0</v>
      </c>
      <c r="K44" s="1" t="n">
        <v>180</v>
      </c>
      <c r="M44" s="1" t="s">
        <v>526</v>
      </c>
    </row>
    <row r="45" customFormat="false" ht="15" hidden="false" customHeight="false" outlineLevel="0" collapsed="false">
      <c r="A45" s="1" t="n">
        <v>3866</v>
      </c>
      <c r="B45" s="1" t="n">
        <v>5002</v>
      </c>
      <c r="C4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PANASONIC 7L/3V/3B</v>
      </c>
      <c r="D45" s="75" t="n">
        <v>46028</v>
      </c>
      <c r="E45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4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5" s="1" t="n">
        <v>1</v>
      </c>
      <c r="I45" s="1" t="n">
        <f aca="false">(salidas26[[#This Row],[CANT JUEGOS ]]*salidas26[[#This Row],[PRECIO JUEGO]])</f>
        <v>90</v>
      </c>
      <c r="J45" s="1" t="n">
        <f aca="false">(salidas26[[#This Row],[CANT BARRAS]]*salidas26[[#This Row],[PRECIO BARRA]])</f>
        <v>0</v>
      </c>
      <c r="K45" s="1" t="n">
        <v>90</v>
      </c>
      <c r="L45" s="1" t="s">
        <v>502</v>
      </c>
      <c r="M45" s="1" t="s">
        <v>518</v>
      </c>
    </row>
    <row r="46" customFormat="false" ht="15" hidden="false" customHeight="false" outlineLevel="0" collapsed="false">
      <c r="A46" s="1" t="n">
        <v>3867</v>
      </c>
      <c r="B46" s="64" t="n">
        <v>8097</v>
      </c>
      <c r="C4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60 PREMIER 10B/6L/3V</v>
      </c>
      <c r="D46" s="75" t="n">
        <v>46028</v>
      </c>
      <c r="E46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380</v>
      </c>
      <c r="F4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38</v>
      </c>
      <c r="G46" s="1" t="n">
        <v>1</v>
      </c>
      <c r="I46" s="1" t="n">
        <f aca="false">(salidas26[[#This Row],[CANT JUEGOS ]]*salidas26[[#This Row],[PRECIO JUEGO]])</f>
        <v>380</v>
      </c>
      <c r="J46" s="1" t="n">
        <f aca="false">(salidas26[[#This Row],[CANT BARRAS]]*salidas26[[#This Row],[PRECIO BARRA]])</f>
        <v>0</v>
      </c>
      <c r="K46" s="1" t="n">
        <v>300</v>
      </c>
      <c r="L46" s="1" t="s">
        <v>502</v>
      </c>
      <c r="M46" s="1" t="s">
        <v>527</v>
      </c>
    </row>
    <row r="47" customFormat="false" ht="15" hidden="false" customHeight="false" outlineLevel="0" collapsed="false">
      <c r="A47" s="1" t="n">
        <v>3868</v>
      </c>
      <c r="B47" s="1" t="n">
        <v>6009</v>
      </c>
      <c r="C4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L4700 TOSHIBA/6B (180 Bs) -43UJ-6200/LG/8B (200 BS)</v>
      </c>
      <c r="D47" s="75" t="n">
        <v>46028</v>
      </c>
      <c r="E47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4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H47" s="1" t="n">
        <v>6</v>
      </c>
      <c r="I47" s="1" t="n">
        <f aca="false">(salidas26[[#This Row],[CANT JUEGOS ]]*salidas26[[#This Row],[PRECIO JUEGO]])</f>
        <v>0</v>
      </c>
      <c r="J47" s="1" t="n">
        <f aca="false">(salidas26[[#This Row],[CANT BARRAS]]*salidas26[[#This Row],[PRECIO BARRA]])</f>
        <v>135</v>
      </c>
      <c r="K47" s="1" t="n">
        <v>160</v>
      </c>
      <c r="L47" s="1" t="s">
        <v>502</v>
      </c>
      <c r="M47" s="1" t="s">
        <v>518</v>
      </c>
    </row>
    <row r="48" customFormat="false" ht="15" hidden="false" customHeight="false" outlineLevel="0" collapsed="false">
      <c r="A48" s="1" t="n">
        <v>3869</v>
      </c>
      <c r="B48" s="16" t="n">
        <v>1039</v>
      </c>
      <c r="C4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42LN5200/10B/3V</v>
      </c>
      <c r="D48" s="75" t="n">
        <v>46028</v>
      </c>
      <c r="E48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4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48" s="1" t="n">
        <v>1</v>
      </c>
      <c r="I48" s="1" t="n">
        <f aca="false">(salidas26[[#This Row],[CANT JUEGOS ]]*salidas26[[#This Row],[PRECIO JUEGO]])</f>
        <v>200</v>
      </c>
      <c r="J48" s="1" t="n">
        <f aca="false">(salidas26[[#This Row],[CANT BARRAS]]*salidas26[[#This Row],[PRECIO BARRA]])</f>
        <v>0</v>
      </c>
      <c r="K48" s="1" t="n">
        <v>200</v>
      </c>
      <c r="L48" s="1" t="s">
        <v>502</v>
      </c>
      <c r="M48" s="1" t="s">
        <v>527</v>
      </c>
    </row>
    <row r="49" customFormat="false" ht="31.3" hidden="false" customHeight="false" outlineLevel="0" collapsed="false">
      <c r="A49" s="1" t="n">
        <v>3872</v>
      </c>
      <c r="B49" s="1" t="n">
        <v>4000</v>
      </c>
      <c r="C49" s="76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 V780-TCL 5L/6V -2B
MI L32M5-5ASP</v>
      </c>
      <c r="D49" s="75" t="n">
        <v>46028</v>
      </c>
      <c r="E49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4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9" s="1" t="n">
        <v>1</v>
      </c>
      <c r="I49" s="1" t="n">
        <f aca="false">(salidas26[[#This Row],[CANT JUEGOS ]]*salidas26[[#This Row],[PRECIO JUEGO]])</f>
        <v>60</v>
      </c>
      <c r="J49" s="1" t="n">
        <f aca="false">(salidas26[[#This Row],[CANT BARRAS]]*salidas26[[#This Row],[PRECIO BARRA]])</f>
        <v>0</v>
      </c>
      <c r="K49" s="1" t="n">
        <v>50</v>
      </c>
      <c r="L49" s="1" t="s">
        <v>502</v>
      </c>
      <c r="M49" s="1" t="s">
        <v>507</v>
      </c>
    </row>
    <row r="50" customFormat="false" ht="15" hidden="false" customHeight="false" outlineLevel="0" collapsed="false">
      <c r="A50" s="1" t="n">
        <v>3873</v>
      </c>
      <c r="B50" s="15" t="n">
        <v>8067</v>
      </c>
      <c r="C5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6V/10L/4B EN PARALELO</v>
      </c>
      <c r="D50" s="75" t="n">
        <v>46029</v>
      </c>
      <c r="E50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5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50" s="1" t="n">
        <v>1</v>
      </c>
      <c r="I50" s="1" t="n">
        <f aca="false">(salidas26[[#This Row],[CANT JUEGOS ]]*salidas26[[#This Row],[PRECIO JUEGO]])</f>
        <v>220</v>
      </c>
      <c r="J50" s="1" t="n">
        <f aca="false">(salidas26[[#This Row],[CANT BARRAS]]*salidas26[[#This Row],[PRECIO BARRA]])</f>
        <v>0</v>
      </c>
      <c r="K50" s="1" t="n">
        <v>220</v>
      </c>
      <c r="L50" s="1" t="s">
        <v>502</v>
      </c>
      <c r="M50" s="1" t="s">
        <v>528</v>
      </c>
    </row>
    <row r="51" customFormat="false" ht="15" hidden="false" customHeight="false" outlineLevel="0" collapsed="false">
      <c r="A51" s="1" t="n">
        <v>3874</v>
      </c>
      <c r="B51" s="16" t="n">
        <v>1024</v>
      </c>
      <c r="C5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32LN5100- 3B/6L-6-7-6 POLA</v>
      </c>
      <c r="D51" s="75" t="n">
        <v>46029</v>
      </c>
      <c r="E51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100</v>
      </c>
      <c r="F5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51" s="1" t="n">
        <v>1</v>
      </c>
      <c r="I51" s="1" t="n">
        <f aca="false">(salidas26[[#This Row],[CANT JUEGOS ]]*salidas26[[#This Row],[PRECIO JUEGO]])</f>
        <v>100</v>
      </c>
      <c r="J51" s="1" t="n">
        <f aca="false">(salidas26[[#This Row],[CANT BARRAS]]*salidas26[[#This Row],[PRECIO BARRA]])</f>
        <v>0</v>
      </c>
      <c r="K51" s="1" t="n">
        <v>100</v>
      </c>
      <c r="L51" s="1" t="s">
        <v>502</v>
      </c>
      <c r="M51" s="1" t="s">
        <v>523</v>
      </c>
    </row>
    <row r="52" customFormat="false" ht="15" hidden="false" customHeight="false" outlineLevel="0" collapsed="false">
      <c r="A52" s="1" t="n">
        <v>3875</v>
      </c>
      <c r="B52" s="15" t="n">
        <v>8069</v>
      </c>
      <c r="C5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10L/6V/4B -50 WESTPOINT TEJ -EN SERIE</v>
      </c>
      <c r="D52" s="75" t="n">
        <v>46029</v>
      </c>
      <c r="E52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5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52" s="1" t="n">
        <v>1</v>
      </c>
      <c r="I52" s="1" t="n">
        <f aca="false">(salidas26[[#This Row],[CANT JUEGOS ]]*salidas26[[#This Row],[PRECIO JUEGO]])</f>
        <v>220</v>
      </c>
      <c r="J52" s="1" t="n">
        <f aca="false">(salidas26[[#This Row],[CANT BARRAS]]*salidas26[[#This Row],[PRECIO BARRA]])</f>
        <v>0</v>
      </c>
      <c r="K52" s="1" t="n">
        <v>220</v>
      </c>
      <c r="L52" s="1" t="s">
        <v>502</v>
      </c>
      <c r="M52" s="1" t="s">
        <v>529</v>
      </c>
    </row>
    <row r="53" customFormat="false" ht="15" hidden="false" customHeight="false" outlineLevel="0" collapsed="false">
      <c r="A53" s="1" t="n">
        <v>3876</v>
      </c>
      <c r="B53" s="15" t="n">
        <v>8033</v>
      </c>
      <c r="C5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53" s="75" t="n">
        <v>46029</v>
      </c>
      <c r="E53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5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53" s="1" t="n">
        <v>3</v>
      </c>
      <c r="I53" s="1" t="n">
        <f aca="false">(salidas26[[#This Row],[CANT JUEGOS ]]*salidas26[[#This Row],[PRECIO JUEGO]])</f>
        <v>450</v>
      </c>
      <c r="J53" s="1" t="n">
        <f aca="false">(salidas26[[#This Row],[CANT BARRAS]]*salidas26[[#This Row],[PRECIO BARRA]])</f>
        <v>0</v>
      </c>
      <c r="K53" s="1" t="n">
        <v>390</v>
      </c>
      <c r="L53" s="1" t="s">
        <v>502</v>
      </c>
      <c r="M53" s="1" t="s">
        <v>530</v>
      </c>
    </row>
    <row r="54" customFormat="false" ht="15" hidden="false" customHeight="false" outlineLevel="0" collapsed="false">
      <c r="A54" s="1" t="n">
        <v>3878</v>
      </c>
      <c r="B54" s="1" t="n">
        <v>5000</v>
      </c>
      <c r="C5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KDL-32R425A SONY/3B</v>
      </c>
      <c r="D54" s="75" t="n">
        <v>46029</v>
      </c>
      <c r="E54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5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54" s="1" t="n">
        <v>1</v>
      </c>
      <c r="I54" s="1" t="n">
        <f aca="false">(salidas26[[#This Row],[CANT JUEGOS ]]*salidas26[[#This Row],[PRECIO JUEGO]])</f>
        <v>90</v>
      </c>
      <c r="J54" s="1" t="n">
        <f aca="false">(salidas26[[#This Row],[CANT BARRAS]]*salidas26[[#This Row],[PRECIO BARRA]])</f>
        <v>0</v>
      </c>
      <c r="K54" s="1" t="n">
        <v>100</v>
      </c>
      <c r="L54" s="1" t="s">
        <v>502</v>
      </c>
      <c r="M54" s="1" t="s">
        <v>531</v>
      </c>
    </row>
    <row r="55" s="77" customFormat="true" ht="16.4" hidden="false" customHeight="false" outlineLevel="0" collapsed="false">
      <c r="A55" s="77" t="n">
        <v>3879</v>
      </c>
      <c r="B55" s="77" t="n">
        <v>6000</v>
      </c>
      <c r="C55" s="77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SKYWORTH 2B/6LED/3V </v>
      </c>
      <c r="D55" s="78" t="n">
        <v>46029</v>
      </c>
      <c r="E55" s="77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55" s="77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55" s="77" t="n">
        <v>1</v>
      </c>
      <c r="I55" s="77" t="n">
        <f aca="false">(salidas26[[#This Row],[CANT JUEGOS ]]*salidas26[[#This Row],[PRECIO JUEGO]])</f>
        <v>60</v>
      </c>
      <c r="J55" s="77" t="n">
        <f aca="false">(salidas26[[#This Row],[CANT BARRAS]]*salidas26[[#This Row],[PRECIO BARRA]])</f>
        <v>0</v>
      </c>
      <c r="K55" s="77" t="n">
        <v>60</v>
      </c>
      <c r="L55" s="79" t="s">
        <v>502</v>
      </c>
      <c r="M55" s="77" t="s">
        <v>532</v>
      </c>
    </row>
    <row r="56" s="80" customFormat="true" ht="15" hidden="false" customHeight="false" outlineLevel="0" collapsed="false">
      <c r="A56" s="80" t="n">
        <v>3880</v>
      </c>
      <c r="B56" s="81" t="n">
        <v>8123</v>
      </c>
      <c r="C56" s="80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3V/2W S/C  DIF. 180º</v>
      </c>
      <c r="D56" s="82" t="n">
        <v>46029</v>
      </c>
      <c r="E56" s="8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56" s="80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56" s="80" t="n">
        <v>10</v>
      </c>
      <c r="I56" s="80" t="n">
        <f aca="false">(salidas26[[#This Row],[CANT JUEGOS ]]*salidas26[[#This Row],[PRECIO JUEGO]])</f>
        <v>0</v>
      </c>
      <c r="J56" s="80" t="n">
        <f aca="false">(salidas26[[#This Row],[CANT BARRAS]]*salidas26[[#This Row],[PRECIO BARRA]])</f>
        <v>35</v>
      </c>
      <c r="K56" s="80" t="n">
        <v>35</v>
      </c>
      <c r="L56" s="80" t="s">
        <v>502</v>
      </c>
      <c r="M56" s="80" t="s">
        <v>532</v>
      </c>
    </row>
    <row r="57" customFormat="false" ht="15" hidden="false" customHeight="false" outlineLevel="0" collapsed="false">
      <c r="A57" s="1" t="n">
        <v>3881</v>
      </c>
      <c r="B57" s="1" t="n">
        <v>2064</v>
      </c>
      <c r="C5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UN50AU7000G/6B</v>
      </c>
      <c r="D57" s="75" t="n">
        <v>46029</v>
      </c>
      <c r="E57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5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41.6666666666667</v>
      </c>
      <c r="G57" s="1" t="n">
        <v>1</v>
      </c>
      <c r="I57" s="1" t="n">
        <f aca="false">(salidas26[[#This Row],[CANT JUEGOS ]]*salidas26[[#This Row],[PRECIO JUEGO]])</f>
        <v>250</v>
      </c>
      <c r="J57" s="1" t="n">
        <f aca="false">(salidas26[[#This Row],[CANT BARRAS]]*salidas26[[#This Row],[PRECIO BARRA]])</f>
        <v>0</v>
      </c>
      <c r="K57" s="1" t="n">
        <v>240</v>
      </c>
      <c r="L57" s="1" t="s">
        <v>502</v>
      </c>
      <c r="M57" s="1" t="s">
        <v>528</v>
      </c>
    </row>
    <row r="58" customFormat="false" ht="15" hidden="false" customHeight="false" outlineLevel="0" collapsed="false">
      <c r="A58" s="1" t="n">
        <v>3882</v>
      </c>
      <c r="B58" s="1" t="n">
        <v>6006</v>
      </c>
      <c r="C5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SKYWORTH TOSHIBA /3B</v>
      </c>
      <c r="D58" s="75" t="n">
        <v>46029</v>
      </c>
      <c r="E58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140</v>
      </c>
      <c r="F5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46.6666666666667</v>
      </c>
      <c r="G58" s="1" t="n">
        <v>1</v>
      </c>
      <c r="I58" s="1" t="n">
        <f aca="false">(salidas26[[#This Row],[CANT JUEGOS ]]*salidas26[[#This Row],[PRECIO JUEGO]])</f>
        <v>140</v>
      </c>
      <c r="J58" s="1" t="n">
        <f aca="false">(salidas26[[#This Row],[CANT BARRAS]]*salidas26[[#This Row],[PRECIO BARRA]])</f>
        <v>0</v>
      </c>
      <c r="K58" s="1" t="n">
        <v>150</v>
      </c>
      <c r="L58" s="1" t="s">
        <v>502</v>
      </c>
      <c r="M58" s="1" t="s">
        <v>528</v>
      </c>
    </row>
    <row r="59" customFormat="false" ht="15" hidden="false" customHeight="false" outlineLevel="0" collapsed="false">
      <c r="A59" s="1" t="n">
        <v>3883</v>
      </c>
      <c r="B59" s="16" t="n">
        <v>1015</v>
      </c>
      <c r="C5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32LH500B-32LK500 3B/7L/3V</v>
      </c>
      <c r="D59" s="75" t="n">
        <v>46029</v>
      </c>
      <c r="E59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5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59" s="1" t="n">
        <v>1</v>
      </c>
      <c r="I59" s="1" t="n">
        <f aca="false">(salidas26[[#This Row],[CANT JUEGOS ]]*salidas26[[#This Row],[PRECIO JUEGO]])</f>
        <v>80</v>
      </c>
      <c r="J59" s="1" t="n">
        <f aca="false">(salidas26[[#This Row],[CANT BARRAS]]*salidas26[[#This Row],[PRECIO BARRA]])</f>
        <v>0</v>
      </c>
      <c r="K59" s="1" t="n">
        <v>90</v>
      </c>
      <c r="L59" s="1" t="s">
        <v>533</v>
      </c>
      <c r="M59" s="1" t="s">
        <v>522</v>
      </c>
    </row>
    <row r="60" customFormat="false" ht="15" hidden="false" customHeight="false" outlineLevel="0" collapsed="false">
      <c r="A60" s="1" t="n">
        <v>3884</v>
      </c>
      <c r="B60" s="16" t="n">
        <v>1078</v>
      </c>
      <c r="C6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49LB-LF/10B</v>
      </c>
      <c r="D60" s="75" t="n">
        <v>46029</v>
      </c>
      <c r="E60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6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28</v>
      </c>
      <c r="G60" s="1" t="n">
        <v>1</v>
      </c>
      <c r="I60" s="1" t="n">
        <f aca="false">(salidas26[[#This Row],[CANT JUEGOS ]]*salidas26[[#This Row],[PRECIO JUEGO]])</f>
        <v>280</v>
      </c>
      <c r="J60" s="1" t="n">
        <f aca="false">(salidas26[[#This Row],[CANT BARRAS]]*salidas26[[#This Row],[PRECIO BARRA]])</f>
        <v>0</v>
      </c>
      <c r="K60" s="1" t="n">
        <v>252</v>
      </c>
      <c r="L60" s="1" t="s">
        <v>533</v>
      </c>
      <c r="M60" s="1" t="s">
        <v>522</v>
      </c>
    </row>
    <row r="61" customFormat="false" ht="15" hidden="false" customHeight="false" outlineLevel="0" collapsed="false">
      <c r="A61" s="1" t="n">
        <v>3885</v>
      </c>
      <c r="B61" s="15" t="n">
        <v>8056</v>
      </c>
      <c r="C6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PREMIER 8L/6V/3B</v>
      </c>
      <c r="D61" s="75" t="n">
        <v>46029</v>
      </c>
      <c r="E61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6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61" s="1" t="n">
        <v>1</v>
      </c>
      <c r="I61" s="1" t="n">
        <f aca="false">(salidas26[[#This Row],[CANT JUEGOS ]]*salidas26[[#This Row],[PRECIO JUEGO]])</f>
        <v>180</v>
      </c>
      <c r="J61" s="1" t="n">
        <f aca="false">(salidas26[[#This Row],[CANT BARRAS]]*salidas26[[#This Row],[PRECIO BARRA]])</f>
        <v>0</v>
      </c>
      <c r="K61" s="1" t="n">
        <v>160</v>
      </c>
      <c r="L61" s="1" t="s">
        <v>502</v>
      </c>
      <c r="M61" s="1" t="s">
        <v>534</v>
      </c>
    </row>
    <row r="62" customFormat="false" ht="15" hidden="false" customHeight="false" outlineLevel="0" collapsed="false">
      <c r="A62" s="1" t="n">
        <v>3886</v>
      </c>
      <c r="B62" s="1" t="n">
        <v>6001</v>
      </c>
      <c r="C6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MASTER G MGHF32WB 6L/3V/2B</v>
      </c>
      <c r="D62" s="75" t="n">
        <v>46029</v>
      </c>
      <c r="E62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6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62" s="1" t="n">
        <v>1</v>
      </c>
      <c r="I62" s="1" t="n">
        <f aca="false">(salidas26[[#This Row],[CANT JUEGOS ]]*salidas26[[#This Row],[PRECIO JUEGO]])</f>
        <v>80</v>
      </c>
      <c r="J62" s="1" t="n">
        <f aca="false">(salidas26[[#This Row],[CANT BARRAS]]*salidas26[[#This Row],[PRECIO BARRA]])</f>
        <v>0</v>
      </c>
      <c r="K62" s="1" t="n">
        <v>64</v>
      </c>
      <c r="L62" s="1" t="s">
        <v>502</v>
      </c>
      <c r="M62" s="1" t="s">
        <v>534</v>
      </c>
    </row>
    <row r="63" customFormat="false" ht="15" hidden="false" customHeight="false" outlineLevel="0" collapsed="false">
      <c r="A63" s="1" t="n">
        <v>3887</v>
      </c>
      <c r="B63" s="16" t="n">
        <v>1117</v>
      </c>
      <c r="C6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55LB6500/10B/6V </v>
      </c>
      <c r="D63" s="75" t="n">
        <v>46029</v>
      </c>
      <c r="E63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6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63" s="1" t="n">
        <v>1</v>
      </c>
      <c r="I63" s="1" t="n">
        <f aca="false">(salidas26[[#This Row],[CANT JUEGOS ]]*salidas26[[#This Row],[PRECIO JUEGO]])</f>
        <v>350</v>
      </c>
      <c r="J63" s="1" t="n">
        <f aca="false">(salidas26[[#This Row],[CANT BARRAS]]*salidas26[[#This Row],[PRECIO BARRA]])</f>
        <v>0</v>
      </c>
      <c r="K63" s="1" t="n">
        <v>320</v>
      </c>
      <c r="L63" s="1" t="s">
        <v>502</v>
      </c>
      <c r="M63" s="1" t="s">
        <v>534</v>
      </c>
    </row>
    <row r="64" customFormat="false" ht="15" hidden="false" customHeight="false" outlineLevel="0" collapsed="false">
      <c r="A64" s="1" t="n">
        <v>3888</v>
      </c>
      <c r="B64" s="1" t="n">
        <v>7000</v>
      </c>
      <c r="C6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IRT/6L/2B/6V</v>
      </c>
      <c r="D64" s="75" t="n">
        <v>46029</v>
      </c>
      <c r="E64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6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4" s="1" t="n">
        <v>2</v>
      </c>
      <c r="I64" s="1" t="n">
        <f aca="false">(salidas26[[#This Row],[CANT JUEGOS ]]*salidas26[[#This Row],[PRECIO JUEGO]])</f>
        <v>120</v>
      </c>
      <c r="J64" s="1" t="n">
        <f aca="false">(salidas26[[#This Row],[CANT BARRAS]]*salidas26[[#This Row],[PRECIO BARRA]])</f>
        <v>0</v>
      </c>
      <c r="K64" s="1" t="n">
        <v>112</v>
      </c>
      <c r="L64" s="1" t="s">
        <v>502</v>
      </c>
      <c r="M64" s="1" t="s">
        <v>534</v>
      </c>
    </row>
    <row r="65" customFormat="false" ht="15" hidden="false" customHeight="false" outlineLevel="0" collapsed="false">
      <c r="A65" s="1" t="n">
        <v>3889</v>
      </c>
      <c r="B65" s="1" t="n">
        <v>2067</v>
      </c>
      <c r="C6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UN50J5300-50J5500 12B</v>
      </c>
      <c r="D65" s="75" t="n">
        <v>46029</v>
      </c>
      <c r="E65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6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65" s="1" t="n">
        <v>1</v>
      </c>
      <c r="I65" s="1" t="n">
        <f aca="false">(salidas26[[#This Row],[CANT JUEGOS ]]*salidas26[[#This Row],[PRECIO JUEGO]])</f>
        <v>400</v>
      </c>
      <c r="J65" s="1" t="n">
        <f aca="false">(salidas26[[#This Row],[CANT BARRAS]]*salidas26[[#This Row],[PRECIO BARRA]])</f>
        <v>0</v>
      </c>
      <c r="K65" s="1" t="n">
        <v>320</v>
      </c>
      <c r="L65" s="1" t="s">
        <v>502</v>
      </c>
      <c r="M65" s="1" t="s">
        <v>534</v>
      </c>
    </row>
    <row r="66" customFormat="false" ht="15" hidden="false" customHeight="false" outlineLevel="0" collapsed="false">
      <c r="A66" s="1" t="n">
        <v>3890</v>
      </c>
      <c r="B66" s="15" t="n">
        <v>8033</v>
      </c>
      <c r="C6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66" s="75" t="n">
        <v>46029</v>
      </c>
      <c r="E66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6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66" s="1" t="n">
        <v>1</v>
      </c>
      <c r="I66" s="1" t="n">
        <f aca="false">(salidas26[[#This Row],[CANT JUEGOS ]]*salidas26[[#This Row],[PRECIO JUEGO]])</f>
        <v>150</v>
      </c>
      <c r="J66" s="1" t="n">
        <f aca="false">(salidas26[[#This Row],[CANT BARRAS]]*salidas26[[#This Row],[PRECIO BARRA]])</f>
        <v>0</v>
      </c>
      <c r="K66" s="1" t="n">
        <v>140</v>
      </c>
      <c r="L66" s="1" t="s">
        <v>502</v>
      </c>
      <c r="M66" s="1" t="s">
        <v>513</v>
      </c>
    </row>
    <row r="67" customFormat="false" ht="15" hidden="false" customHeight="false" outlineLevel="0" collapsed="false">
      <c r="A67" s="1" t="n">
        <v>3891</v>
      </c>
      <c r="B67" s="1" t="n">
        <v>2087</v>
      </c>
      <c r="C6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UN58NU7100 /2B EDGE</v>
      </c>
      <c r="D67" s="75" t="n">
        <v>46029</v>
      </c>
      <c r="E67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6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120</v>
      </c>
      <c r="G67" s="1" t="n">
        <v>1</v>
      </c>
      <c r="I67" s="1" t="n">
        <f aca="false">(salidas26[[#This Row],[CANT JUEGOS ]]*salidas26[[#This Row],[PRECIO JUEGO]])</f>
        <v>240</v>
      </c>
      <c r="J67" s="1" t="n">
        <f aca="false">(salidas26[[#This Row],[CANT BARRAS]]*salidas26[[#This Row],[PRECIO BARRA]])</f>
        <v>0</v>
      </c>
      <c r="K67" s="1" t="n">
        <v>264</v>
      </c>
      <c r="L67" s="1" t="s">
        <v>535</v>
      </c>
      <c r="M67" s="1" t="s">
        <v>536</v>
      </c>
    </row>
    <row r="68" customFormat="false" ht="15" hidden="false" customHeight="false" outlineLevel="0" collapsed="false">
      <c r="A68" s="1" t="n">
        <v>3892</v>
      </c>
      <c r="B68" s="1" t="n">
        <v>4002</v>
      </c>
      <c r="C6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 S780 6L/6V -2B</v>
      </c>
      <c r="D68" s="75" t="n">
        <v>46029</v>
      </c>
      <c r="E68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6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8" s="1" t="n">
        <v>1</v>
      </c>
      <c r="I68" s="1" t="n">
        <f aca="false">(salidas26[[#This Row],[CANT JUEGOS ]]*salidas26[[#This Row],[PRECIO JUEGO]])</f>
        <v>60</v>
      </c>
      <c r="J68" s="1" t="n">
        <f aca="false">(salidas26[[#This Row],[CANT BARRAS]]*salidas26[[#This Row],[PRECIO BARRA]])</f>
        <v>0</v>
      </c>
      <c r="K68" s="1" t="n">
        <v>66</v>
      </c>
      <c r="L68" s="1" t="s">
        <v>535</v>
      </c>
      <c r="M68" s="1" t="s">
        <v>536</v>
      </c>
    </row>
    <row r="69" customFormat="false" ht="15" hidden="false" customHeight="false" outlineLevel="0" collapsed="false">
      <c r="A69" s="1" t="n">
        <v>3893</v>
      </c>
      <c r="B69" s="15" t="n">
        <v>8095</v>
      </c>
      <c r="C6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 PREMIER 5L/3V 10B</v>
      </c>
      <c r="D69" s="75" t="n">
        <v>46029</v>
      </c>
      <c r="E69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6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9" s="1" t="n">
        <v>1</v>
      </c>
      <c r="I69" s="1" t="n">
        <f aca="false">(salidas26[[#This Row],[CANT JUEGOS ]]*salidas26[[#This Row],[PRECIO JUEGO]])</f>
        <v>300</v>
      </c>
      <c r="J69" s="1" t="n">
        <f aca="false">(salidas26[[#This Row],[CANT BARRAS]]*salidas26[[#This Row],[PRECIO BARRA]])</f>
        <v>0</v>
      </c>
      <c r="K69" s="1" t="n">
        <v>295</v>
      </c>
      <c r="L69" s="1" t="s">
        <v>502</v>
      </c>
      <c r="M69" s="1" t="s">
        <v>537</v>
      </c>
    </row>
    <row r="70" customFormat="false" ht="15" hidden="false" customHeight="false" outlineLevel="0" collapsed="false">
      <c r="A70" s="1" t="n">
        <v>3894</v>
      </c>
      <c r="B70" s="1" t="n">
        <v>2087</v>
      </c>
      <c r="C7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UN58NU7100 /2B EDGE</v>
      </c>
      <c r="D70" s="75" t="n">
        <v>46029</v>
      </c>
      <c r="E70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7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120</v>
      </c>
      <c r="G70" s="1" t="n">
        <v>1</v>
      </c>
      <c r="I70" s="1" t="n">
        <f aca="false">(salidas26[[#This Row],[CANT JUEGOS ]]*salidas26[[#This Row],[PRECIO JUEGO]])</f>
        <v>240</v>
      </c>
      <c r="J70" s="1" t="n">
        <f aca="false">(salidas26[[#This Row],[CANT BARRAS]]*salidas26[[#This Row],[PRECIO BARRA]])</f>
        <v>0</v>
      </c>
      <c r="K70" s="1" t="n">
        <v>200</v>
      </c>
      <c r="L70" s="1" t="s">
        <v>502</v>
      </c>
      <c r="M70" s="1" t="s">
        <v>538</v>
      </c>
    </row>
    <row r="71" customFormat="false" ht="15" hidden="false" customHeight="false" outlineLevel="0" collapsed="false">
      <c r="A71" s="1" t="n">
        <v>3895</v>
      </c>
      <c r="B71" s="1" t="n">
        <v>2048</v>
      </c>
      <c r="C7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UN49 NU7100/2B EDGE</v>
      </c>
      <c r="D71" s="75" t="n">
        <v>46029</v>
      </c>
      <c r="E71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7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90</v>
      </c>
      <c r="G71" s="1" t="n">
        <v>1</v>
      </c>
      <c r="I71" s="1" t="n">
        <f aca="false">(salidas26[[#This Row],[CANT JUEGOS ]]*salidas26[[#This Row],[PRECIO JUEGO]])</f>
        <v>180</v>
      </c>
      <c r="J71" s="1" t="n">
        <f aca="false">(salidas26[[#This Row],[CANT BARRAS]]*salidas26[[#This Row],[PRECIO BARRA]])</f>
        <v>0</v>
      </c>
      <c r="K71" s="1" t="n">
        <v>220</v>
      </c>
      <c r="L71" s="1" t="s">
        <v>502</v>
      </c>
      <c r="M71" s="1" t="s">
        <v>538</v>
      </c>
    </row>
    <row r="72" customFormat="false" ht="15" hidden="false" customHeight="false" outlineLevel="0" collapsed="false">
      <c r="A72" s="1" t="n">
        <v>3896</v>
      </c>
      <c r="B72" s="1" t="n">
        <v>6000</v>
      </c>
      <c r="C7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SKYWORTH 2B/6LED/3V </v>
      </c>
      <c r="D72" s="75" t="n">
        <v>46029</v>
      </c>
      <c r="E72" s="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7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2" s="1" t="n">
        <v>1</v>
      </c>
      <c r="I72" s="1" t="n">
        <f aca="false">(salidas26[[#This Row],[CANT JUEGOS ]]*salidas26[[#This Row],[PRECIO JUEGO]])</f>
        <v>60</v>
      </c>
      <c r="J72" s="1" t="n">
        <f aca="false">(salidas26[[#This Row],[CANT BARRAS]]*salidas26[[#This Row],[PRECIO BARRA]])</f>
        <v>0</v>
      </c>
      <c r="K72" s="1" t="n">
        <v>60</v>
      </c>
      <c r="L72" s="1" t="s">
        <v>502</v>
      </c>
      <c r="M72" s="1" t="s">
        <v>539</v>
      </c>
    </row>
    <row r="73" customFormat="false" ht="15" hidden="false" customHeight="false" outlineLevel="0" collapsed="false">
      <c r="A73" s="1" t="n">
        <v>3897</v>
      </c>
      <c r="B73" s="1" t="n">
        <v>3000</v>
      </c>
      <c r="C7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32B8000 3B/10LED/3V </v>
      </c>
      <c r="D73" s="75" t="n">
        <v>46030</v>
      </c>
      <c r="E7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7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3" s="1" t="n">
        <v>1</v>
      </c>
      <c r="I73" s="1" t="n">
        <f aca="false">(salidas26[[#This Row],[CANT JUEGOS ]]*salidas26[[#This Row],[PRECIO JUEGO]])</f>
        <v>90</v>
      </c>
      <c r="J73" s="1" t="n">
        <f aca="false">(salidas26[[#This Row],[CANT BARRAS]]*salidas26[[#This Row],[PRECIO BARRA]])</f>
        <v>0</v>
      </c>
      <c r="K73" s="1" t="n">
        <v>100</v>
      </c>
      <c r="L73" s="1" t="s">
        <v>502</v>
      </c>
      <c r="M73" s="1" t="s">
        <v>514</v>
      </c>
    </row>
    <row r="74" customFormat="false" ht="15" hidden="false" customHeight="false" outlineLevel="0" collapsed="false">
      <c r="A74" s="1" t="n">
        <v>3898</v>
      </c>
      <c r="B74" s="1" t="n">
        <v>1027</v>
      </c>
      <c r="C7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32LM3400-4B/3V/9L</v>
      </c>
      <c r="D74" s="75" t="n">
        <v>46030</v>
      </c>
      <c r="E7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120</v>
      </c>
      <c r="F7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4" s="1" t="n">
        <v>1</v>
      </c>
      <c r="I74" s="1" t="n">
        <f aca="false">(salidas26[[#This Row],[CANT JUEGOS ]]*salidas26[[#This Row],[PRECIO JUEGO]])</f>
        <v>120</v>
      </c>
      <c r="J74" s="1" t="n">
        <f aca="false">(salidas26[[#This Row],[CANT BARRAS]]*salidas26[[#This Row],[PRECIO BARRA]])</f>
        <v>0</v>
      </c>
      <c r="K74" s="1" t="n">
        <v>150</v>
      </c>
      <c r="L74" s="1" t="s">
        <v>502</v>
      </c>
      <c r="M74" s="1" t="s">
        <v>540</v>
      </c>
    </row>
    <row r="75" customFormat="false" ht="15" hidden="false" customHeight="false" outlineLevel="0" collapsed="false">
      <c r="A75" s="1" t="n">
        <v>3899</v>
      </c>
      <c r="B75" s="1" t="n">
        <v>3000</v>
      </c>
      <c r="C7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32B8000 3B/10LED/3V </v>
      </c>
      <c r="D75" s="75" t="n">
        <v>46030</v>
      </c>
      <c r="E7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7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5" s="1" t="n">
        <v>1</v>
      </c>
      <c r="I75" s="1" t="n">
        <f aca="false">(salidas26[[#This Row],[CANT JUEGOS ]]*salidas26[[#This Row],[PRECIO JUEGO]])</f>
        <v>90</v>
      </c>
      <c r="J75" s="1" t="n">
        <f aca="false">(salidas26[[#This Row],[CANT BARRAS]]*salidas26[[#This Row],[PRECIO BARRA]])</f>
        <v>0</v>
      </c>
      <c r="K75" s="1" t="n">
        <v>100</v>
      </c>
      <c r="L75" s="1" t="s">
        <v>502</v>
      </c>
      <c r="M75" s="1" t="s">
        <v>540</v>
      </c>
    </row>
    <row r="76" customFormat="false" ht="15" hidden="false" customHeight="false" outlineLevel="0" collapsed="false">
      <c r="A76" s="1" t="n">
        <v>3900</v>
      </c>
      <c r="B76" s="1" t="n">
        <v>2075</v>
      </c>
      <c r="C7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UN55NU7100-UN55RU7100/2B EDGE</v>
      </c>
      <c r="D76" s="75" t="n">
        <v>46030</v>
      </c>
      <c r="E7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7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100</v>
      </c>
      <c r="G76" s="1" t="n">
        <v>1</v>
      </c>
      <c r="I76" s="1" t="n">
        <f aca="false">(salidas26[[#This Row],[CANT JUEGOS ]]*salidas26[[#This Row],[PRECIO JUEGO]])</f>
        <v>200</v>
      </c>
      <c r="J76" s="1" t="n">
        <f aca="false">(salidas26[[#This Row],[CANT BARRAS]]*salidas26[[#This Row],[PRECIO BARRA]])</f>
        <v>0</v>
      </c>
      <c r="K76" s="1" t="n">
        <v>200</v>
      </c>
      <c r="L76" s="1" t="s">
        <v>502</v>
      </c>
      <c r="M76" s="1" t="s">
        <v>540</v>
      </c>
    </row>
    <row r="77" customFormat="false" ht="15" hidden="false" customHeight="false" outlineLevel="0" collapsed="false">
      <c r="B77" s="1" t="n">
        <v>2003</v>
      </c>
      <c r="C7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UN32F5000-SAMSUNG 5B</v>
      </c>
      <c r="D77" s="75" t="n">
        <v>46030</v>
      </c>
      <c r="E7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130</v>
      </c>
      <c r="F7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</v>
      </c>
      <c r="G77" s="1" t="n">
        <v>1</v>
      </c>
      <c r="I77" s="1" t="n">
        <f aca="false">(salidas26[[#This Row],[CANT JUEGOS ]]*salidas26[[#This Row],[PRECIO JUEGO]])</f>
        <v>130</v>
      </c>
      <c r="J77" s="1" t="n">
        <f aca="false">(salidas26[[#This Row],[CANT BARRAS]]*salidas26[[#This Row],[PRECIO BARRA]])</f>
        <v>0</v>
      </c>
      <c r="M77" s="1" t="s">
        <v>541</v>
      </c>
    </row>
    <row r="78" customFormat="false" ht="15" hidden="false" customHeight="false" outlineLevel="0" collapsed="false">
      <c r="A78" s="1" t="n">
        <v>3901</v>
      </c>
      <c r="B78" s="1" t="n">
        <v>2003</v>
      </c>
      <c r="C7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UN32F5000-SAMSUNG 5B</v>
      </c>
      <c r="D78" s="75" t="n">
        <v>46030</v>
      </c>
      <c r="E7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130</v>
      </c>
      <c r="F7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</v>
      </c>
      <c r="H78" s="1" t="n">
        <v>2</v>
      </c>
      <c r="I78" s="1" t="n">
        <f aca="false">(salidas26[[#This Row],[CANT JUEGOS ]]*salidas26[[#This Row],[PRECIO JUEGO]])</f>
        <v>0</v>
      </c>
      <c r="J78" s="1" t="n">
        <f aca="false">(salidas26[[#This Row],[CANT BARRAS]]*salidas26[[#This Row],[PRECIO BARRA]])</f>
        <v>52</v>
      </c>
      <c r="K78" s="1" t="n">
        <v>72</v>
      </c>
      <c r="L78" s="1" t="s">
        <v>502</v>
      </c>
      <c r="M78" s="1" t="s">
        <v>503</v>
      </c>
    </row>
    <row r="79" customFormat="false" ht="15" hidden="false" customHeight="false" outlineLevel="0" collapsed="false">
      <c r="A79" s="1" t="n">
        <v>3903</v>
      </c>
      <c r="B79" s="1" t="n">
        <v>8055</v>
      </c>
      <c r="C7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PREMIER 8L/3V/3B 8047SF43SF</v>
      </c>
      <c r="D79" s="75" t="n">
        <v>46030</v>
      </c>
      <c r="E7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7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79" s="1" t="n">
        <v>1</v>
      </c>
      <c r="I79" s="1" t="n">
        <f aca="false">(salidas26[[#This Row],[CANT JUEGOS ]]*salidas26[[#This Row],[PRECIO JUEGO]])</f>
        <v>180</v>
      </c>
      <c r="J79" s="1" t="n">
        <f aca="false">(salidas26[[#This Row],[CANT BARRAS]]*salidas26[[#This Row],[PRECIO BARRA]])</f>
        <v>0</v>
      </c>
      <c r="K79" s="1" t="n">
        <v>190</v>
      </c>
      <c r="L79" s="1" t="s">
        <v>502</v>
      </c>
      <c r="M79" s="1" t="s">
        <v>514</v>
      </c>
    </row>
    <row r="80" customFormat="false" ht="15" hidden="false" customHeight="false" outlineLevel="0" collapsed="false">
      <c r="A80" s="1" t="n">
        <v>3904</v>
      </c>
      <c r="B80" s="1" t="n">
        <v>3000</v>
      </c>
      <c r="C8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32B8000 3B/10LED/3V </v>
      </c>
      <c r="D80" s="75" t="n">
        <v>46030</v>
      </c>
      <c r="E8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8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80" s="1" t="n">
        <v>1</v>
      </c>
      <c r="I80" s="1" t="n">
        <f aca="false">(salidas26[[#This Row],[CANT JUEGOS ]]*salidas26[[#This Row],[PRECIO JUEGO]])</f>
        <v>90</v>
      </c>
      <c r="J80" s="1" t="n">
        <f aca="false">(salidas26[[#This Row],[CANT BARRAS]]*salidas26[[#This Row],[PRECIO BARRA]])</f>
        <v>0</v>
      </c>
      <c r="K80" s="1" t="n">
        <v>100</v>
      </c>
      <c r="L80" s="1" t="s">
        <v>502</v>
      </c>
      <c r="M80" s="1" t="s">
        <v>524</v>
      </c>
    </row>
    <row r="81" customFormat="false" ht="15" hidden="false" customHeight="false" outlineLevel="0" collapsed="false">
      <c r="A81" s="1" t="n">
        <v>3905</v>
      </c>
      <c r="B81" s="1" t="n">
        <v>2006</v>
      </c>
      <c r="C8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UN32J/ 2B </v>
      </c>
      <c r="D81" s="75" t="n">
        <v>46030</v>
      </c>
      <c r="E8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8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45</v>
      </c>
      <c r="G81" s="1" t="n">
        <v>1</v>
      </c>
      <c r="I81" s="1" t="n">
        <f aca="false">(salidas26[[#This Row],[CANT JUEGOS ]]*salidas26[[#This Row],[PRECIO JUEGO]])</f>
        <v>90</v>
      </c>
      <c r="J81" s="1" t="n">
        <f aca="false">(salidas26[[#This Row],[CANT BARRAS]]*salidas26[[#This Row],[PRECIO BARRA]])</f>
        <v>0</v>
      </c>
      <c r="K81" s="1" t="n">
        <v>70</v>
      </c>
      <c r="L81" s="1" t="s">
        <v>502</v>
      </c>
      <c r="M81" s="1" t="s">
        <v>524</v>
      </c>
    </row>
    <row r="82" s="1" customFormat="true" ht="15" hidden="false" customHeight="false" outlineLevel="0" collapsed="false">
      <c r="A82" s="1" t="n">
        <v>3906</v>
      </c>
      <c r="B82" s="1" t="n">
        <v>8055</v>
      </c>
      <c r="C8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PREMIER 8L/3V/3B 8047SF43SF</v>
      </c>
      <c r="D82" s="75" t="n">
        <v>46030</v>
      </c>
      <c r="E8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8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82" s="1" t="n">
        <v>1</v>
      </c>
      <c r="I82" s="1" t="n">
        <f aca="false">(salidas26[[#This Row],[CANT JUEGOS ]]*salidas26[[#This Row],[PRECIO JUEGO]])</f>
        <v>180</v>
      </c>
      <c r="J82" s="1" t="n">
        <f aca="false">(salidas26[[#This Row],[CANT BARRAS]]*salidas26[[#This Row],[PRECIO BARRA]])</f>
        <v>0</v>
      </c>
      <c r="K82" s="1" t="n">
        <v>180</v>
      </c>
      <c r="L82" s="1" t="s">
        <v>502</v>
      </c>
      <c r="M82" s="1" t="s">
        <v>542</v>
      </c>
    </row>
    <row r="83" customFormat="false" ht="15" hidden="false" customHeight="false" outlineLevel="0" collapsed="false">
      <c r="A83" s="1" t="n">
        <v>3907</v>
      </c>
      <c r="B83" s="1" t="n">
        <v>8067</v>
      </c>
      <c r="C8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6V/10L/4B EN PARALELO</v>
      </c>
      <c r="D83" s="75" t="n">
        <v>46030</v>
      </c>
      <c r="E8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8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83" s="1" t="n">
        <v>3</v>
      </c>
      <c r="I83" s="1" t="n">
        <f aca="false">(salidas26[[#This Row],[CANT JUEGOS ]]*salidas26[[#This Row],[PRECIO JUEGO]])</f>
        <v>660</v>
      </c>
      <c r="J83" s="1" t="n">
        <f aca="false">(salidas26[[#This Row],[CANT BARRAS]]*salidas26[[#This Row],[PRECIO BARRA]])</f>
        <v>0</v>
      </c>
      <c r="K83" s="1" t="n">
        <v>600</v>
      </c>
      <c r="L83" s="1" t="s">
        <v>533</v>
      </c>
      <c r="M83" s="1" t="s">
        <v>529</v>
      </c>
    </row>
    <row r="84" customFormat="false" ht="15" hidden="false" customHeight="false" outlineLevel="0" collapsed="false">
      <c r="A84" s="1" t="n">
        <v>3908</v>
      </c>
      <c r="B84" s="1" t="n">
        <v>8033</v>
      </c>
      <c r="C8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84" s="75" t="n">
        <v>46030</v>
      </c>
      <c r="E8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8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84" s="1" t="n">
        <v>3</v>
      </c>
      <c r="I84" s="1" t="n">
        <f aca="false">(salidas26[[#This Row],[CANT JUEGOS ]]*salidas26[[#This Row],[PRECIO JUEGO]])</f>
        <v>450</v>
      </c>
      <c r="J84" s="1" t="n">
        <f aca="false">(salidas26[[#This Row],[CANT BARRAS]]*salidas26[[#This Row],[PRECIO BARRA]])</f>
        <v>0</v>
      </c>
      <c r="K84" s="1" t="n">
        <v>340</v>
      </c>
      <c r="L84" s="1" t="s">
        <v>533</v>
      </c>
      <c r="M84" s="1" t="s">
        <v>529</v>
      </c>
    </row>
    <row r="85" customFormat="false" ht="15" hidden="false" customHeight="false" outlineLevel="0" collapsed="false">
      <c r="A85" s="1" t="n">
        <v>3909</v>
      </c>
      <c r="B85" s="1" t="n">
        <v>8056</v>
      </c>
      <c r="C8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PREMIER 8L/6V/3B</v>
      </c>
      <c r="D85" s="75" t="n">
        <v>46030</v>
      </c>
      <c r="E8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8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85" s="1" t="n">
        <v>1</v>
      </c>
      <c r="I85" s="1" t="n">
        <f aca="false">(salidas26[[#This Row],[CANT JUEGOS ]]*salidas26[[#This Row],[PRECIO JUEGO]])</f>
        <v>180</v>
      </c>
      <c r="J85" s="1" t="n">
        <f aca="false">(salidas26[[#This Row],[CANT BARRAS]]*salidas26[[#This Row],[PRECIO BARRA]])</f>
        <v>0</v>
      </c>
      <c r="K85" s="1" t="n">
        <v>160</v>
      </c>
      <c r="L85" s="1" t="s">
        <v>533</v>
      </c>
      <c r="M85" s="1" t="s">
        <v>529</v>
      </c>
    </row>
    <row r="86" customFormat="false" ht="15" hidden="false" customHeight="false" outlineLevel="0" collapsed="false">
      <c r="A86" s="1" t="n">
        <v>3910</v>
      </c>
      <c r="B86" s="1" t="n">
        <v>6022</v>
      </c>
      <c r="C8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SKYWORTH SUC9350Pro /10L</v>
      </c>
      <c r="D86" s="75" t="n">
        <v>46030</v>
      </c>
      <c r="E8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8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70</v>
      </c>
      <c r="G86" s="1" t="n">
        <v>1</v>
      </c>
      <c r="I86" s="1" t="n">
        <f aca="false">(salidas26[[#This Row],[CANT JUEGOS ]]*salidas26[[#This Row],[PRECIO JUEGO]])</f>
        <v>350</v>
      </c>
      <c r="J86" s="1" t="n">
        <f aca="false">(salidas26[[#This Row],[CANT BARRAS]]*salidas26[[#This Row],[PRECIO BARRA]])</f>
        <v>0</v>
      </c>
      <c r="K86" s="1" t="n">
        <v>350</v>
      </c>
      <c r="L86" s="1" t="s">
        <v>502</v>
      </c>
      <c r="M86" s="1" t="s">
        <v>529</v>
      </c>
    </row>
    <row r="87" customFormat="false" ht="15" hidden="false" customHeight="false" outlineLevel="0" collapsed="false">
      <c r="A87" s="1" t="n">
        <v>3911</v>
      </c>
      <c r="B87" s="1" t="n">
        <v>2024</v>
      </c>
      <c r="C8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UN43J5202/ 3 BARRAS/8L/3V</v>
      </c>
      <c r="D87" s="75" t="n">
        <v>46030</v>
      </c>
      <c r="E8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8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87" s="1" t="n">
        <v>1</v>
      </c>
      <c r="I87" s="1" t="n">
        <f aca="false">(salidas26[[#This Row],[CANT JUEGOS ]]*salidas26[[#This Row],[PRECIO JUEGO]])</f>
        <v>180</v>
      </c>
      <c r="J87" s="1" t="n">
        <f aca="false">(salidas26[[#This Row],[CANT BARRAS]]*salidas26[[#This Row],[PRECIO BARRA]])</f>
        <v>0</v>
      </c>
      <c r="K87" s="1" t="n">
        <v>180</v>
      </c>
      <c r="L87" s="1" t="s">
        <v>502</v>
      </c>
      <c r="M87" s="1" t="s">
        <v>543</v>
      </c>
    </row>
    <row r="88" customFormat="false" ht="15" hidden="false" customHeight="false" outlineLevel="0" collapsed="false">
      <c r="A88" s="1" t="n">
        <v>3912</v>
      </c>
      <c r="B88" s="1" t="n">
        <v>6034</v>
      </c>
      <c r="C8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HISENSE A6GSA 6B/8L/3V</v>
      </c>
      <c r="D88" s="75" t="n">
        <v>46030</v>
      </c>
      <c r="E8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380</v>
      </c>
      <c r="F8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63.3333333333333</v>
      </c>
      <c r="G88" s="1" t="n">
        <v>1</v>
      </c>
      <c r="I88" s="1" t="n">
        <f aca="false">(salidas26[[#This Row],[CANT JUEGOS ]]*salidas26[[#This Row],[PRECIO JUEGO]])</f>
        <v>380</v>
      </c>
      <c r="J88" s="1" t="n">
        <f aca="false">(salidas26[[#This Row],[CANT BARRAS]]*salidas26[[#This Row],[PRECIO BARRA]])</f>
        <v>0</v>
      </c>
      <c r="K88" s="1" t="n">
        <v>350</v>
      </c>
      <c r="L88" s="1" t="s">
        <v>533</v>
      </c>
      <c r="M88" s="1" t="s">
        <v>544</v>
      </c>
    </row>
    <row r="89" customFormat="false" ht="15" hidden="false" customHeight="false" outlineLevel="0" collapsed="false">
      <c r="A89" s="1" t="n">
        <v>3913</v>
      </c>
      <c r="B89" s="1" t="n">
        <v>3018</v>
      </c>
      <c r="C8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 HAIER 9B/5L</v>
      </c>
      <c r="D89" s="75" t="n">
        <v>46030</v>
      </c>
      <c r="E8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8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27.7777777777778</v>
      </c>
      <c r="G89" s="1" t="n">
        <v>1</v>
      </c>
      <c r="I89" s="1" t="n">
        <f aca="false">(salidas26[[#This Row],[CANT JUEGOS ]]*salidas26[[#This Row],[PRECIO JUEGO]])</f>
        <v>250</v>
      </c>
      <c r="J89" s="1" t="n">
        <f aca="false">(salidas26[[#This Row],[CANT BARRAS]]*salidas26[[#This Row],[PRECIO BARRA]])</f>
        <v>0</v>
      </c>
      <c r="K89" s="1" t="n">
        <v>220</v>
      </c>
      <c r="L89" s="1" t="s">
        <v>533</v>
      </c>
      <c r="M89" s="1" t="s">
        <v>544</v>
      </c>
    </row>
    <row r="90" customFormat="false" ht="15" hidden="false" customHeight="false" outlineLevel="0" collapsed="false">
      <c r="B90" s="1" t="n">
        <v>5018</v>
      </c>
      <c r="C9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KDL-40R475 SONY/10B</v>
      </c>
      <c r="D90" s="75" t="n">
        <v>46030</v>
      </c>
      <c r="E9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9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90" s="1" t="n">
        <v>1</v>
      </c>
      <c r="I90" s="1" t="n">
        <f aca="false">(salidas26[[#This Row],[CANT JUEGOS ]]*salidas26[[#This Row],[PRECIO JUEGO]])</f>
        <v>200</v>
      </c>
      <c r="J90" s="1" t="n">
        <f aca="false">(salidas26[[#This Row],[CANT BARRAS]]*salidas26[[#This Row],[PRECIO BARRA]])</f>
        <v>0</v>
      </c>
      <c r="M90" s="1" t="s">
        <v>541</v>
      </c>
    </row>
    <row r="91" customFormat="false" ht="15" hidden="false" customHeight="false" outlineLevel="0" collapsed="false">
      <c r="A91" s="1" t="n">
        <v>3914</v>
      </c>
      <c r="B91" s="1" t="n">
        <v>5018</v>
      </c>
      <c r="C9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KDL-40R475 SONY/10B</v>
      </c>
      <c r="D91" s="75" t="n">
        <v>46030</v>
      </c>
      <c r="E9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9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H91" s="1" t="n">
        <v>8</v>
      </c>
      <c r="I91" s="1" t="n">
        <f aca="false">(salidas26[[#This Row],[CANT JUEGOS ]]*salidas26[[#This Row],[PRECIO JUEGO]])</f>
        <v>0</v>
      </c>
      <c r="J91" s="1" t="n">
        <f aca="false">(salidas26[[#This Row],[CANT BARRAS]]*salidas26[[#This Row],[PRECIO BARRA]])</f>
        <v>160</v>
      </c>
      <c r="K91" s="1" t="n">
        <v>150</v>
      </c>
      <c r="L91" s="1" t="s">
        <v>533</v>
      </c>
      <c r="M91" s="1" t="s">
        <v>506</v>
      </c>
    </row>
    <row r="92" customFormat="false" ht="15" hidden="false" customHeight="false" outlineLevel="0" collapsed="false">
      <c r="A92" s="1" t="n">
        <v>3915</v>
      </c>
      <c r="B92" s="1" t="n">
        <v>6016</v>
      </c>
      <c r="C9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TOSHIBA C350KB /8B</v>
      </c>
      <c r="D92" s="75" t="n">
        <v>46030</v>
      </c>
      <c r="E9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9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2" s="1" t="n">
        <v>1</v>
      </c>
      <c r="I92" s="1" t="n">
        <f aca="false">(salidas26[[#This Row],[CANT JUEGOS ]]*salidas26[[#This Row],[PRECIO JUEGO]])</f>
        <v>240</v>
      </c>
      <c r="J92" s="1" t="n">
        <f aca="false">(salidas26[[#This Row],[CANT BARRAS]]*salidas26[[#This Row],[PRECIO BARRA]])</f>
        <v>0</v>
      </c>
      <c r="K92" s="1" t="n">
        <v>220</v>
      </c>
      <c r="L92" s="1" t="s">
        <v>533</v>
      </c>
      <c r="M92" s="1" t="s">
        <v>506</v>
      </c>
    </row>
    <row r="93" customFormat="false" ht="15" hidden="false" customHeight="false" outlineLevel="0" collapsed="false">
      <c r="A93" s="1" t="n">
        <v>3916</v>
      </c>
      <c r="B93" s="1" t="n">
        <v>1078</v>
      </c>
      <c r="C9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49LB-LF/10B</v>
      </c>
      <c r="D93" s="75" t="n">
        <v>46030</v>
      </c>
      <c r="E9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9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28</v>
      </c>
      <c r="G93" s="1" t="n">
        <v>1</v>
      </c>
      <c r="I93" s="1" t="n">
        <f aca="false">(salidas26[[#This Row],[CANT JUEGOS ]]*salidas26[[#This Row],[PRECIO JUEGO]])</f>
        <v>280</v>
      </c>
      <c r="J93" s="1" t="n">
        <f aca="false">(salidas26[[#This Row],[CANT BARRAS]]*salidas26[[#This Row],[PRECIO BARRA]])</f>
        <v>0</v>
      </c>
      <c r="K93" s="1" t="n">
        <v>270</v>
      </c>
      <c r="L93" s="1" t="s">
        <v>502</v>
      </c>
      <c r="M93" s="1" t="s">
        <v>503</v>
      </c>
    </row>
    <row r="94" customFormat="false" ht="15" hidden="false" customHeight="false" outlineLevel="0" collapsed="false">
      <c r="A94" s="1" t="n">
        <v>3917</v>
      </c>
      <c r="B94" s="1" t="n">
        <v>5006</v>
      </c>
      <c r="C9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KDL-32R304B/3B</v>
      </c>
      <c r="D94" s="75" t="n">
        <v>46030</v>
      </c>
      <c r="E9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9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4" s="1" t="n">
        <v>1</v>
      </c>
      <c r="I94" s="1" t="n">
        <f aca="false">(salidas26[[#This Row],[CANT JUEGOS ]]*salidas26[[#This Row],[PRECIO JUEGO]])</f>
        <v>90</v>
      </c>
      <c r="J94" s="1" t="n">
        <f aca="false">(salidas26[[#This Row],[CANT BARRAS]]*salidas26[[#This Row],[PRECIO BARRA]])</f>
        <v>0</v>
      </c>
      <c r="K94" s="1" t="n">
        <v>100</v>
      </c>
      <c r="L94" s="1" t="s">
        <v>502</v>
      </c>
      <c r="M94" s="1" t="s">
        <v>545</v>
      </c>
    </row>
    <row r="95" customFormat="false" ht="15" hidden="false" customHeight="false" outlineLevel="0" collapsed="false">
      <c r="A95" s="1" t="n">
        <v>3918</v>
      </c>
      <c r="B95" s="1" t="n">
        <v>1094</v>
      </c>
      <c r="C9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 UH6100-LH5100 /8B</v>
      </c>
      <c r="D95" s="75" t="n">
        <v>46030</v>
      </c>
      <c r="E9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9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31.25</v>
      </c>
      <c r="G95" s="1" t="n">
        <v>1</v>
      </c>
      <c r="I95" s="1" t="n">
        <f aca="false">(salidas26[[#This Row],[CANT JUEGOS ]]*salidas26[[#This Row],[PRECIO JUEGO]])</f>
        <v>250</v>
      </c>
      <c r="J95" s="1" t="n">
        <f aca="false">(salidas26[[#This Row],[CANT BARRAS]]*salidas26[[#This Row],[PRECIO BARRA]])</f>
        <v>0</v>
      </c>
      <c r="K95" s="1" t="n">
        <v>225</v>
      </c>
      <c r="L95" s="1" t="s">
        <v>533</v>
      </c>
      <c r="M95" s="1" t="s">
        <v>546</v>
      </c>
    </row>
    <row r="96" s="1" customFormat="true" ht="15" hidden="false" customHeight="false" outlineLevel="0" collapsed="false">
      <c r="A96" s="1" t="n">
        <v>3919</v>
      </c>
      <c r="B96" s="1" t="n">
        <v>8033</v>
      </c>
      <c r="C9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96" s="75" t="n">
        <v>46030</v>
      </c>
      <c r="E9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9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96" s="1" t="n">
        <v>1</v>
      </c>
      <c r="I96" s="1" t="n">
        <f aca="false">(salidas26[[#This Row],[CANT JUEGOS ]]*salidas26[[#This Row],[PRECIO JUEGO]])</f>
        <v>150</v>
      </c>
      <c r="J96" s="1" t="n">
        <f aca="false">(salidas26[[#This Row],[CANT BARRAS]]*salidas26[[#This Row],[PRECIO BARRA]])</f>
        <v>0</v>
      </c>
      <c r="K96" s="1" t="n">
        <v>135</v>
      </c>
      <c r="L96" s="1" t="s">
        <v>533</v>
      </c>
      <c r="M96" s="1" t="s">
        <v>522</v>
      </c>
    </row>
    <row r="97" customFormat="false" ht="15" hidden="false" customHeight="false" outlineLevel="0" collapsed="false">
      <c r="A97" s="1" t="n">
        <v>3921</v>
      </c>
      <c r="B97" s="1" t="n">
        <v>2000</v>
      </c>
      <c r="C9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D97" s="75" t="n">
        <v>46030</v>
      </c>
      <c r="E9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9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97" s="1" t="n">
        <v>1</v>
      </c>
      <c r="I97" s="1" t="n">
        <f aca="false">(salidas26[[#This Row],[CANT JUEGOS ]]*salidas26[[#This Row],[PRECIO JUEGO]])</f>
        <v>80</v>
      </c>
      <c r="J97" s="1" t="n">
        <f aca="false">(salidas26[[#This Row],[CANT BARRAS]]*salidas26[[#This Row],[PRECIO BARRA]])</f>
        <v>0</v>
      </c>
      <c r="K97" s="1" t="n">
        <v>81</v>
      </c>
      <c r="L97" s="1" t="s">
        <v>533</v>
      </c>
      <c r="M97" s="1" t="s">
        <v>522</v>
      </c>
    </row>
    <row r="98" customFormat="false" ht="15" hidden="false" customHeight="false" outlineLevel="0" collapsed="false">
      <c r="A98" s="1" t="n">
        <v>3922</v>
      </c>
      <c r="B98" s="1" t="n">
        <v>8033</v>
      </c>
      <c r="C9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98" s="75" t="n">
        <v>46030</v>
      </c>
      <c r="E9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9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98" s="1" t="n">
        <v>1</v>
      </c>
      <c r="I98" s="1" t="n">
        <f aca="false">(salidas26[[#This Row],[CANT JUEGOS ]]*salidas26[[#This Row],[PRECIO JUEGO]])</f>
        <v>150</v>
      </c>
      <c r="J98" s="1" t="n">
        <f aca="false">(salidas26[[#This Row],[CANT BARRAS]]*salidas26[[#This Row],[PRECIO BARRA]])</f>
        <v>0</v>
      </c>
      <c r="K98" s="1" t="n">
        <v>150</v>
      </c>
      <c r="L98" s="1" t="s">
        <v>502</v>
      </c>
      <c r="M98" s="1" t="s">
        <v>505</v>
      </c>
    </row>
    <row r="99" customFormat="false" ht="15" hidden="false" customHeight="false" outlineLevel="0" collapsed="false">
      <c r="A99" s="1" t="n">
        <v>3923</v>
      </c>
      <c r="B99" s="1" t="n">
        <v>1066</v>
      </c>
      <c r="C9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47LA6130-12B/3V</v>
      </c>
      <c r="D99" s="75" t="n">
        <v>46031</v>
      </c>
      <c r="E9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9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99" s="1" t="n">
        <v>1</v>
      </c>
      <c r="I99" s="1" t="n">
        <f aca="false">(salidas26[[#This Row],[CANT JUEGOS ]]*salidas26[[#This Row],[PRECIO JUEGO]])</f>
        <v>240</v>
      </c>
      <c r="J99" s="1" t="n">
        <f aca="false">(salidas26[[#This Row],[CANT BARRAS]]*salidas26[[#This Row],[PRECIO BARRA]])</f>
        <v>0</v>
      </c>
      <c r="K99" s="1" t="n">
        <v>220</v>
      </c>
      <c r="L99" s="1" t="s">
        <v>502</v>
      </c>
      <c r="M99" s="1" t="s">
        <v>503</v>
      </c>
    </row>
    <row r="100" customFormat="false" ht="15" hidden="false" customHeight="false" outlineLevel="0" collapsed="false">
      <c r="A100" s="1" t="n">
        <v>3924</v>
      </c>
      <c r="B100" s="1" t="n">
        <v>8057</v>
      </c>
      <c r="C10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45 PREMIER 7L/4B</v>
      </c>
      <c r="D100" s="75" t="n">
        <v>46031</v>
      </c>
      <c r="E10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10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100" s="1" t="n">
        <v>1</v>
      </c>
      <c r="I100" s="1" t="n">
        <f aca="false">(salidas26[[#This Row],[CANT JUEGOS ]]*salidas26[[#This Row],[PRECIO JUEGO]])</f>
        <v>200</v>
      </c>
      <c r="J100" s="1" t="n">
        <f aca="false">(salidas26[[#This Row],[CANT BARRAS]]*salidas26[[#This Row],[PRECIO BARRA]])</f>
        <v>0</v>
      </c>
      <c r="K100" s="1" t="n">
        <v>220</v>
      </c>
      <c r="L100" s="1" t="s">
        <v>502</v>
      </c>
      <c r="M100" s="1" t="s">
        <v>503</v>
      </c>
    </row>
    <row r="101" customFormat="false" ht="15" hidden="false" customHeight="false" outlineLevel="0" collapsed="false">
      <c r="A101" s="1" t="n">
        <v>3926</v>
      </c>
      <c r="B101" s="1" t="n">
        <v>8100</v>
      </c>
      <c r="C10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JVC 58KB527</v>
      </c>
      <c r="D101" s="75" t="n">
        <v>46031</v>
      </c>
      <c r="E10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10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101" s="1" t="n">
        <v>1</v>
      </c>
      <c r="I101" s="1" t="n">
        <f aca="false">(salidas26[[#This Row],[CANT JUEGOS ]]*salidas26[[#This Row],[PRECIO JUEGO]])</f>
        <v>300</v>
      </c>
      <c r="J101" s="1" t="n">
        <f aca="false">(salidas26[[#This Row],[CANT BARRAS]]*salidas26[[#This Row],[PRECIO BARRA]])</f>
        <v>0</v>
      </c>
      <c r="K101" s="1" t="n">
        <v>300</v>
      </c>
      <c r="L101" s="1" t="s">
        <v>533</v>
      </c>
      <c r="M101" s="1" t="s">
        <v>547</v>
      </c>
    </row>
    <row r="102" s="70" customFormat="true" ht="15" hidden="false" customHeight="false" outlineLevel="0" collapsed="false">
      <c r="A102" s="70" t="n">
        <v>3928</v>
      </c>
      <c r="B102" s="70" t="n">
        <v>8104</v>
      </c>
      <c r="C102" s="70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LT65KB527 10 B</v>
      </c>
      <c r="D102" s="75" t="n">
        <v>46031</v>
      </c>
      <c r="E102" s="70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102" s="70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102" s="70" t="n">
        <v>1</v>
      </c>
      <c r="I102" s="70" t="n">
        <f aca="false">(salidas26[[#This Row],[CANT JUEGOS ]]*salidas26[[#This Row],[PRECIO JUEGO]])</f>
        <v>400</v>
      </c>
      <c r="J102" s="70" t="n">
        <f aca="false">(salidas26[[#This Row],[CANT BARRAS]]*salidas26[[#This Row],[PRECIO BARRA]])</f>
        <v>0</v>
      </c>
      <c r="L102" s="70" t="s">
        <v>548</v>
      </c>
      <c r="M102" s="70" t="s">
        <v>527</v>
      </c>
    </row>
    <row r="103" customFormat="false" ht="15" hidden="false" customHeight="false" outlineLevel="0" collapsed="false">
      <c r="A103" s="1" t="n">
        <v>3929</v>
      </c>
      <c r="C103" s="1" t="s">
        <v>549</v>
      </c>
      <c r="D103" s="75" t="n">
        <v>46031</v>
      </c>
      <c r="E103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03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03" s="1" t="e">
        <f aca="false">(salidas26[[#This Row],[CANT JUEGOS ]]*salidas26[[#This Row],[PRECIO JUEGO]])</f>
        <v>#VALUE!</v>
      </c>
      <c r="J103" s="1" t="e">
        <f aca="false">(salidas26[[#This Row],[CANT BARRAS]]*salidas26[[#This Row],[PRECIO BARRA]])</f>
        <v>#VALUE!</v>
      </c>
      <c r="K103" s="1" t="n">
        <v>180</v>
      </c>
      <c r="L103" s="1" t="s">
        <v>533</v>
      </c>
      <c r="M103" s="1" t="s">
        <v>550</v>
      </c>
    </row>
    <row r="104" customFormat="false" ht="15" hidden="false" customHeight="false" outlineLevel="0" collapsed="false">
      <c r="A104" s="1" t="n">
        <v>3930</v>
      </c>
      <c r="B104" s="1" t="n">
        <v>1049</v>
      </c>
      <c r="C10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43LJ5500 3B/7L</v>
      </c>
      <c r="D104" s="75" t="n">
        <v>46031</v>
      </c>
      <c r="E10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0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104" s="1" t="n">
        <v>1</v>
      </c>
      <c r="I104" s="1" t="n">
        <f aca="false">(salidas26[[#This Row],[CANT JUEGOS ]]*salidas26[[#This Row],[PRECIO JUEGO]])</f>
        <v>180</v>
      </c>
      <c r="J104" s="1" t="n">
        <f aca="false">(salidas26[[#This Row],[CANT BARRAS]]*salidas26[[#This Row],[PRECIO BARRA]])</f>
        <v>0</v>
      </c>
      <c r="K104" s="1" t="n">
        <v>189</v>
      </c>
      <c r="L104" s="1" t="s">
        <v>533</v>
      </c>
      <c r="M104" s="1" t="s">
        <v>546</v>
      </c>
    </row>
    <row r="105" customFormat="false" ht="15" hidden="false" customHeight="false" outlineLevel="0" collapsed="false">
      <c r="A105" s="1" t="n">
        <v>3931</v>
      </c>
      <c r="B105" s="1" t="n">
        <v>2064</v>
      </c>
      <c r="C10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UN50AU7000G/6B</v>
      </c>
      <c r="D105" s="75" t="n">
        <v>46031</v>
      </c>
      <c r="E10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10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41.6666666666667</v>
      </c>
      <c r="G105" s="1" t="n">
        <v>1</v>
      </c>
      <c r="I105" s="1" t="n">
        <f aca="false">(salidas26[[#This Row],[CANT JUEGOS ]]*salidas26[[#This Row],[PRECIO JUEGO]])</f>
        <v>250</v>
      </c>
      <c r="J105" s="1" t="n">
        <f aca="false">(salidas26[[#This Row],[CANT BARRAS]]*salidas26[[#This Row],[PRECIO BARRA]])</f>
        <v>0</v>
      </c>
      <c r="K105" s="1" t="n">
        <v>250</v>
      </c>
      <c r="L105" s="1" t="s">
        <v>502</v>
      </c>
      <c r="M105" s="1" t="s">
        <v>551</v>
      </c>
    </row>
    <row r="106" s="1" customFormat="true" ht="15" hidden="false" customHeight="false" outlineLevel="0" collapsed="false">
      <c r="A106" s="1" t="n">
        <v>3932</v>
      </c>
      <c r="B106" s="1" t="n">
        <v>3003</v>
      </c>
      <c r="C10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40B8000 4B/12LED/3V</v>
      </c>
      <c r="D106" s="75" t="n">
        <v>46031</v>
      </c>
      <c r="E10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10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106" s="1" t="n">
        <v>1</v>
      </c>
      <c r="I106" s="1" t="n">
        <f aca="false">(salidas26[[#This Row],[CANT JUEGOS ]]*salidas26[[#This Row],[PRECIO JUEGO]])</f>
        <v>160</v>
      </c>
      <c r="J106" s="1" t="n">
        <f aca="false">(salidas26[[#This Row],[CANT BARRAS]]*salidas26[[#This Row],[PRECIO BARRA]])</f>
        <v>0</v>
      </c>
      <c r="K106" s="1" t="n">
        <v>170</v>
      </c>
      <c r="L106" s="1" t="s">
        <v>533</v>
      </c>
      <c r="M106" s="1" t="s">
        <v>511</v>
      </c>
    </row>
    <row r="107" s="1" customFormat="true" ht="15" hidden="false" customHeight="false" outlineLevel="0" collapsed="false">
      <c r="A107" s="1" t="n">
        <v>3933</v>
      </c>
      <c r="B107" s="1" t="n">
        <v>1003</v>
      </c>
      <c r="C10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LA -3B/3V/7-8-7L</v>
      </c>
      <c r="D107" s="75" t="n">
        <v>46031</v>
      </c>
      <c r="E10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10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107" s="1" t="n">
        <v>1</v>
      </c>
      <c r="I107" s="1" t="n">
        <f aca="false">(salidas26[[#This Row],[CANT JUEGOS ]]*salidas26[[#This Row],[PRECIO JUEGO]])</f>
        <v>80</v>
      </c>
      <c r="J107" s="1" t="n">
        <f aca="false">(salidas26[[#This Row],[CANT BARRAS]]*salidas26[[#This Row],[PRECIO BARRA]])</f>
        <v>0</v>
      </c>
      <c r="K107" s="1" t="n">
        <v>100</v>
      </c>
      <c r="L107" s="1" t="s">
        <v>533</v>
      </c>
      <c r="M107" s="1" t="s">
        <v>511</v>
      </c>
    </row>
    <row r="108" customFormat="false" ht="15" hidden="false" customHeight="false" outlineLevel="0" collapsed="false">
      <c r="A108" s="1" t="n">
        <v>3935</v>
      </c>
      <c r="B108" s="1" t="n">
        <v>2075</v>
      </c>
      <c r="C10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UN55NU7100-UN55RU7100/2B EDGE</v>
      </c>
      <c r="D108" s="75" t="n">
        <v>46031</v>
      </c>
      <c r="E10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10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100</v>
      </c>
      <c r="G108" s="1" t="n">
        <v>1</v>
      </c>
      <c r="I108" s="1" t="n">
        <f aca="false">(salidas26[[#This Row],[CANT JUEGOS ]]*salidas26[[#This Row],[PRECIO JUEGO]])</f>
        <v>200</v>
      </c>
      <c r="J108" s="1" t="n">
        <f aca="false">(salidas26[[#This Row],[CANT BARRAS]]*salidas26[[#This Row],[PRECIO BARRA]])</f>
        <v>0</v>
      </c>
      <c r="K108" s="1" t="n">
        <v>200</v>
      </c>
      <c r="L108" s="1" t="s">
        <v>502</v>
      </c>
      <c r="M108" s="1" t="s">
        <v>503</v>
      </c>
    </row>
    <row r="109" customFormat="false" ht="15" hidden="false" customHeight="false" outlineLevel="0" collapsed="false">
      <c r="A109" s="1" t="n">
        <v>3936</v>
      </c>
      <c r="B109" s="1" t="n">
        <v>1033</v>
      </c>
      <c r="C10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D109" s="75" t="n">
        <v>46031</v>
      </c>
      <c r="E10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0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109" s="1" t="n">
        <v>1</v>
      </c>
      <c r="I109" s="1" t="n">
        <f aca="false">(salidas26[[#This Row],[CANT JUEGOS ]]*salidas26[[#This Row],[PRECIO JUEGO]])</f>
        <v>180</v>
      </c>
      <c r="J109" s="1" t="n">
        <f aca="false">(salidas26[[#This Row],[CANT BARRAS]]*salidas26[[#This Row],[PRECIO BARRA]])</f>
        <v>0</v>
      </c>
      <c r="K109" s="1" t="n">
        <v>200</v>
      </c>
      <c r="L109" s="1" t="s">
        <v>502</v>
      </c>
      <c r="M109" s="1" t="s">
        <v>503</v>
      </c>
    </row>
    <row r="110" customFormat="false" ht="15" hidden="false" customHeight="false" outlineLevel="0" collapsed="false">
      <c r="A110" s="1" t="n">
        <v>3937</v>
      </c>
      <c r="B110" s="1" t="n">
        <v>3033</v>
      </c>
      <c r="C11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55B8000 14B/2B DE 8L Y 12B DE 7L</v>
      </c>
      <c r="D110" s="75" t="n">
        <v>46031</v>
      </c>
      <c r="E11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320</v>
      </c>
      <c r="F11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22.8571428571429</v>
      </c>
      <c r="G110" s="1" t="n">
        <v>1</v>
      </c>
      <c r="I110" s="1" t="n">
        <f aca="false">(salidas26[[#This Row],[CANT JUEGOS ]]*salidas26[[#This Row],[PRECIO JUEGO]])</f>
        <v>320</v>
      </c>
      <c r="J110" s="1" t="n">
        <f aca="false">(salidas26[[#This Row],[CANT BARRAS]]*salidas26[[#This Row],[PRECIO BARRA]])</f>
        <v>0</v>
      </c>
      <c r="K110" s="1" t="n">
        <v>380</v>
      </c>
      <c r="L110" s="1" t="s">
        <v>502</v>
      </c>
      <c r="M110" s="1" t="s">
        <v>552</v>
      </c>
    </row>
    <row r="111" customFormat="false" ht="15" hidden="false" customHeight="false" outlineLevel="0" collapsed="false">
      <c r="A111" s="1" t="n">
        <v>3938</v>
      </c>
      <c r="B111" s="1" t="n">
        <v>8067</v>
      </c>
      <c r="C11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6V/10L/4B EN PARALELO</v>
      </c>
      <c r="D111" s="75" t="n">
        <v>46031</v>
      </c>
      <c r="E11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11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111" s="1" t="n">
        <v>1</v>
      </c>
      <c r="I111" s="1" t="n">
        <f aca="false">(salidas26[[#This Row],[CANT JUEGOS ]]*salidas26[[#This Row],[PRECIO JUEGO]])</f>
        <v>220</v>
      </c>
      <c r="J111" s="1" t="n">
        <f aca="false">(salidas26[[#This Row],[CANT BARRAS]]*salidas26[[#This Row],[PRECIO BARRA]])</f>
        <v>0</v>
      </c>
      <c r="K111" s="1" t="n">
        <v>240</v>
      </c>
      <c r="L111" s="1" t="s">
        <v>533</v>
      </c>
      <c r="M111" s="1" t="s">
        <v>553</v>
      </c>
    </row>
    <row r="112" customFormat="false" ht="15" hidden="false" customHeight="false" outlineLevel="0" collapsed="false">
      <c r="A112" s="1" t="n">
        <v>3939</v>
      </c>
      <c r="B112" s="1" t="n">
        <v>8067</v>
      </c>
      <c r="C11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6V/10L/4B EN PARALELO</v>
      </c>
      <c r="D112" s="75" t="n">
        <v>46031</v>
      </c>
      <c r="E11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11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112" s="1" t="n">
        <v>1</v>
      </c>
      <c r="I112" s="1" t="n">
        <f aca="false">(salidas26[[#This Row],[CANT JUEGOS ]]*salidas26[[#This Row],[PRECIO JUEGO]])</f>
        <v>220</v>
      </c>
      <c r="J112" s="1" t="n">
        <f aca="false">(salidas26[[#This Row],[CANT BARRAS]]*salidas26[[#This Row],[PRECIO BARRA]])</f>
        <v>0</v>
      </c>
      <c r="K112" s="1" t="n">
        <v>220</v>
      </c>
      <c r="L112" s="1" t="s">
        <v>502</v>
      </c>
      <c r="M112" s="1" t="s">
        <v>514</v>
      </c>
    </row>
    <row r="113" customFormat="false" ht="15" hidden="false" customHeight="false" outlineLevel="0" collapsed="false">
      <c r="A113" s="1" t="n">
        <v>3940</v>
      </c>
      <c r="B113" s="1" t="n">
        <v>2097</v>
      </c>
      <c r="C11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UN65AU8000-65BU8000/2B</v>
      </c>
      <c r="D113" s="75" t="n">
        <v>46031</v>
      </c>
      <c r="E11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320</v>
      </c>
      <c r="F11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160</v>
      </c>
      <c r="G113" s="1" t="n">
        <v>1</v>
      </c>
      <c r="I113" s="1" t="n">
        <f aca="false">(salidas26[[#This Row],[CANT JUEGOS ]]*salidas26[[#This Row],[PRECIO JUEGO]])</f>
        <v>320</v>
      </c>
      <c r="J113" s="1" t="n">
        <f aca="false">(salidas26[[#This Row],[CANT BARRAS]]*salidas26[[#This Row],[PRECIO BARRA]])</f>
        <v>0</v>
      </c>
      <c r="K113" s="1" t="n">
        <v>310</v>
      </c>
      <c r="L113" s="1" t="s">
        <v>502</v>
      </c>
      <c r="M113" s="1" t="s">
        <v>554</v>
      </c>
    </row>
    <row r="114" customFormat="false" ht="15" hidden="false" customHeight="false" outlineLevel="0" collapsed="false">
      <c r="A114" s="1" t="n">
        <v>3941</v>
      </c>
      <c r="B114" s="1" t="n">
        <v>8123</v>
      </c>
      <c r="C11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3V/2W S/C  DIF. 180º</v>
      </c>
      <c r="D114" s="75" t="n">
        <v>46031</v>
      </c>
      <c r="E11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11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114" s="1" t="n">
        <v>50</v>
      </c>
      <c r="I114" s="1" t="n">
        <f aca="false">(salidas26[[#This Row],[CANT JUEGOS ]]*salidas26[[#This Row],[PRECIO JUEGO]])</f>
        <v>0</v>
      </c>
      <c r="J114" s="1" t="n">
        <f aca="false">(salidas26[[#This Row],[CANT BARRAS]]*salidas26[[#This Row],[PRECIO BARRA]])</f>
        <v>175</v>
      </c>
      <c r="K114" s="1" t="n">
        <v>175</v>
      </c>
      <c r="L114" s="1" t="s">
        <v>533</v>
      </c>
      <c r="M114" s="1" t="s">
        <v>503</v>
      </c>
    </row>
    <row r="115" customFormat="false" ht="15" hidden="false" customHeight="false" outlineLevel="0" collapsed="false">
      <c r="A115" s="1" t="n">
        <v>3942</v>
      </c>
      <c r="B115" s="1" t="n">
        <v>2024</v>
      </c>
      <c r="C11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UN43J5202/ 3 BARRAS/8L/3V</v>
      </c>
      <c r="D115" s="75" t="n">
        <v>46031</v>
      </c>
      <c r="E11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1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115" s="1" t="n">
        <v>1</v>
      </c>
      <c r="I115" s="1" t="n">
        <f aca="false">(salidas26[[#This Row],[CANT JUEGOS ]]*salidas26[[#This Row],[PRECIO JUEGO]])</f>
        <v>180</v>
      </c>
      <c r="J115" s="1" t="n">
        <f aca="false">(salidas26[[#This Row],[CANT BARRAS]]*salidas26[[#This Row],[PRECIO BARRA]])</f>
        <v>0</v>
      </c>
      <c r="K115" s="1" t="n">
        <v>170</v>
      </c>
      <c r="L115" s="1" t="s">
        <v>502</v>
      </c>
      <c r="M115" s="1" t="s">
        <v>518</v>
      </c>
    </row>
    <row r="116" customFormat="false" ht="15" hidden="false" customHeight="false" outlineLevel="0" collapsed="false">
      <c r="A116" s="1" t="n">
        <v>3943</v>
      </c>
      <c r="C116" s="1" t="s">
        <v>555</v>
      </c>
      <c r="D116" s="75" t="n">
        <v>46031</v>
      </c>
      <c r="E116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6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G116" s="1" t="n">
        <v>1</v>
      </c>
      <c r="I116" s="1" t="e">
        <f aca="false">(salidas26[[#This Row],[CANT JUEGOS ]]*salidas26[[#This Row],[PRECIO JUEGO]])</f>
        <v>#VALUE!</v>
      </c>
      <c r="J116" s="1" t="e">
        <f aca="false">(salidas26[[#This Row],[CANT BARRAS]]*salidas26[[#This Row],[PRECIO BARRA]])</f>
        <v>#VALUE!</v>
      </c>
      <c r="K116" s="1" t="n">
        <v>80</v>
      </c>
      <c r="L116" s="1" t="s">
        <v>533</v>
      </c>
      <c r="M116" s="1" t="s">
        <v>556</v>
      </c>
    </row>
    <row r="117" customFormat="false" ht="15" hidden="false" customHeight="false" outlineLevel="0" collapsed="false">
      <c r="A117" s="1" t="n">
        <v>3944</v>
      </c>
      <c r="B117" s="1" t="n">
        <v>8033</v>
      </c>
      <c r="C11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117" s="75" t="n">
        <v>46032</v>
      </c>
      <c r="E11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11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117" s="1" t="n">
        <v>1</v>
      </c>
      <c r="I117" s="1" t="n">
        <f aca="false">(salidas26[[#This Row],[CANT JUEGOS ]]*salidas26[[#This Row],[PRECIO JUEGO]])</f>
        <v>150</v>
      </c>
      <c r="J117" s="1" t="n">
        <f aca="false">(salidas26[[#This Row],[CANT BARRAS]]*salidas26[[#This Row],[PRECIO BARRA]])</f>
        <v>0</v>
      </c>
      <c r="K117" s="1" t="n">
        <v>150</v>
      </c>
      <c r="L117" s="1" t="s">
        <v>502</v>
      </c>
      <c r="M117" s="1" t="s">
        <v>557</v>
      </c>
    </row>
    <row r="118" customFormat="false" ht="15" hidden="false" customHeight="false" outlineLevel="0" collapsed="false">
      <c r="A118" s="1" t="n">
        <v>3945</v>
      </c>
      <c r="B118" s="1" t="n">
        <v>8130</v>
      </c>
      <c r="C11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LUPA NORMAL 6V/2W S/C</v>
      </c>
      <c r="D118" s="75" t="n">
        <v>46032</v>
      </c>
      <c r="E11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11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118" s="1" t="n">
        <v>30</v>
      </c>
      <c r="I118" s="1" t="n">
        <f aca="false">(salidas26[[#This Row],[CANT JUEGOS ]]*salidas26[[#This Row],[PRECIO JUEGO]])</f>
        <v>0</v>
      </c>
      <c r="J118" s="1" t="n">
        <f aca="false">(salidas26[[#This Row],[CANT BARRAS]]*salidas26[[#This Row],[PRECIO BARRA]])</f>
        <v>105</v>
      </c>
      <c r="K118" s="1" t="n">
        <v>100</v>
      </c>
      <c r="L118" s="1" t="s">
        <v>502</v>
      </c>
      <c r="M118" s="1" t="s">
        <v>503</v>
      </c>
    </row>
    <row r="119" s="1" customFormat="true" ht="15" hidden="false" customHeight="false" outlineLevel="0" collapsed="false">
      <c r="A119" s="1" t="n">
        <v>3946</v>
      </c>
      <c r="B119" s="1" t="n">
        <v>6016</v>
      </c>
      <c r="C11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TOSHIBA C350KB /8B</v>
      </c>
      <c r="D119" s="75" t="n">
        <v>46032</v>
      </c>
      <c r="E11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11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19" s="1" t="n">
        <v>1</v>
      </c>
      <c r="I119" s="1" t="n">
        <f aca="false">(salidas26[[#This Row],[CANT JUEGOS ]]*salidas26[[#This Row],[PRECIO JUEGO]])</f>
        <v>240</v>
      </c>
      <c r="J119" s="1" t="n">
        <f aca="false">(salidas26[[#This Row],[CANT BARRAS]]*salidas26[[#This Row],[PRECIO BARRA]])</f>
        <v>0</v>
      </c>
      <c r="K119" s="1" t="n">
        <v>192</v>
      </c>
      <c r="L119" s="1" t="s">
        <v>533</v>
      </c>
      <c r="M119" s="1" t="s">
        <v>527</v>
      </c>
    </row>
    <row r="120" customFormat="false" ht="15" hidden="false" customHeight="false" outlineLevel="0" collapsed="false">
      <c r="A120" s="1" t="n">
        <v>3947</v>
      </c>
      <c r="B120" s="1" t="n">
        <v>2097</v>
      </c>
      <c r="C12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UN65AU8000-65BU8000/2B</v>
      </c>
      <c r="D120" s="75" t="n">
        <v>46032</v>
      </c>
      <c r="E12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320</v>
      </c>
      <c r="F12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160</v>
      </c>
      <c r="G120" s="1" t="n">
        <v>1</v>
      </c>
      <c r="I120" s="1" t="n">
        <f aca="false">(salidas26[[#This Row],[CANT JUEGOS ]]*salidas26[[#This Row],[PRECIO JUEGO]])</f>
        <v>320</v>
      </c>
      <c r="J120" s="1" t="n">
        <f aca="false">(salidas26[[#This Row],[CANT BARRAS]]*salidas26[[#This Row],[PRECIO BARRA]])</f>
        <v>0</v>
      </c>
      <c r="K120" s="1" t="n">
        <v>340</v>
      </c>
      <c r="L120" s="1" t="s">
        <v>533</v>
      </c>
      <c r="M120" s="1" t="s">
        <v>558</v>
      </c>
    </row>
    <row r="121" customFormat="false" ht="15" hidden="false" customHeight="false" outlineLevel="0" collapsed="false">
      <c r="A121" s="1" t="n">
        <v>3948</v>
      </c>
      <c r="B121" s="1" t="n">
        <v>8030</v>
      </c>
      <c r="C12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CHINO TCL 10L/6V/2B DIF 180º</v>
      </c>
      <c r="D121" s="75" t="n">
        <v>46032</v>
      </c>
      <c r="E12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12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121" s="1" t="n">
        <v>1</v>
      </c>
      <c r="I121" s="1" t="n">
        <f aca="false">(salidas26[[#This Row],[CANT JUEGOS ]]*salidas26[[#This Row],[PRECIO JUEGO]])</f>
        <v>150</v>
      </c>
      <c r="J121" s="1" t="n">
        <f aca="false">(salidas26[[#This Row],[CANT BARRAS]]*salidas26[[#This Row],[PRECIO BARRA]])</f>
        <v>0</v>
      </c>
      <c r="K121" s="1" t="n">
        <v>120</v>
      </c>
      <c r="L121" s="1" t="s">
        <v>502</v>
      </c>
      <c r="M121" s="1" t="s">
        <v>559</v>
      </c>
    </row>
    <row r="122" customFormat="false" ht="15" hidden="false" customHeight="false" outlineLevel="0" collapsed="false">
      <c r="A122" s="1" t="n">
        <v>3949</v>
      </c>
      <c r="B122" s="1" t="n">
        <v>4010</v>
      </c>
      <c r="C12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DAEWO S780 3B/8LED/3V</v>
      </c>
      <c r="D122" s="75" t="n">
        <v>46032</v>
      </c>
      <c r="E12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12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122" s="1" t="n">
        <v>1</v>
      </c>
      <c r="I122" s="1" t="n">
        <f aca="false">(salidas26[[#This Row],[CANT JUEGOS ]]*salidas26[[#This Row],[PRECIO JUEGO]])</f>
        <v>160</v>
      </c>
      <c r="J122" s="1" t="n">
        <f aca="false">(salidas26[[#This Row],[CANT BARRAS]]*salidas26[[#This Row],[PRECIO BARRA]])</f>
        <v>0</v>
      </c>
      <c r="K122" s="1" t="n">
        <v>170</v>
      </c>
      <c r="L122" s="1" t="s">
        <v>502</v>
      </c>
      <c r="M122" s="1" t="s">
        <v>560</v>
      </c>
    </row>
    <row r="123" customFormat="false" ht="15" hidden="false" customHeight="false" outlineLevel="0" collapsed="false">
      <c r="A123" s="1" t="n">
        <v>3950</v>
      </c>
      <c r="B123" s="1" t="n">
        <v>1096</v>
      </c>
      <c r="C12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49LH6000 /8B</v>
      </c>
      <c r="D123" s="75" t="n">
        <v>46032</v>
      </c>
      <c r="E12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12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32.5</v>
      </c>
      <c r="G123" s="1" t="n">
        <v>1</v>
      </c>
      <c r="I123" s="1" t="n">
        <f aca="false">(salidas26[[#This Row],[CANT JUEGOS ]]*salidas26[[#This Row],[PRECIO JUEGO]])</f>
        <v>260</v>
      </c>
      <c r="J123" s="1" t="n">
        <f aca="false">(salidas26[[#This Row],[CANT BARRAS]]*salidas26[[#This Row],[PRECIO BARRA]])</f>
        <v>0</v>
      </c>
      <c r="K123" s="1" t="n">
        <v>224</v>
      </c>
      <c r="L123" s="1" t="s">
        <v>502</v>
      </c>
      <c r="M123" s="1" t="s">
        <v>534</v>
      </c>
    </row>
    <row r="124" customFormat="false" ht="15" hidden="false" customHeight="false" outlineLevel="0" collapsed="false">
      <c r="A124" s="1" t="n">
        <v>3951</v>
      </c>
      <c r="B124" s="1" t="n">
        <v>8056</v>
      </c>
      <c r="C12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PREMIER 8L/6V/3B</v>
      </c>
      <c r="D124" s="75" t="n">
        <v>46032</v>
      </c>
      <c r="E12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2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124" s="1" t="n">
        <v>1</v>
      </c>
      <c r="I124" s="1" t="n">
        <f aca="false">(salidas26[[#This Row],[CANT JUEGOS ]]*salidas26[[#This Row],[PRECIO JUEGO]])</f>
        <v>180</v>
      </c>
      <c r="J124" s="1" t="n">
        <f aca="false">(salidas26[[#This Row],[CANT BARRAS]]*salidas26[[#This Row],[PRECIO BARRA]])</f>
        <v>0</v>
      </c>
      <c r="K124" s="1" t="n">
        <v>160</v>
      </c>
      <c r="L124" s="1" t="s">
        <v>502</v>
      </c>
      <c r="M124" s="1" t="s">
        <v>534</v>
      </c>
    </row>
    <row r="125" customFormat="false" ht="15" hidden="false" customHeight="false" outlineLevel="0" collapsed="false">
      <c r="A125" s="1" t="n">
        <v>3952</v>
      </c>
      <c r="B125" s="1" t="n">
        <v>8055</v>
      </c>
      <c r="C12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PREMIER 8L/3V/3B 8047SF43SF</v>
      </c>
      <c r="D125" s="75" t="n">
        <v>46032</v>
      </c>
      <c r="E12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2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125" s="1" t="n">
        <v>1</v>
      </c>
      <c r="I125" s="1" t="n">
        <f aca="false">(salidas26[[#This Row],[CANT JUEGOS ]]*salidas26[[#This Row],[PRECIO JUEGO]])</f>
        <v>180</v>
      </c>
      <c r="J125" s="1" t="n">
        <f aca="false">(salidas26[[#This Row],[CANT BARRAS]]*salidas26[[#This Row],[PRECIO BARRA]])</f>
        <v>0</v>
      </c>
      <c r="K125" s="1" t="n">
        <v>160</v>
      </c>
      <c r="L125" s="1" t="s">
        <v>502</v>
      </c>
      <c r="M125" s="1" t="s">
        <v>534</v>
      </c>
    </row>
    <row r="126" customFormat="false" ht="15" hidden="false" customHeight="false" outlineLevel="0" collapsed="false">
      <c r="A126" s="1" t="n">
        <v>3953</v>
      </c>
      <c r="B126" s="1" t="n">
        <v>8069</v>
      </c>
      <c r="C12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10L/6V/4B -50 WESTPOINT TEJ -EN SERIE</v>
      </c>
      <c r="D126" s="75" t="n">
        <v>46032</v>
      </c>
      <c r="E12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12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126" s="1" t="n">
        <v>1</v>
      </c>
      <c r="I126" s="1" t="n">
        <f aca="false">(salidas26[[#This Row],[CANT JUEGOS ]]*salidas26[[#This Row],[PRECIO JUEGO]])</f>
        <v>220</v>
      </c>
      <c r="J126" s="1" t="n">
        <f aca="false">(salidas26[[#This Row],[CANT BARRAS]]*salidas26[[#This Row],[PRECIO BARRA]])</f>
        <v>0</v>
      </c>
      <c r="K126" s="1" t="n">
        <v>192</v>
      </c>
      <c r="L126" s="1" t="s">
        <v>502</v>
      </c>
      <c r="M126" s="1" t="s">
        <v>534</v>
      </c>
    </row>
    <row r="127" customFormat="false" ht="15" hidden="false" customHeight="false" outlineLevel="0" collapsed="false">
      <c r="A127" s="1" t="n">
        <v>3954</v>
      </c>
      <c r="B127" s="1" t="n">
        <v>2095</v>
      </c>
      <c r="C12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UN60AU8000G-60BU8000/2B</v>
      </c>
      <c r="D127" s="75" t="n">
        <v>46032</v>
      </c>
      <c r="E12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12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125</v>
      </c>
      <c r="G127" s="1" t="n">
        <v>1</v>
      </c>
      <c r="I127" s="1" t="n">
        <f aca="false">(salidas26[[#This Row],[CANT JUEGOS ]]*salidas26[[#This Row],[PRECIO JUEGO]])</f>
        <v>250</v>
      </c>
      <c r="J127" s="1" t="n">
        <f aca="false">(salidas26[[#This Row],[CANT BARRAS]]*salidas26[[#This Row],[PRECIO BARRA]])</f>
        <v>0</v>
      </c>
      <c r="K127" s="1" t="n">
        <v>240</v>
      </c>
      <c r="L127" s="1" t="s">
        <v>502</v>
      </c>
      <c r="M127" s="1" t="s">
        <v>534</v>
      </c>
    </row>
    <row r="128" customFormat="false" ht="15" hidden="false" customHeight="false" outlineLevel="0" collapsed="false">
      <c r="A128" s="1" t="n">
        <v>3955</v>
      </c>
      <c r="B128" s="1" t="n">
        <v>1060</v>
      </c>
      <c r="C12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43LH-LF 5100/6B</v>
      </c>
      <c r="D128" s="75" t="n">
        <v>46032</v>
      </c>
      <c r="E12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2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28" s="1" t="n">
        <v>1</v>
      </c>
      <c r="I128" s="1" t="n">
        <f aca="false">(salidas26[[#This Row],[CANT JUEGOS ]]*salidas26[[#This Row],[PRECIO JUEGO]])</f>
        <v>180</v>
      </c>
      <c r="J128" s="1" t="n">
        <f aca="false">(salidas26[[#This Row],[CANT BARRAS]]*salidas26[[#This Row],[PRECIO BARRA]])</f>
        <v>0</v>
      </c>
      <c r="K128" s="1" t="n">
        <v>180</v>
      </c>
      <c r="L128" s="1" t="s">
        <v>533</v>
      </c>
      <c r="M128" s="1" t="s">
        <v>561</v>
      </c>
    </row>
    <row r="129" customFormat="false" ht="15" hidden="false" customHeight="false" outlineLevel="0" collapsed="false">
      <c r="A129" s="1" t="n">
        <v>3957</v>
      </c>
      <c r="B129" s="1" t="n">
        <v>8015</v>
      </c>
      <c r="C12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129" s="75" t="n">
        <v>46032</v>
      </c>
      <c r="E12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12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29" s="1" t="n">
        <v>2</v>
      </c>
      <c r="I129" s="1" t="n">
        <f aca="false">(salidas26[[#This Row],[CANT JUEGOS ]]*salidas26[[#This Row],[PRECIO JUEGO]])</f>
        <v>120</v>
      </c>
      <c r="J129" s="1" t="n">
        <f aca="false">(salidas26[[#This Row],[CANT BARRAS]]*salidas26[[#This Row],[PRECIO BARRA]])</f>
        <v>0</v>
      </c>
      <c r="K129" s="1" t="n">
        <v>100</v>
      </c>
      <c r="L129" s="1" t="s">
        <v>533</v>
      </c>
      <c r="M129" s="1" t="s">
        <v>562</v>
      </c>
    </row>
    <row r="130" customFormat="false" ht="15" hidden="false" customHeight="false" outlineLevel="0" collapsed="false">
      <c r="A130" s="1" t="n">
        <v>3958</v>
      </c>
      <c r="B130" s="1" t="n">
        <v>6000</v>
      </c>
      <c r="C13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SKYWORTH 2B/6LED/3V </v>
      </c>
      <c r="D130" s="75" t="n">
        <v>46032</v>
      </c>
      <c r="E13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13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30" s="1" t="n">
        <v>2</v>
      </c>
      <c r="I130" s="1" t="n">
        <f aca="false">(salidas26[[#This Row],[CANT JUEGOS ]]*salidas26[[#This Row],[PRECIO JUEGO]])</f>
        <v>120</v>
      </c>
      <c r="J130" s="1" t="n">
        <f aca="false">(salidas26[[#This Row],[CANT BARRAS]]*salidas26[[#This Row],[PRECIO BARRA]])</f>
        <v>0</v>
      </c>
      <c r="K130" s="1" t="n">
        <v>120</v>
      </c>
      <c r="L130" s="1" t="s">
        <v>533</v>
      </c>
      <c r="M130" s="1" t="s">
        <v>562</v>
      </c>
    </row>
    <row r="131" customFormat="false" ht="15" hidden="false" customHeight="false" outlineLevel="0" collapsed="false">
      <c r="A131" s="1" t="n">
        <v>3959</v>
      </c>
      <c r="B131" s="1" t="n">
        <v>8033</v>
      </c>
      <c r="C13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131" s="75" t="n">
        <v>46032</v>
      </c>
      <c r="E13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13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131" s="1" t="n">
        <v>1</v>
      </c>
      <c r="I131" s="1" t="n">
        <f aca="false">(salidas26[[#This Row],[CANT JUEGOS ]]*salidas26[[#This Row],[PRECIO JUEGO]])</f>
        <v>150</v>
      </c>
      <c r="J131" s="1" t="n">
        <f aca="false">(salidas26[[#This Row],[CANT BARRAS]]*salidas26[[#This Row],[PRECIO BARRA]])</f>
        <v>0</v>
      </c>
      <c r="K131" s="1" t="n">
        <v>150</v>
      </c>
      <c r="L131" s="1" t="s">
        <v>502</v>
      </c>
      <c r="M131" s="1" t="s">
        <v>518</v>
      </c>
    </row>
    <row r="132" customFormat="false" ht="15" hidden="false" customHeight="false" outlineLevel="0" collapsed="false">
      <c r="A132" s="1" t="n">
        <v>3960</v>
      </c>
      <c r="B132" s="1" t="n">
        <v>6022</v>
      </c>
      <c r="C13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SKYWORTH SUC9350Pro /10L</v>
      </c>
      <c r="D132" s="75" t="n">
        <v>46032</v>
      </c>
      <c r="E13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13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70</v>
      </c>
      <c r="G132" s="1" t="n">
        <v>1</v>
      </c>
      <c r="I132" s="1" t="n">
        <f aca="false">(salidas26[[#This Row],[CANT JUEGOS ]]*salidas26[[#This Row],[PRECIO JUEGO]])</f>
        <v>350</v>
      </c>
      <c r="J132" s="1" t="n">
        <f aca="false">(salidas26[[#This Row],[CANT BARRAS]]*salidas26[[#This Row],[PRECIO BARRA]])</f>
        <v>0</v>
      </c>
      <c r="K132" s="1" t="n">
        <v>350</v>
      </c>
      <c r="L132" s="1" t="s">
        <v>502</v>
      </c>
      <c r="M132" s="1" t="s">
        <v>563</v>
      </c>
    </row>
    <row r="133" customFormat="false" ht="15" hidden="false" customHeight="false" outlineLevel="0" collapsed="false">
      <c r="A133" s="1" t="n">
        <v>3961</v>
      </c>
      <c r="B133" s="1" t="n">
        <v>2027</v>
      </c>
      <c r="C13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UN43J5290/8B</v>
      </c>
      <c r="D133" s="75" t="n">
        <v>46032</v>
      </c>
      <c r="E13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3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133" s="1" t="n">
        <v>1</v>
      </c>
      <c r="I133" s="1" t="n">
        <f aca="false">(salidas26[[#This Row],[CANT JUEGOS ]]*salidas26[[#This Row],[PRECIO JUEGO]])</f>
        <v>180</v>
      </c>
      <c r="J133" s="1" t="n">
        <f aca="false">(salidas26[[#This Row],[CANT BARRAS]]*salidas26[[#This Row],[PRECIO BARRA]])</f>
        <v>0</v>
      </c>
      <c r="K133" s="1" t="n">
        <v>180</v>
      </c>
      <c r="L133" s="1" t="s">
        <v>533</v>
      </c>
      <c r="M133" s="1" t="s">
        <v>511</v>
      </c>
    </row>
    <row r="134" customFormat="false" ht="15" hidden="false" customHeight="false" outlineLevel="0" collapsed="false">
      <c r="A134" s="1" t="n">
        <v>3962</v>
      </c>
      <c r="B134" s="1" t="n">
        <v>1033</v>
      </c>
      <c r="C13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D134" s="75" t="n">
        <v>46034</v>
      </c>
      <c r="E13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3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134" s="1" t="n">
        <v>1</v>
      </c>
      <c r="I134" s="1" t="n">
        <f aca="false">(salidas26[[#This Row],[CANT JUEGOS ]]*salidas26[[#This Row],[PRECIO JUEGO]])</f>
        <v>180</v>
      </c>
      <c r="J134" s="1" t="n">
        <f aca="false">(salidas26[[#This Row],[CANT BARRAS]]*salidas26[[#This Row],[PRECIO BARRA]])</f>
        <v>0</v>
      </c>
      <c r="K134" s="1" t="n">
        <v>200</v>
      </c>
      <c r="L134" s="1" t="s">
        <v>502</v>
      </c>
      <c r="M134" s="1" t="s">
        <v>503</v>
      </c>
    </row>
    <row r="135" customFormat="false" ht="15" hidden="false" customHeight="false" outlineLevel="0" collapsed="false">
      <c r="A135" s="1" t="n">
        <v>3963</v>
      </c>
      <c r="B135" s="1" t="n">
        <v>2090</v>
      </c>
      <c r="C13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UN58FH/12B</v>
      </c>
      <c r="D135" s="75" t="n">
        <v>46034</v>
      </c>
      <c r="E13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13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29.1666666666667</v>
      </c>
      <c r="G135" s="1" t="n">
        <v>1</v>
      </c>
      <c r="I135" s="1" t="n">
        <f aca="false">(salidas26[[#This Row],[CANT JUEGOS ]]*salidas26[[#This Row],[PRECIO JUEGO]])</f>
        <v>350</v>
      </c>
      <c r="J135" s="1" t="n">
        <f aca="false">(salidas26[[#This Row],[CANT BARRAS]]*salidas26[[#This Row],[PRECIO BARRA]])</f>
        <v>0</v>
      </c>
      <c r="K135" s="1" t="n">
        <v>350</v>
      </c>
      <c r="L135" s="1" t="s">
        <v>502</v>
      </c>
      <c r="M135" s="1" t="s">
        <v>564</v>
      </c>
    </row>
    <row r="136" customFormat="false" ht="15" hidden="false" customHeight="false" outlineLevel="0" collapsed="false">
      <c r="A136" s="1" t="n">
        <v>3965</v>
      </c>
      <c r="B136" s="1" t="n">
        <v>1049</v>
      </c>
      <c r="C13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43LJ5500 3B/7L</v>
      </c>
      <c r="D136" s="75" t="n">
        <v>46034</v>
      </c>
      <c r="E13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3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136" s="1" t="n">
        <v>2</v>
      </c>
      <c r="I136" s="1" t="n">
        <f aca="false">(salidas26[[#This Row],[CANT JUEGOS ]]*salidas26[[#This Row],[PRECIO JUEGO]])</f>
        <v>360</v>
      </c>
      <c r="J136" s="1" t="n">
        <f aca="false">(salidas26[[#This Row],[CANT BARRAS]]*salidas26[[#This Row],[PRECIO BARRA]])</f>
        <v>0</v>
      </c>
      <c r="K136" s="1" t="n">
        <v>320</v>
      </c>
      <c r="L136" s="1" t="s">
        <v>502</v>
      </c>
      <c r="M136" s="1" t="s">
        <v>534</v>
      </c>
    </row>
    <row r="137" customFormat="false" ht="15" hidden="false" customHeight="false" outlineLevel="0" collapsed="false">
      <c r="A137" s="1" t="n">
        <v>3966</v>
      </c>
      <c r="B137" s="1" t="n">
        <v>8021</v>
      </c>
      <c r="C13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JVC RECTO /2B</v>
      </c>
      <c r="D137" s="75" t="n">
        <v>46034</v>
      </c>
      <c r="E13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13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37" s="1" t="n">
        <v>2</v>
      </c>
      <c r="I137" s="1" t="n">
        <f aca="false">(salidas26[[#This Row],[CANT JUEGOS ]]*salidas26[[#This Row],[PRECIO JUEGO]])</f>
        <v>120</v>
      </c>
      <c r="J137" s="1" t="n">
        <f aca="false">(salidas26[[#This Row],[CANT BARRAS]]*salidas26[[#This Row],[PRECIO BARRA]])</f>
        <v>0</v>
      </c>
      <c r="K137" s="1" t="n">
        <v>112</v>
      </c>
      <c r="L137" s="1" t="s">
        <v>502</v>
      </c>
      <c r="M137" s="1" t="s">
        <v>534</v>
      </c>
    </row>
    <row r="138" customFormat="false" ht="15" hidden="false" customHeight="false" outlineLevel="0" collapsed="false">
      <c r="A138" s="1" t="n">
        <v>3967</v>
      </c>
      <c r="B138" s="1" t="n">
        <v>5030</v>
      </c>
      <c r="C13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KDL-49X705/8B</v>
      </c>
      <c r="D138" s="75" t="n">
        <v>46034</v>
      </c>
      <c r="E13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13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38" s="1" t="n">
        <v>1</v>
      </c>
      <c r="I138" s="1" t="n">
        <f aca="false">(salidas26[[#This Row],[CANT JUEGOS ]]*salidas26[[#This Row],[PRECIO JUEGO]])</f>
        <v>240</v>
      </c>
      <c r="J138" s="1" t="n">
        <f aca="false">(salidas26[[#This Row],[CANT BARRAS]]*salidas26[[#This Row],[PRECIO BARRA]])</f>
        <v>0</v>
      </c>
      <c r="K138" s="1" t="n">
        <v>250</v>
      </c>
      <c r="L138" s="1" t="s">
        <v>533</v>
      </c>
      <c r="M138" s="1" t="s">
        <v>565</v>
      </c>
    </row>
    <row r="139" s="1" customFormat="true" ht="15" hidden="false" customHeight="false" outlineLevel="0" collapsed="false">
      <c r="A139" s="1" t="n">
        <v>3968</v>
      </c>
      <c r="B139" s="1" t="n">
        <v>8033</v>
      </c>
      <c r="C13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139" s="75" t="n">
        <v>46034</v>
      </c>
      <c r="E13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13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139" s="1" t="n">
        <v>1</v>
      </c>
      <c r="I139" s="1" t="n">
        <f aca="false">(salidas26[[#This Row],[CANT JUEGOS ]]*salidas26[[#This Row],[PRECIO JUEGO]])</f>
        <v>150</v>
      </c>
      <c r="J139" s="1" t="n">
        <f aca="false">(salidas26[[#This Row],[CANT BARRAS]]*salidas26[[#This Row],[PRECIO BARRA]])</f>
        <v>0</v>
      </c>
      <c r="K139" s="1" t="n">
        <v>144</v>
      </c>
      <c r="L139" s="1" t="s">
        <v>533</v>
      </c>
      <c r="M139" s="1" t="s">
        <v>546</v>
      </c>
    </row>
    <row r="140" customFormat="false" ht="15" hidden="false" customHeight="false" outlineLevel="0" collapsed="false">
      <c r="A140" s="1" t="n">
        <v>3969</v>
      </c>
      <c r="B140" s="1" t="n">
        <v>6009</v>
      </c>
      <c r="C14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L4700 TOSHIBA/6B (180 Bs) -43UJ-6200/LG/8B (200 BS)</v>
      </c>
      <c r="D140" s="75" t="n">
        <v>46034</v>
      </c>
      <c r="E14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4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I140" s="1" t="n">
        <f aca="false">(salidas26[[#This Row],[CANT JUEGOS ]]*salidas26[[#This Row],[PRECIO JUEGO]])</f>
        <v>0</v>
      </c>
      <c r="J140" s="1" t="n">
        <f aca="false">(salidas26[[#This Row],[CANT BARRAS]]*salidas26[[#This Row],[PRECIO BARRA]])</f>
        <v>0</v>
      </c>
      <c r="K140" s="1" t="n">
        <v>160</v>
      </c>
      <c r="L140" s="1" t="s">
        <v>502</v>
      </c>
      <c r="M140" s="1" t="s">
        <v>566</v>
      </c>
    </row>
    <row r="141" s="77" customFormat="true" ht="15" hidden="false" customHeight="false" outlineLevel="0" collapsed="false">
      <c r="A141" s="77" t="n">
        <v>3970</v>
      </c>
      <c r="B141" s="77" t="n">
        <v>2089</v>
      </c>
      <c r="C141" s="77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UN58TU7100 8B/6L 3V-58TU7000</v>
      </c>
      <c r="D141" s="78" t="n">
        <v>46034</v>
      </c>
      <c r="E141" s="77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320</v>
      </c>
      <c r="F141" s="77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141" s="77" t="n">
        <v>1</v>
      </c>
      <c r="I141" s="77" t="n">
        <f aca="false">(salidas26[[#This Row],[CANT JUEGOS ]]*salidas26[[#This Row],[PRECIO JUEGO]])</f>
        <v>320</v>
      </c>
      <c r="J141" s="77" t="n">
        <f aca="false">(salidas26[[#This Row],[CANT BARRAS]]*salidas26[[#This Row],[PRECIO BARRA]])</f>
        <v>0</v>
      </c>
      <c r="K141" s="77" t="n">
        <v>320</v>
      </c>
      <c r="L141" s="77" t="s">
        <v>502</v>
      </c>
      <c r="M141" s="77" t="s">
        <v>532</v>
      </c>
    </row>
    <row r="142" customFormat="false" ht="15" hidden="false" customHeight="false" outlineLevel="0" collapsed="false">
      <c r="A142" s="1" t="n">
        <v>3971</v>
      </c>
      <c r="B142" s="1" t="n">
        <v>7000</v>
      </c>
      <c r="C14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IRT/6L/2B/6V</v>
      </c>
      <c r="D142" s="75" t="n">
        <v>46034</v>
      </c>
      <c r="E14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14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42" s="1" t="n">
        <v>1</v>
      </c>
      <c r="I142" s="1" t="n">
        <f aca="false">(salidas26[[#This Row],[CANT JUEGOS ]]*salidas26[[#This Row],[PRECIO JUEGO]])</f>
        <v>60</v>
      </c>
      <c r="J142" s="1" t="n">
        <f aca="false">(salidas26[[#This Row],[CANT BARRAS]]*salidas26[[#This Row],[PRECIO BARRA]])</f>
        <v>0</v>
      </c>
      <c r="K142" s="1" t="n">
        <v>50</v>
      </c>
      <c r="L142" s="1" t="s">
        <v>533</v>
      </c>
      <c r="M142" s="1" t="s">
        <v>567</v>
      </c>
    </row>
    <row r="143" customFormat="false" ht="15" hidden="false" customHeight="false" outlineLevel="0" collapsed="false">
      <c r="A143" s="1" t="n">
        <v>3972</v>
      </c>
      <c r="B143" s="1" t="n">
        <v>3018</v>
      </c>
      <c r="C14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 HAIER 9B/5L</v>
      </c>
      <c r="D143" s="75" t="n">
        <v>46034</v>
      </c>
      <c r="E14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14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27.7777777777778</v>
      </c>
      <c r="G143" s="1" t="n">
        <v>1</v>
      </c>
      <c r="I143" s="1" t="n">
        <f aca="false">(salidas26[[#This Row],[CANT JUEGOS ]]*salidas26[[#This Row],[PRECIO JUEGO]])</f>
        <v>250</v>
      </c>
      <c r="J143" s="1" t="n">
        <f aca="false">(salidas26[[#This Row],[CANT BARRAS]]*salidas26[[#This Row],[PRECIO BARRA]])</f>
        <v>0</v>
      </c>
      <c r="K143" s="1" t="n">
        <v>240</v>
      </c>
      <c r="L143" s="1" t="s">
        <v>533</v>
      </c>
      <c r="M143" s="1" t="s">
        <v>567</v>
      </c>
    </row>
    <row r="144" customFormat="false" ht="15" hidden="false" customHeight="false" outlineLevel="0" collapsed="false">
      <c r="A144" s="1" t="n">
        <v>3973</v>
      </c>
      <c r="B144" s="1" t="n">
        <v>2036</v>
      </c>
      <c r="C14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UN46FH6203-46FH5005/8B</v>
      </c>
      <c r="D144" s="75" t="n">
        <v>46034</v>
      </c>
      <c r="E14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14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27.5</v>
      </c>
      <c r="G144" s="1" t="n">
        <v>1</v>
      </c>
      <c r="I144" s="1" t="n">
        <f aca="false">(salidas26[[#This Row],[CANT JUEGOS ]]*salidas26[[#This Row],[PRECIO JUEGO]])</f>
        <v>220</v>
      </c>
      <c r="J144" s="1" t="n">
        <f aca="false">(salidas26[[#This Row],[CANT BARRAS]]*salidas26[[#This Row],[PRECIO BARRA]])</f>
        <v>0</v>
      </c>
      <c r="K144" s="1" t="n">
        <v>210</v>
      </c>
      <c r="L144" s="1" t="s">
        <v>533</v>
      </c>
      <c r="M144" s="1" t="s">
        <v>567</v>
      </c>
    </row>
    <row r="145" customFormat="false" ht="15" hidden="false" customHeight="false" outlineLevel="0" collapsed="false">
      <c r="A145" s="1" t="n">
        <v>3974</v>
      </c>
      <c r="B145" s="1" t="n">
        <v>8057</v>
      </c>
      <c r="C14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45 PREMIER 7L/4B</v>
      </c>
      <c r="D145" s="75" t="n">
        <v>46034</v>
      </c>
      <c r="E14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14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145" s="1" t="n">
        <v>1</v>
      </c>
      <c r="I145" s="1" t="n">
        <f aca="false">(salidas26[[#This Row],[CANT JUEGOS ]]*salidas26[[#This Row],[PRECIO JUEGO]])</f>
        <v>200</v>
      </c>
      <c r="J145" s="1" t="n">
        <f aca="false">(salidas26[[#This Row],[CANT BARRAS]]*salidas26[[#This Row],[PRECIO BARRA]])</f>
        <v>0</v>
      </c>
      <c r="K145" s="1" t="n">
        <v>200</v>
      </c>
      <c r="L145" s="1" t="s">
        <v>533</v>
      </c>
      <c r="M145" s="1" t="s">
        <v>567</v>
      </c>
    </row>
    <row r="146" customFormat="false" ht="15" hidden="false" customHeight="false" outlineLevel="0" collapsed="false">
      <c r="A146" s="1" t="n">
        <v>3975</v>
      </c>
      <c r="B146" s="1" t="n">
        <v>1033</v>
      </c>
      <c r="C14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D146" s="75" t="n">
        <v>46034</v>
      </c>
      <c r="E14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4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146" s="1" t="n">
        <v>1</v>
      </c>
      <c r="I146" s="1" t="n">
        <f aca="false">(salidas26[[#This Row],[CANT JUEGOS ]]*salidas26[[#This Row],[PRECIO JUEGO]])</f>
        <v>180</v>
      </c>
      <c r="J146" s="1" t="n">
        <f aca="false">(salidas26[[#This Row],[CANT BARRAS]]*salidas26[[#This Row],[PRECIO BARRA]])</f>
        <v>0</v>
      </c>
      <c r="K146" s="1" t="n">
        <v>180</v>
      </c>
      <c r="L146" s="1" t="s">
        <v>502</v>
      </c>
      <c r="M146" s="1" t="s">
        <v>557</v>
      </c>
    </row>
    <row r="147" customFormat="false" ht="15" hidden="false" customHeight="false" outlineLevel="0" collapsed="false">
      <c r="A147" s="1" t="n">
        <v>3976</v>
      </c>
      <c r="B147" s="1" t="n">
        <v>1012</v>
      </c>
      <c r="C14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32LB620B-32LF620B -3B/6V/6L</v>
      </c>
      <c r="D147" s="75" t="n">
        <v>46034</v>
      </c>
      <c r="E14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14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47" s="1" t="n">
        <v>1</v>
      </c>
      <c r="I147" s="1" t="n">
        <f aca="false">(salidas26[[#This Row],[CANT JUEGOS ]]*salidas26[[#This Row],[PRECIO JUEGO]])</f>
        <v>90</v>
      </c>
      <c r="J147" s="1" t="n">
        <f aca="false">(salidas26[[#This Row],[CANT BARRAS]]*salidas26[[#This Row],[PRECIO BARRA]])</f>
        <v>0</v>
      </c>
      <c r="K147" s="1" t="n">
        <v>90</v>
      </c>
      <c r="L147" s="1" t="s">
        <v>533</v>
      </c>
      <c r="M147" s="1" t="s">
        <v>505</v>
      </c>
    </row>
    <row r="148" s="1" customFormat="true" ht="15" hidden="false" customHeight="false" outlineLevel="0" collapsed="false">
      <c r="A148" s="1" t="n">
        <v>3977</v>
      </c>
      <c r="B148" s="1" t="n">
        <v>1036</v>
      </c>
      <c r="C14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42LA6130-42LN5400  10B/3V</v>
      </c>
      <c r="D148" s="75" t="n">
        <v>46034</v>
      </c>
      <c r="E14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4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18</v>
      </c>
      <c r="G148" s="1" t="n">
        <v>1</v>
      </c>
      <c r="I148" s="1" t="n">
        <f aca="false">(salidas26[[#This Row],[CANT JUEGOS ]]*salidas26[[#This Row],[PRECIO JUEGO]])</f>
        <v>180</v>
      </c>
      <c r="J148" s="1" t="n">
        <f aca="false">(salidas26[[#This Row],[CANT BARRAS]]*salidas26[[#This Row],[PRECIO BARRA]])</f>
        <v>0</v>
      </c>
      <c r="K148" s="1" t="n">
        <v>180</v>
      </c>
      <c r="L148" s="1" t="s">
        <v>533</v>
      </c>
      <c r="M148" s="1" t="s">
        <v>568</v>
      </c>
    </row>
    <row r="149" customFormat="false" ht="15" hidden="false" customHeight="false" outlineLevel="0" collapsed="false">
      <c r="A149" s="1" t="n">
        <v>3978</v>
      </c>
      <c r="B149" s="1" t="n">
        <v>8055</v>
      </c>
      <c r="C14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PREMIER 8L/3V/3B 8047SF43SF</v>
      </c>
      <c r="D149" s="75" t="n">
        <v>46034</v>
      </c>
      <c r="E14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4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149" s="1" t="n">
        <v>1</v>
      </c>
      <c r="I149" s="1" t="n">
        <f aca="false">(salidas26[[#This Row],[CANT JUEGOS ]]*salidas26[[#This Row],[PRECIO JUEGO]])</f>
        <v>180</v>
      </c>
      <c r="J149" s="1" t="n">
        <f aca="false">(salidas26[[#This Row],[CANT BARRAS]]*salidas26[[#This Row],[PRECIO BARRA]])</f>
        <v>0</v>
      </c>
      <c r="K149" s="1" t="n">
        <v>160</v>
      </c>
      <c r="L149" s="1" t="s">
        <v>502</v>
      </c>
      <c r="M149" s="1" t="s">
        <v>569</v>
      </c>
    </row>
    <row r="150" customFormat="false" ht="15" hidden="false" customHeight="false" outlineLevel="0" collapsed="false">
      <c r="A150" s="1" t="n">
        <v>3982</v>
      </c>
      <c r="B150" s="1" t="n">
        <v>2033</v>
      </c>
      <c r="C15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UN46F5000 - F6400 /16B</v>
      </c>
      <c r="D150" s="75" t="n">
        <v>46034</v>
      </c>
      <c r="E15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15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21.875</v>
      </c>
      <c r="G150" s="1" t="n">
        <v>1</v>
      </c>
      <c r="I150" s="1" t="n">
        <f aca="false">(salidas26[[#This Row],[CANT JUEGOS ]]*salidas26[[#This Row],[PRECIO JUEGO]])</f>
        <v>350</v>
      </c>
      <c r="J150" s="1" t="n">
        <f aca="false">(salidas26[[#This Row],[CANT BARRAS]]*salidas26[[#This Row],[PRECIO BARRA]])</f>
        <v>0</v>
      </c>
      <c r="K150" s="1" t="n">
        <v>320</v>
      </c>
      <c r="L150" s="1" t="s">
        <v>533</v>
      </c>
      <c r="M150" s="1" t="s">
        <v>570</v>
      </c>
    </row>
    <row r="151" s="77" customFormat="true" ht="15" hidden="false" customHeight="false" outlineLevel="0" collapsed="false">
      <c r="A151" s="77" t="n">
        <v>3983</v>
      </c>
      <c r="B151" s="77" t="n">
        <v>6022</v>
      </c>
      <c r="C151" s="77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SKYWORTH SUC9350Pro /10L</v>
      </c>
      <c r="D151" s="78" t="n">
        <v>46034</v>
      </c>
      <c r="E151" s="77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151" s="77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70</v>
      </c>
      <c r="G151" s="77" t="n">
        <v>1</v>
      </c>
      <c r="I151" s="77" t="n">
        <f aca="false">(salidas26[[#This Row],[CANT JUEGOS ]]*salidas26[[#This Row],[PRECIO JUEGO]])</f>
        <v>350</v>
      </c>
      <c r="J151" s="77" t="n">
        <f aca="false">(salidas26[[#This Row],[CANT BARRAS]]*salidas26[[#This Row],[PRECIO BARRA]])</f>
        <v>0</v>
      </c>
      <c r="K151" s="77" t="n">
        <v>350</v>
      </c>
      <c r="L151" s="77" t="s">
        <v>502</v>
      </c>
      <c r="M151" s="77" t="s">
        <v>532</v>
      </c>
    </row>
    <row r="152" customFormat="false" ht="15" hidden="false" customHeight="false" outlineLevel="0" collapsed="false">
      <c r="A152" s="1" t="n">
        <v>3984</v>
      </c>
      <c r="B152" s="1" t="n">
        <v>4009</v>
      </c>
      <c r="C15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43-DAEWO L43R630BKS/ 8B</v>
      </c>
      <c r="D152" s="75" t="n">
        <v>46035</v>
      </c>
      <c r="E15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15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152" s="1" t="n">
        <v>1</v>
      </c>
      <c r="I152" s="1" t="n">
        <f aca="false">(salidas26[[#This Row],[CANT JUEGOS ]]*salidas26[[#This Row],[PRECIO JUEGO]])</f>
        <v>160</v>
      </c>
      <c r="J152" s="1" t="n">
        <f aca="false">(salidas26[[#This Row],[CANT BARRAS]]*salidas26[[#This Row],[PRECIO BARRA]])</f>
        <v>0</v>
      </c>
      <c r="K152" s="1" t="n">
        <v>150</v>
      </c>
      <c r="L152" s="1" t="s">
        <v>502</v>
      </c>
      <c r="M152" s="1" t="s">
        <v>567</v>
      </c>
    </row>
    <row r="153" customFormat="false" ht="15" hidden="false" customHeight="false" outlineLevel="0" collapsed="false">
      <c r="A153" s="1" t="n">
        <v>3985</v>
      </c>
      <c r="B153" s="1" t="n">
        <v>2064</v>
      </c>
      <c r="C15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UN50AU7000G/6B</v>
      </c>
      <c r="D153" s="75" t="n">
        <v>46035</v>
      </c>
      <c r="E15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15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41.6666666666667</v>
      </c>
      <c r="G153" s="1" t="n">
        <v>1</v>
      </c>
      <c r="I153" s="1" t="n">
        <f aca="false">(salidas26[[#This Row],[CANT JUEGOS ]]*salidas26[[#This Row],[PRECIO JUEGO]])</f>
        <v>250</v>
      </c>
      <c r="J153" s="1" t="n">
        <f aca="false">(salidas26[[#This Row],[CANT BARRAS]]*salidas26[[#This Row],[PRECIO BARRA]])</f>
        <v>0</v>
      </c>
      <c r="K153" s="1" t="n">
        <v>240</v>
      </c>
      <c r="L153" s="1" t="s">
        <v>502</v>
      </c>
      <c r="M153" s="1" t="s">
        <v>528</v>
      </c>
    </row>
    <row r="154" customFormat="false" ht="15" hidden="false" customHeight="false" outlineLevel="0" collapsed="false">
      <c r="A154" s="1" t="n">
        <v>3986</v>
      </c>
      <c r="B154" s="1" t="n">
        <v>6131</v>
      </c>
      <c r="C15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SKYWORTH 10B SUC Y EN OTRO MODELO 12 BARRAS</v>
      </c>
      <c r="D154" s="75" t="n">
        <v>46035</v>
      </c>
      <c r="E15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15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H154" s="1" t="n">
        <v>12</v>
      </c>
      <c r="I154" s="1" t="n">
        <f aca="false">(salidas26[[#This Row],[CANT JUEGOS ]]*salidas26[[#This Row],[PRECIO JUEGO]])</f>
        <v>0</v>
      </c>
      <c r="J154" s="1" t="n">
        <f aca="false">(salidas26[[#This Row],[CANT BARRAS]]*salidas26[[#This Row],[PRECIO BARRA]])</f>
        <v>400</v>
      </c>
      <c r="K154" s="1" t="n">
        <v>495</v>
      </c>
      <c r="L154" s="1" t="s">
        <v>502</v>
      </c>
      <c r="M154" s="1" t="s">
        <v>571</v>
      </c>
    </row>
    <row r="155" customFormat="false" ht="15" hidden="false" customHeight="false" outlineLevel="0" collapsed="false">
      <c r="A155" s="1" t="n">
        <v>3987</v>
      </c>
      <c r="B155" s="1" t="n">
        <v>6006</v>
      </c>
      <c r="C15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SKYWORTH TOSHIBA /3B</v>
      </c>
      <c r="D155" s="75" t="n">
        <v>46035</v>
      </c>
      <c r="E15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140</v>
      </c>
      <c r="F15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46.6666666666667</v>
      </c>
      <c r="G155" s="1" t="n">
        <v>1</v>
      </c>
      <c r="I155" s="1" t="n">
        <f aca="false">(salidas26[[#This Row],[CANT JUEGOS ]]*salidas26[[#This Row],[PRECIO JUEGO]])</f>
        <v>140</v>
      </c>
      <c r="J155" s="1" t="n">
        <f aca="false">(salidas26[[#This Row],[CANT BARRAS]]*salidas26[[#This Row],[PRECIO BARRA]])</f>
        <v>0</v>
      </c>
      <c r="K155" s="1" t="n">
        <v>150</v>
      </c>
      <c r="L155" s="1" t="s">
        <v>502</v>
      </c>
      <c r="M155" s="1" t="s">
        <v>518</v>
      </c>
    </row>
    <row r="156" customFormat="false" ht="15" hidden="false" customHeight="false" outlineLevel="0" collapsed="false">
      <c r="A156" s="1" t="n">
        <v>3988</v>
      </c>
      <c r="B156" s="1" t="n">
        <v>1121</v>
      </c>
      <c r="C15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LM8600</v>
      </c>
      <c r="D156" s="75" t="n">
        <v>46035</v>
      </c>
      <c r="E15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15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150</v>
      </c>
      <c r="G156" s="1" t="n">
        <v>1</v>
      </c>
      <c r="I156" s="1" t="n">
        <f aca="false">(salidas26[[#This Row],[CANT JUEGOS ]]*salidas26[[#This Row],[PRECIO JUEGO]])</f>
        <v>300</v>
      </c>
      <c r="J156" s="1" t="n">
        <f aca="false">(salidas26[[#This Row],[CANT BARRAS]]*salidas26[[#This Row],[PRECIO BARRA]])</f>
        <v>0</v>
      </c>
      <c r="K156" s="1" t="n">
        <v>280</v>
      </c>
      <c r="L156" s="1" t="s">
        <v>502</v>
      </c>
      <c r="M156" s="1" t="s">
        <v>534</v>
      </c>
    </row>
    <row r="157" customFormat="false" ht="15" hidden="false" customHeight="false" outlineLevel="0" collapsed="false">
      <c r="A157" s="1" t="n">
        <v>3989</v>
      </c>
      <c r="B157" s="1" t="n">
        <v>2018</v>
      </c>
      <c r="C15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UN40FH6203 3B/2C/1R/13-13-13</v>
      </c>
      <c r="D157" s="75" t="n">
        <v>46035</v>
      </c>
      <c r="E15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15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157" s="1" t="n">
        <v>1</v>
      </c>
      <c r="I157" s="1" t="n">
        <f aca="false">(salidas26[[#This Row],[CANT JUEGOS ]]*salidas26[[#This Row],[PRECIO JUEGO]])</f>
        <v>160</v>
      </c>
      <c r="J157" s="1" t="n">
        <f aca="false">(salidas26[[#This Row],[CANT BARRAS]]*salidas26[[#This Row],[PRECIO BARRA]])</f>
        <v>0</v>
      </c>
      <c r="K157" s="1" t="n">
        <v>144</v>
      </c>
      <c r="L157" s="1" t="s">
        <v>502</v>
      </c>
      <c r="M157" s="1" t="s">
        <v>534</v>
      </c>
    </row>
    <row r="158" customFormat="false" ht="15" hidden="false" customHeight="false" outlineLevel="0" collapsed="false">
      <c r="A158" s="1" t="n">
        <v>3990</v>
      </c>
      <c r="B158" s="1" t="n">
        <v>8055</v>
      </c>
      <c r="C15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PREMIER 8L/3V/3B 8047SF43SF</v>
      </c>
      <c r="D158" s="75" t="n">
        <v>46035</v>
      </c>
      <c r="E15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5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158" s="1" t="n">
        <v>1</v>
      </c>
      <c r="I158" s="1" t="n">
        <f aca="false">(salidas26[[#This Row],[CANT JUEGOS ]]*salidas26[[#This Row],[PRECIO JUEGO]])</f>
        <v>180</v>
      </c>
      <c r="J158" s="1" t="n">
        <f aca="false">(salidas26[[#This Row],[CANT BARRAS]]*salidas26[[#This Row],[PRECIO BARRA]])</f>
        <v>0</v>
      </c>
      <c r="K158" s="1" t="n">
        <v>160</v>
      </c>
      <c r="L158" s="1" t="s">
        <v>502</v>
      </c>
      <c r="M158" s="1" t="s">
        <v>534</v>
      </c>
    </row>
    <row r="159" s="1" customFormat="true" ht="15" hidden="false" customHeight="false" outlineLevel="0" collapsed="false">
      <c r="A159" s="1" t="n">
        <v>3991</v>
      </c>
      <c r="B159" s="1" t="n">
        <v>6034</v>
      </c>
      <c r="C15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HISENSE A6GSA 6B/8L/3V</v>
      </c>
      <c r="D159" s="75" t="n">
        <v>46035</v>
      </c>
      <c r="E15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380</v>
      </c>
      <c r="F15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63.3333333333333</v>
      </c>
      <c r="G159" s="1" t="n">
        <v>1</v>
      </c>
      <c r="I159" s="1" t="n">
        <f aca="false">(salidas26[[#This Row],[CANT JUEGOS ]]*salidas26[[#This Row],[PRECIO JUEGO]])</f>
        <v>380</v>
      </c>
      <c r="J159" s="1" t="n">
        <f aca="false">(salidas26[[#This Row],[CANT BARRAS]]*salidas26[[#This Row],[PRECIO BARRA]])</f>
        <v>0</v>
      </c>
      <c r="K159" s="1" t="n">
        <v>280</v>
      </c>
      <c r="L159" s="1" t="s">
        <v>533</v>
      </c>
      <c r="M159" s="1" t="s">
        <v>527</v>
      </c>
    </row>
    <row r="160" customFormat="false" ht="15" hidden="false" customHeight="false" outlineLevel="0" collapsed="false">
      <c r="A160" s="1" t="n">
        <v>3992</v>
      </c>
      <c r="B160" s="1" t="n">
        <v>2075</v>
      </c>
      <c r="C16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UN55NU7100-UN55RU7100/2B EDGE</v>
      </c>
      <c r="D160" s="75" t="n">
        <v>46035</v>
      </c>
      <c r="E16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16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100</v>
      </c>
      <c r="G160" s="1" t="n">
        <v>1</v>
      </c>
      <c r="I160" s="1" t="n">
        <f aca="false">(salidas26[[#This Row],[CANT JUEGOS ]]*salidas26[[#This Row],[PRECIO JUEGO]])</f>
        <v>200</v>
      </c>
      <c r="J160" s="1" t="n">
        <f aca="false">(salidas26[[#This Row],[CANT BARRAS]]*salidas26[[#This Row],[PRECIO BARRA]])</f>
        <v>0</v>
      </c>
      <c r="K160" s="1" t="n">
        <v>200</v>
      </c>
      <c r="L160" s="1" t="s">
        <v>502</v>
      </c>
      <c r="M160" s="1" t="s">
        <v>572</v>
      </c>
    </row>
    <row r="161" s="1" customFormat="true" ht="15" hidden="false" customHeight="false" outlineLevel="0" collapsed="false">
      <c r="A161" s="1" t="n">
        <v>3993</v>
      </c>
      <c r="B161" s="1" t="n">
        <v>5010</v>
      </c>
      <c r="C16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SONY/AOC LE40D3142 -4B/9L</v>
      </c>
      <c r="D161" s="75" t="n">
        <v>46035</v>
      </c>
      <c r="E16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6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45</v>
      </c>
      <c r="G161" s="1" t="n">
        <v>1</v>
      </c>
      <c r="I161" s="1" t="n">
        <f aca="false">(salidas26[[#This Row],[CANT JUEGOS ]]*salidas26[[#This Row],[PRECIO JUEGO]])</f>
        <v>180</v>
      </c>
      <c r="J161" s="1" t="n">
        <f aca="false">(salidas26[[#This Row],[CANT BARRAS]]*salidas26[[#This Row],[PRECIO BARRA]])</f>
        <v>0</v>
      </c>
      <c r="K161" s="1" t="n">
        <v>144</v>
      </c>
      <c r="L161" s="1" t="s">
        <v>533</v>
      </c>
      <c r="M161" s="1" t="s">
        <v>527</v>
      </c>
    </row>
    <row r="162" customFormat="false" ht="15" hidden="false" customHeight="false" outlineLevel="0" collapsed="false">
      <c r="A162" s="1" t="n">
        <v>3994</v>
      </c>
      <c r="B162" s="1" t="n">
        <v>1033</v>
      </c>
      <c r="C16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D162" s="75" t="n">
        <v>46035</v>
      </c>
      <c r="E16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6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162" s="1" t="n">
        <v>1</v>
      </c>
      <c r="I162" s="1" t="n">
        <f aca="false">(salidas26[[#This Row],[CANT JUEGOS ]]*salidas26[[#This Row],[PRECIO JUEGO]])</f>
        <v>180</v>
      </c>
      <c r="J162" s="1" t="n">
        <f aca="false">(salidas26[[#This Row],[CANT BARRAS]]*salidas26[[#This Row],[PRECIO BARRA]])</f>
        <v>0</v>
      </c>
      <c r="K162" s="1" t="n">
        <v>180</v>
      </c>
      <c r="L162" s="1" t="s">
        <v>502</v>
      </c>
      <c r="M162" s="1" t="s">
        <v>573</v>
      </c>
    </row>
    <row r="163" customFormat="false" ht="15" hidden="false" customHeight="false" outlineLevel="0" collapsed="false">
      <c r="A163" s="1" t="n">
        <v>3995</v>
      </c>
      <c r="B163" s="1" t="n">
        <v>5001</v>
      </c>
      <c r="C16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KDL-32R405 SONY/4B</v>
      </c>
      <c r="D163" s="75" t="n">
        <v>46035</v>
      </c>
      <c r="E16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100</v>
      </c>
      <c r="F16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25</v>
      </c>
      <c r="G163" s="1" t="n">
        <v>1</v>
      </c>
      <c r="I163" s="1" t="n">
        <f aca="false">(salidas26[[#This Row],[CANT JUEGOS ]]*salidas26[[#This Row],[PRECIO JUEGO]])</f>
        <v>100</v>
      </c>
      <c r="J163" s="1" t="n">
        <f aca="false">(salidas26[[#This Row],[CANT BARRAS]]*salidas26[[#This Row],[PRECIO BARRA]])</f>
        <v>0</v>
      </c>
      <c r="K163" s="1" t="n">
        <v>120</v>
      </c>
      <c r="L163" s="1" t="s">
        <v>502</v>
      </c>
      <c r="M163" s="1" t="s">
        <v>518</v>
      </c>
    </row>
    <row r="164" customFormat="false" ht="15" hidden="false" customHeight="false" outlineLevel="0" collapsed="false">
      <c r="A164" s="1" t="n">
        <v>3996</v>
      </c>
      <c r="B164" s="1" t="n">
        <v>4003</v>
      </c>
      <c r="C16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DAEWOO 8L/3V - 3B</v>
      </c>
      <c r="D164" s="75" t="n">
        <v>46035</v>
      </c>
      <c r="E16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16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64" s="1" t="n">
        <v>1</v>
      </c>
      <c r="I164" s="1" t="n">
        <f aca="false">(salidas26[[#This Row],[CANT JUEGOS ]]*salidas26[[#This Row],[PRECIO JUEGO]])</f>
        <v>90</v>
      </c>
      <c r="J164" s="1" t="n">
        <f aca="false">(salidas26[[#This Row],[CANT BARRAS]]*salidas26[[#This Row],[PRECIO BARRA]])</f>
        <v>0</v>
      </c>
      <c r="K164" s="1" t="n">
        <v>90</v>
      </c>
      <c r="L164" s="1" t="s">
        <v>502</v>
      </c>
      <c r="M164" s="1" t="s">
        <v>518</v>
      </c>
    </row>
    <row r="165" customFormat="false" ht="15" hidden="false" customHeight="false" outlineLevel="0" collapsed="false">
      <c r="A165" s="1" t="n">
        <v>3997</v>
      </c>
      <c r="B165" s="1" t="n">
        <v>1036</v>
      </c>
      <c r="C16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42LA6130-42LN5400  10B/3V</v>
      </c>
      <c r="D165" s="75" t="n">
        <v>46035</v>
      </c>
      <c r="E16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6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18</v>
      </c>
      <c r="G165" s="1" t="n">
        <v>1</v>
      </c>
      <c r="I165" s="1" t="n">
        <f aca="false">(salidas26[[#This Row],[CANT JUEGOS ]]*salidas26[[#This Row],[PRECIO JUEGO]])</f>
        <v>180</v>
      </c>
      <c r="J165" s="1" t="n">
        <f aca="false">(salidas26[[#This Row],[CANT BARRAS]]*salidas26[[#This Row],[PRECIO BARRA]])</f>
        <v>0</v>
      </c>
      <c r="K165" s="1" t="n">
        <v>180</v>
      </c>
      <c r="L165" s="1" t="s">
        <v>502</v>
      </c>
      <c r="M165" s="1" t="s">
        <v>518</v>
      </c>
    </row>
    <row r="166" customFormat="false" ht="15" hidden="false" customHeight="false" outlineLevel="0" collapsed="false">
      <c r="A166" s="1" t="n">
        <v>3998</v>
      </c>
      <c r="B166" s="1" t="n">
        <v>8055</v>
      </c>
      <c r="C16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PREMIER 8L/3V/3B 8047SF43SF</v>
      </c>
      <c r="D166" s="75" t="n">
        <v>46035</v>
      </c>
      <c r="E16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6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166" s="1" t="n">
        <v>1</v>
      </c>
      <c r="I166" s="1" t="n">
        <f aca="false">(salidas26[[#This Row],[CANT JUEGOS ]]*salidas26[[#This Row],[PRECIO JUEGO]])</f>
        <v>180</v>
      </c>
      <c r="J166" s="1" t="n">
        <f aca="false">(salidas26[[#This Row],[CANT BARRAS]]*salidas26[[#This Row],[PRECIO BARRA]])</f>
        <v>0</v>
      </c>
      <c r="K166" s="1" t="n">
        <v>180</v>
      </c>
      <c r="L166" s="1" t="s">
        <v>502</v>
      </c>
      <c r="M166" s="1" t="s">
        <v>507</v>
      </c>
    </row>
    <row r="167" customFormat="false" ht="15" hidden="false" customHeight="false" outlineLevel="0" collapsed="false">
      <c r="A167" s="1" t="n">
        <v>3999</v>
      </c>
      <c r="B167" s="1" t="n">
        <v>4009</v>
      </c>
      <c r="C16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43-DAEWO L43R630BKS/ 8B</v>
      </c>
      <c r="D167" s="75" t="n">
        <v>46035</v>
      </c>
      <c r="E16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16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167" s="1" t="n">
        <v>1</v>
      </c>
      <c r="I167" s="1" t="n">
        <f aca="false">(salidas26[[#This Row],[CANT JUEGOS ]]*salidas26[[#This Row],[PRECIO JUEGO]])</f>
        <v>160</v>
      </c>
      <c r="J167" s="1" t="n">
        <f aca="false">(salidas26[[#This Row],[CANT BARRAS]]*salidas26[[#This Row],[PRECIO BARRA]])</f>
        <v>0</v>
      </c>
      <c r="K167" s="1" t="n">
        <v>160</v>
      </c>
      <c r="L167" s="1" t="s">
        <v>574</v>
      </c>
      <c r="M167" s="1" t="s">
        <v>511</v>
      </c>
    </row>
    <row r="168" customFormat="false" ht="15" hidden="false" customHeight="false" outlineLevel="0" collapsed="false">
      <c r="A168" s="1" t="n">
        <v>4000</v>
      </c>
      <c r="B168" s="1" t="n">
        <v>7000</v>
      </c>
      <c r="C16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IRT/6L/2B/6V</v>
      </c>
      <c r="D168" s="75" t="n">
        <v>46035</v>
      </c>
      <c r="E16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16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68" s="1" t="n">
        <v>1</v>
      </c>
      <c r="I168" s="1" t="n">
        <f aca="false">(salidas26[[#This Row],[CANT JUEGOS ]]*salidas26[[#This Row],[PRECIO JUEGO]])</f>
        <v>60</v>
      </c>
      <c r="J168" s="1" t="n">
        <f aca="false">(salidas26[[#This Row],[CANT BARRAS]]*salidas26[[#This Row],[PRECIO BARRA]])</f>
        <v>0</v>
      </c>
      <c r="K168" s="1" t="n">
        <v>60</v>
      </c>
      <c r="L168" s="1" t="s">
        <v>533</v>
      </c>
      <c r="M168" s="1" t="s">
        <v>575</v>
      </c>
    </row>
    <row r="169" customFormat="false" ht="15" hidden="false" customHeight="false" outlineLevel="0" collapsed="false">
      <c r="A169" s="1" t="n">
        <v>4001</v>
      </c>
      <c r="B169" s="1" t="n">
        <v>2048</v>
      </c>
      <c r="C16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UN49 NU7100/2B EDGE</v>
      </c>
      <c r="D169" s="75" t="n">
        <v>46035</v>
      </c>
      <c r="E16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6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90</v>
      </c>
      <c r="G169" s="1" t="n">
        <v>1</v>
      </c>
      <c r="I169" s="1" t="n">
        <f aca="false">(salidas26[[#This Row],[CANT JUEGOS ]]*salidas26[[#This Row],[PRECIO JUEGO]])</f>
        <v>180</v>
      </c>
      <c r="J169" s="1" t="n">
        <f aca="false">(salidas26[[#This Row],[CANT BARRAS]]*salidas26[[#This Row],[PRECIO BARRA]])</f>
        <v>0</v>
      </c>
      <c r="K169" s="1" t="n">
        <v>150</v>
      </c>
      <c r="L169" s="1" t="s">
        <v>533</v>
      </c>
      <c r="M169" s="1" t="s">
        <v>576</v>
      </c>
    </row>
    <row r="170" s="1" customFormat="true" ht="15" hidden="false" customHeight="false" outlineLevel="0" collapsed="false">
      <c r="A170" s="1" t="n">
        <v>4002</v>
      </c>
      <c r="B170" s="1" t="n">
        <v>5006</v>
      </c>
      <c r="C17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KDL-32R304B/3B</v>
      </c>
      <c r="D170" s="75" t="n">
        <v>46035</v>
      </c>
      <c r="E17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17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70" s="1" t="n">
        <v>1</v>
      </c>
      <c r="I170" s="1" t="n">
        <f aca="false">(salidas26[[#This Row],[CANT JUEGOS ]]*salidas26[[#This Row],[PRECIO JUEGO]])</f>
        <v>90</v>
      </c>
      <c r="J170" s="1" t="n">
        <f aca="false">(salidas26[[#This Row],[CANT BARRAS]]*salidas26[[#This Row],[PRECIO BARRA]])</f>
        <v>0</v>
      </c>
      <c r="K170" s="1" t="n">
        <v>90</v>
      </c>
      <c r="L170" s="1" t="s">
        <v>502</v>
      </c>
      <c r="M170" s="1" t="s">
        <v>577</v>
      </c>
    </row>
    <row r="171" s="1" customFormat="true" ht="15" hidden="false" customHeight="false" outlineLevel="0" collapsed="false">
      <c r="A171" s="1" t="n">
        <v>4003</v>
      </c>
      <c r="B171" s="1" t="n">
        <v>6021</v>
      </c>
      <c r="C17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MASTERG 55U4700 - 55 TOSHIBA 8B/5-6L</v>
      </c>
      <c r="D171" s="75" t="n">
        <v>46036</v>
      </c>
      <c r="E17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17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37.5</v>
      </c>
      <c r="G171" s="1" t="n">
        <v>1</v>
      </c>
      <c r="I171" s="1" t="n">
        <f aca="false">(salidas26[[#This Row],[CANT JUEGOS ]]*salidas26[[#This Row],[PRECIO JUEGO]])</f>
        <v>300</v>
      </c>
      <c r="J171" s="1" t="n">
        <f aca="false">(salidas26[[#This Row],[CANT BARRAS]]*salidas26[[#This Row],[PRECIO BARRA]])</f>
        <v>0</v>
      </c>
      <c r="K171" s="1" t="n">
        <v>240</v>
      </c>
      <c r="L171" s="1" t="s">
        <v>533</v>
      </c>
      <c r="M171" s="1" t="s">
        <v>527</v>
      </c>
    </row>
    <row r="172" customFormat="false" ht="15" hidden="false" customHeight="false" outlineLevel="0" collapsed="false">
      <c r="A172" s="1" t="n">
        <v>4004</v>
      </c>
      <c r="B172" s="1" t="n">
        <v>8104</v>
      </c>
      <c r="C17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LT65KB527 10 B</v>
      </c>
      <c r="D172" s="75" t="n">
        <v>46036</v>
      </c>
      <c r="E17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17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172" s="1" t="n">
        <v>1</v>
      </c>
      <c r="I172" s="1" t="n">
        <f aca="false">(salidas26[[#This Row],[CANT JUEGOS ]]*salidas26[[#This Row],[PRECIO JUEGO]])</f>
        <v>400</v>
      </c>
      <c r="J172" s="1" t="n">
        <f aca="false">(salidas26[[#This Row],[CANT BARRAS]]*salidas26[[#This Row],[PRECIO BARRA]])</f>
        <v>0</v>
      </c>
      <c r="K172" s="1" t="n">
        <v>350</v>
      </c>
      <c r="L172" s="1" t="s">
        <v>502</v>
      </c>
      <c r="M172" s="1" t="s">
        <v>518</v>
      </c>
    </row>
    <row r="173" customFormat="false" ht="15" hidden="false" customHeight="false" outlineLevel="0" collapsed="false">
      <c r="A173" s="1" t="n">
        <v>4005</v>
      </c>
      <c r="B173" s="1" t="n">
        <v>1015</v>
      </c>
      <c r="C17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32LH500B-32LK500 3B/7L/3V</v>
      </c>
      <c r="D173" s="75" t="n">
        <v>46036</v>
      </c>
      <c r="E17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17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173" s="1" t="n">
        <v>1</v>
      </c>
      <c r="I173" s="1" t="n">
        <f aca="false">(salidas26[[#This Row],[CANT JUEGOS ]]*salidas26[[#This Row],[PRECIO JUEGO]])</f>
        <v>80</v>
      </c>
      <c r="J173" s="1" t="n">
        <f aca="false">(salidas26[[#This Row],[CANT BARRAS]]*salidas26[[#This Row],[PRECIO BARRA]])</f>
        <v>0</v>
      </c>
      <c r="K173" s="1" t="n">
        <v>100</v>
      </c>
      <c r="L173" s="1" t="s">
        <v>502</v>
      </c>
      <c r="M173" s="1" t="s">
        <v>509</v>
      </c>
    </row>
    <row r="174" customFormat="false" ht="15" hidden="false" customHeight="false" outlineLevel="0" collapsed="false">
      <c r="A174" s="1" t="n">
        <v>4006</v>
      </c>
      <c r="B174" s="1" t="n">
        <v>8069</v>
      </c>
      <c r="C17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10L/6V/4B -50 WESTPOINT TEJ -EN SERIE</v>
      </c>
      <c r="D174" s="75" t="n">
        <v>46036</v>
      </c>
      <c r="E17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17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174" s="1" t="n">
        <v>1</v>
      </c>
      <c r="I174" s="1" t="n">
        <f aca="false">(salidas26[[#This Row],[CANT JUEGOS ]]*salidas26[[#This Row],[PRECIO JUEGO]])</f>
        <v>220</v>
      </c>
      <c r="J174" s="1" t="n">
        <f aca="false">(salidas26[[#This Row],[CANT BARRAS]]*salidas26[[#This Row],[PRECIO BARRA]])</f>
        <v>0</v>
      </c>
      <c r="K174" s="1" t="n">
        <v>220</v>
      </c>
      <c r="L174" s="1" t="s">
        <v>502</v>
      </c>
      <c r="M174" s="1" t="s">
        <v>552</v>
      </c>
    </row>
    <row r="175" customFormat="false" ht="15" hidden="false" customHeight="false" outlineLevel="0" collapsed="false">
      <c r="A175" s="1" t="n">
        <v>4007</v>
      </c>
      <c r="B175" s="1" t="n">
        <v>7004</v>
      </c>
      <c r="C17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IRT LED4060SFHD 8L/3V/3B</v>
      </c>
      <c r="D175" s="75" t="n">
        <v>46036</v>
      </c>
      <c r="E17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17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175" s="1" t="n">
        <v>1</v>
      </c>
      <c r="I175" s="1" t="n">
        <f aca="false">(salidas26[[#This Row],[CANT JUEGOS ]]*salidas26[[#This Row],[PRECIO JUEGO]])</f>
        <v>150</v>
      </c>
      <c r="J175" s="1" t="n">
        <f aca="false">(salidas26[[#This Row],[CANT BARRAS]]*salidas26[[#This Row],[PRECIO BARRA]])</f>
        <v>0</v>
      </c>
      <c r="K175" s="1" t="n">
        <v>140</v>
      </c>
      <c r="L175" s="1" t="s">
        <v>533</v>
      </c>
      <c r="M175" s="1" t="s">
        <v>578</v>
      </c>
    </row>
    <row r="176" customFormat="false" ht="15" hidden="false" customHeight="false" outlineLevel="0" collapsed="false">
      <c r="A176" s="1" t="n">
        <v>4008</v>
      </c>
      <c r="B176" s="1" t="n">
        <v>1060</v>
      </c>
      <c r="C17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43LH-LF 5100/6B</v>
      </c>
      <c r="D176" s="75" t="n">
        <v>46036</v>
      </c>
      <c r="E17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7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76" s="1" t="n">
        <v>1</v>
      </c>
      <c r="I176" s="1" t="n">
        <f aca="false">(salidas26[[#This Row],[CANT JUEGOS ]]*salidas26[[#This Row],[PRECIO JUEGO]])</f>
        <v>180</v>
      </c>
      <c r="J176" s="1" t="n">
        <f aca="false">(salidas26[[#This Row],[CANT BARRAS]]*salidas26[[#This Row],[PRECIO BARRA]])</f>
        <v>0</v>
      </c>
      <c r="K176" s="1" t="n">
        <v>160</v>
      </c>
      <c r="L176" s="1" t="s">
        <v>533</v>
      </c>
      <c r="M176" s="1" t="s">
        <v>578</v>
      </c>
    </row>
    <row r="177" s="1" customFormat="true" ht="15" hidden="false" customHeight="false" outlineLevel="0" collapsed="false">
      <c r="A177" s="1" t="n">
        <v>4009</v>
      </c>
      <c r="B177" s="1" t="n">
        <v>1000</v>
      </c>
      <c r="C17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LA -3B/3V/7-7L</v>
      </c>
      <c r="D177" s="75" t="n">
        <v>46036</v>
      </c>
      <c r="E17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17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177" s="1" t="n">
        <v>1</v>
      </c>
      <c r="I177" s="1" t="n">
        <f aca="false">(salidas26[[#This Row],[CANT JUEGOS ]]*salidas26[[#This Row],[PRECIO JUEGO]])</f>
        <v>80</v>
      </c>
      <c r="J177" s="1" t="n">
        <f aca="false">(salidas26[[#This Row],[CANT BARRAS]]*salidas26[[#This Row],[PRECIO BARRA]])</f>
        <v>0</v>
      </c>
      <c r="K177" s="1" t="n">
        <v>64</v>
      </c>
      <c r="L177" s="1" t="s">
        <v>533</v>
      </c>
      <c r="M177" s="1" t="s">
        <v>527</v>
      </c>
    </row>
    <row r="178" customFormat="false" ht="15" hidden="false" customHeight="false" outlineLevel="0" collapsed="false">
      <c r="A178" s="1" t="n">
        <v>4010</v>
      </c>
      <c r="B178" s="1" t="n">
        <v>3036</v>
      </c>
      <c r="C17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55M600D 8L/12B</v>
      </c>
      <c r="D178" s="75" t="n">
        <v>46036</v>
      </c>
      <c r="E17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17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29.1666666666667</v>
      </c>
      <c r="G178" s="1" t="n">
        <v>1</v>
      </c>
      <c r="I178" s="1" t="n">
        <f aca="false">(salidas26[[#This Row],[CANT JUEGOS ]]*salidas26[[#This Row],[PRECIO JUEGO]])</f>
        <v>350</v>
      </c>
      <c r="J178" s="1" t="n">
        <f aca="false">(salidas26[[#This Row],[CANT BARRAS]]*salidas26[[#This Row],[PRECIO BARRA]])</f>
        <v>0</v>
      </c>
      <c r="K178" s="1" t="n">
        <v>330</v>
      </c>
      <c r="L178" s="1" t="s">
        <v>502</v>
      </c>
      <c r="M178" s="1" t="s">
        <v>524</v>
      </c>
    </row>
    <row r="179" customFormat="false" ht="15" hidden="false" customHeight="false" outlineLevel="0" collapsed="false">
      <c r="A179" s="1" t="n">
        <v>4011</v>
      </c>
      <c r="B179" s="1" t="n">
        <v>2018</v>
      </c>
      <c r="C17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UN40FH6203 3B/2C/1R/13-13-13</v>
      </c>
      <c r="D179" s="75" t="n">
        <v>46036</v>
      </c>
      <c r="E17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17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179" s="1" t="n">
        <v>1</v>
      </c>
      <c r="I179" s="1" t="n">
        <f aca="false">(salidas26[[#This Row],[CANT JUEGOS ]]*salidas26[[#This Row],[PRECIO JUEGO]])</f>
        <v>160</v>
      </c>
      <c r="J179" s="1" t="n">
        <f aca="false">(salidas26[[#This Row],[CANT BARRAS]]*salidas26[[#This Row],[PRECIO BARRA]])</f>
        <v>0</v>
      </c>
      <c r="K179" s="1" t="n">
        <v>170</v>
      </c>
      <c r="L179" s="1" t="s">
        <v>533</v>
      </c>
      <c r="M179" s="1" t="s">
        <v>511</v>
      </c>
    </row>
    <row r="180" customFormat="false" ht="15" hidden="false" customHeight="false" outlineLevel="0" collapsed="false">
      <c r="A180" s="1" t="n">
        <v>4012</v>
      </c>
      <c r="B180" s="1" t="n">
        <v>8067</v>
      </c>
      <c r="C18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6V/10L/4B EN PARALELO</v>
      </c>
      <c r="D180" s="75" t="n">
        <v>46036</v>
      </c>
      <c r="E18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18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180" s="1" t="n">
        <v>1</v>
      </c>
      <c r="I180" s="1" t="n">
        <f aca="false">(salidas26[[#This Row],[CANT JUEGOS ]]*salidas26[[#This Row],[PRECIO JUEGO]])</f>
        <v>220</v>
      </c>
      <c r="J180" s="1" t="n">
        <f aca="false">(salidas26[[#This Row],[CANT BARRAS]]*salidas26[[#This Row],[PRECIO BARRA]])</f>
        <v>0</v>
      </c>
      <c r="K180" s="1" t="n">
        <v>200</v>
      </c>
      <c r="L180" s="1" t="s">
        <v>533</v>
      </c>
      <c r="M180" s="1" t="s">
        <v>511</v>
      </c>
    </row>
    <row r="181" customFormat="false" ht="15" hidden="false" customHeight="false" outlineLevel="0" collapsed="false">
      <c r="A181" s="1" t="n">
        <v>4013</v>
      </c>
      <c r="B181" s="1" t="n">
        <v>7000</v>
      </c>
      <c r="C18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IRT/6L/2B/6V</v>
      </c>
      <c r="D181" s="75" t="n">
        <v>46036</v>
      </c>
      <c r="E18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18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81" s="1" t="n">
        <v>1</v>
      </c>
      <c r="I181" s="1" t="n">
        <f aca="false">(salidas26[[#This Row],[CANT JUEGOS ]]*salidas26[[#This Row],[PRECIO JUEGO]])</f>
        <v>60</v>
      </c>
      <c r="J181" s="1" t="n">
        <f aca="false">(salidas26[[#This Row],[CANT BARRAS]]*salidas26[[#This Row],[PRECIO BARRA]])</f>
        <v>0</v>
      </c>
      <c r="K181" s="1" t="n">
        <v>60</v>
      </c>
      <c r="L181" s="1" t="s">
        <v>502</v>
      </c>
      <c r="M181" s="1" t="s">
        <v>508</v>
      </c>
    </row>
    <row r="182" customFormat="false" ht="15" hidden="false" customHeight="false" outlineLevel="0" collapsed="false">
      <c r="A182" s="1" t="n">
        <v>4014</v>
      </c>
      <c r="B182" s="1" t="n">
        <v>8057</v>
      </c>
      <c r="C18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45 PREMIER 7L/4B</v>
      </c>
      <c r="D182" s="75" t="n">
        <v>46036</v>
      </c>
      <c r="E18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18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182" s="1" t="n">
        <v>1</v>
      </c>
      <c r="I182" s="1" t="n">
        <f aca="false">(salidas26[[#This Row],[CANT JUEGOS ]]*salidas26[[#This Row],[PRECIO JUEGO]])</f>
        <v>200</v>
      </c>
      <c r="J182" s="1" t="n">
        <f aca="false">(salidas26[[#This Row],[CANT BARRAS]]*salidas26[[#This Row],[PRECIO BARRA]])</f>
        <v>0</v>
      </c>
      <c r="K182" s="1" t="n">
        <v>200</v>
      </c>
      <c r="L182" s="1" t="s">
        <v>502</v>
      </c>
      <c r="M182" s="1" t="s">
        <v>529</v>
      </c>
    </row>
    <row r="183" customFormat="false" ht="15" hidden="false" customHeight="false" outlineLevel="0" collapsed="false">
      <c r="A183" s="1" t="n">
        <v>4015</v>
      </c>
      <c r="B183" s="1" t="n">
        <v>2003</v>
      </c>
      <c r="C18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UN32F5000-SAMSUNG 5B</v>
      </c>
      <c r="D183" s="75" t="n">
        <v>46036</v>
      </c>
      <c r="E18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130</v>
      </c>
      <c r="F18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</v>
      </c>
      <c r="H183" s="1" t="n">
        <v>2</v>
      </c>
      <c r="I183" s="1" t="n">
        <f aca="false">(salidas26[[#This Row],[CANT JUEGOS ]]*salidas26[[#This Row],[PRECIO JUEGO]])</f>
        <v>0</v>
      </c>
      <c r="J183" s="1" t="n">
        <f aca="false">(salidas26[[#This Row],[CANT BARRAS]]*salidas26[[#This Row],[PRECIO BARRA]])</f>
        <v>52</v>
      </c>
      <c r="K183" s="1" t="n">
        <v>50</v>
      </c>
      <c r="L183" s="1" t="s">
        <v>502</v>
      </c>
      <c r="M183" s="1" t="s">
        <v>579</v>
      </c>
    </row>
    <row r="184" customFormat="false" ht="15" hidden="false" customHeight="false" outlineLevel="0" collapsed="false">
      <c r="A184" s="1" t="n">
        <v>4016</v>
      </c>
      <c r="B184" s="1" t="n">
        <v>8130</v>
      </c>
      <c r="C18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LUPA NORMAL 6V/2W S/C</v>
      </c>
      <c r="D184" s="75" t="n">
        <v>46036</v>
      </c>
      <c r="E18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18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184" s="1" t="n">
        <v>40</v>
      </c>
      <c r="I184" s="1" t="n">
        <f aca="false">(salidas26[[#This Row],[CANT JUEGOS ]]*salidas26[[#This Row],[PRECIO JUEGO]])</f>
        <v>0</v>
      </c>
      <c r="J184" s="1" t="n">
        <f aca="false">(salidas26[[#This Row],[CANT BARRAS]]*salidas26[[#This Row],[PRECIO BARRA]])</f>
        <v>140</v>
      </c>
      <c r="K184" s="1" t="n">
        <v>140</v>
      </c>
      <c r="L184" s="1" t="s">
        <v>533</v>
      </c>
      <c r="M184" s="1" t="s">
        <v>503</v>
      </c>
    </row>
    <row r="185" customFormat="false" ht="15" hidden="false" customHeight="false" outlineLevel="0" collapsed="false">
      <c r="A185" s="1" t="n">
        <v>4017</v>
      </c>
      <c r="B185" s="1" t="n">
        <v>2087</v>
      </c>
      <c r="C18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UN58NU7100 /2B EDGE</v>
      </c>
      <c r="D185" s="75" t="n">
        <v>46036</v>
      </c>
      <c r="E18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18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120</v>
      </c>
      <c r="G185" s="1" t="n">
        <v>1</v>
      </c>
      <c r="I185" s="1" t="n">
        <f aca="false">(salidas26[[#This Row],[CANT JUEGOS ]]*salidas26[[#This Row],[PRECIO JUEGO]])</f>
        <v>240</v>
      </c>
      <c r="J185" s="1" t="n">
        <f aca="false">(salidas26[[#This Row],[CANT BARRAS]]*salidas26[[#This Row],[PRECIO BARRA]])</f>
        <v>0</v>
      </c>
      <c r="K185" s="1" t="n">
        <v>220</v>
      </c>
      <c r="L185" s="1" t="s">
        <v>533</v>
      </c>
      <c r="M185" s="1" t="s">
        <v>503</v>
      </c>
    </row>
    <row r="186" s="1" customFormat="true" ht="15" hidden="false" customHeight="false" outlineLevel="0" collapsed="false">
      <c r="A186" s="1" t="n">
        <v>4019</v>
      </c>
      <c r="B186" s="1" t="n">
        <v>6015</v>
      </c>
      <c r="C18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49L4700 TOSHIBA 4B/8L</v>
      </c>
      <c r="D186" s="75" t="n">
        <v>46036</v>
      </c>
      <c r="E18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18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186" s="1" t="n">
        <v>1</v>
      </c>
      <c r="I186" s="1" t="n">
        <f aca="false">(salidas26[[#This Row],[CANT JUEGOS ]]*salidas26[[#This Row],[PRECIO JUEGO]])</f>
        <v>220</v>
      </c>
      <c r="J186" s="1" t="n">
        <f aca="false">(salidas26[[#This Row],[CANT BARRAS]]*salidas26[[#This Row],[PRECIO BARRA]])</f>
        <v>0</v>
      </c>
      <c r="K186" s="1" t="n">
        <v>200</v>
      </c>
      <c r="L186" s="1" t="s">
        <v>533</v>
      </c>
      <c r="M186" s="1" t="s">
        <v>508</v>
      </c>
    </row>
    <row r="187" customFormat="false" ht="15" hidden="false" customHeight="false" outlineLevel="0" collapsed="false">
      <c r="A187" s="1" t="n">
        <v>4020</v>
      </c>
      <c r="B187" s="1" t="n">
        <v>2000</v>
      </c>
      <c r="C18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D187" s="75" t="n">
        <v>46037</v>
      </c>
      <c r="E18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18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187" s="1" t="n">
        <v>1</v>
      </c>
      <c r="I187" s="1" t="n">
        <f aca="false">(salidas26[[#This Row],[CANT JUEGOS ]]*salidas26[[#This Row],[PRECIO JUEGO]])</f>
        <v>80</v>
      </c>
      <c r="J187" s="1" t="n">
        <f aca="false">(salidas26[[#This Row],[CANT BARRAS]]*salidas26[[#This Row],[PRECIO BARRA]])</f>
        <v>0</v>
      </c>
      <c r="K187" s="1" t="n">
        <v>70</v>
      </c>
      <c r="L187" s="1" t="s">
        <v>502</v>
      </c>
      <c r="M187" s="1" t="s">
        <v>518</v>
      </c>
    </row>
    <row r="188" s="1" customFormat="true" ht="15" hidden="false" customHeight="false" outlineLevel="0" collapsed="false">
      <c r="A188" s="1" t="n">
        <v>4021</v>
      </c>
      <c r="B188" s="1" t="n">
        <v>1132</v>
      </c>
      <c r="C18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55UH8500/2B</v>
      </c>
      <c r="D188" s="75" t="n">
        <v>46037</v>
      </c>
      <c r="E18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18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130</v>
      </c>
      <c r="G188" s="1" t="n">
        <v>1</v>
      </c>
      <c r="I188" s="1" t="n">
        <f aca="false">(salidas26[[#This Row],[CANT JUEGOS ]]*salidas26[[#This Row],[PRECIO JUEGO]])</f>
        <v>260</v>
      </c>
      <c r="J188" s="1" t="n">
        <f aca="false">(salidas26[[#This Row],[CANT BARRAS]]*salidas26[[#This Row],[PRECIO BARRA]])</f>
        <v>0</v>
      </c>
      <c r="K188" s="1" t="n">
        <v>250</v>
      </c>
      <c r="L188" s="1" t="s">
        <v>533</v>
      </c>
      <c r="M188" s="1" t="s">
        <v>580</v>
      </c>
    </row>
    <row r="189" s="1" customFormat="true" ht="15" hidden="false" customHeight="false" outlineLevel="0" collapsed="false">
      <c r="A189" s="1" t="n">
        <v>4022</v>
      </c>
      <c r="B189" s="1" t="n">
        <v>2075</v>
      </c>
      <c r="C18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UN55NU7100-UN55RU7100/2B EDGE</v>
      </c>
      <c r="D189" s="75" t="n">
        <v>46037</v>
      </c>
      <c r="E18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18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100</v>
      </c>
      <c r="G189" s="1" t="n">
        <v>1</v>
      </c>
      <c r="I189" s="1" t="n">
        <f aca="false">(salidas26[[#This Row],[CANT JUEGOS ]]*salidas26[[#This Row],[PRECIO JUEGO]])</f>
        <v>200</v>
      </c>
      <c r="J189" s="1" t="n">
        <f aca="false">(salidas26[[#This Row],[CANT BARRAS]]*salidas26[[#This Row],[PRECIO BARRA]])</f>
        <v>0</v>
      </c>
      <c r="K189" s="1" t="n">
        <v>200</v>
      </c>
      <c r="L189" s="1" t="s">
        <v>533</v>
      </c>
      <c r="M189" s="1" t="s">
        <v>580</v>
      </c>
    </row>
    <row r="190" customFormat="false" ht="15" hidden="false" customHeight="false" outlineLevel="0" collapsed="false">
      <c r="A190" s="1" t="n">
        <v>4023</v>
      </c>
      <c r="B190" s="1" t="n">
        <v>2000</v>
      </c>
      <c r="C19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D190" s="75" t="n">
        <v>46037</v>
      </c>
      <c r="E19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19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190" s="1" t="n">
        <v>1</v>
      </c>
      <c r="I190" s="1" t="n">
        <f aca="false">(salidas26[[#This Row],[CANT JUEGOS ]]*salidas26[[#This Row],[PRECIO JUEGO]])</f>
        <v>80</v>
      </c>
      <c r="J190" s="1" t="n">
        <f aca="false">(salidas26[[#This Row],[CANT BARRAS]]*salidas26[[#This Row],[PRECIO BARRA]])</f>
        <v>0</v>
      </c>
      <c r="K190" s="1" t="n">
        <v>70</v>
      </c>
      <c r="L190" s="1" t="s">
        <v>502</v>
      </c>
      <c r="M190" s="1" t="s">
        <v>519</v>
      </c>
    </row>
    <row r="191" customFormat="false" ht="15" hidden="false" customHeight="false" outlineLevel="0" collapsed="false">
      <c r="A191" s="1" t="n">
        <v>4024</v>
      </c>
      <c r="B191" s="1" t="n">
        <v>2090</v>
      </c>
      <c r="C19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UN58FH/12B</v>
      </c>
      <c r="D191" s="75" t="n">
        <v>46037</v>
      </c>
      <c r="E19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19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29.1666666666667</v>
      </c>
      <c r="G191" s="1" t="n">
        <v>1</v>
      </c>
      <c r="I191" s="1" t="n">
        <f aca="false">(salidas26[[#This Row],[CANT JUEGOS ]]*salidas26[[#This Row],[PRECIO JUEGO]])</f>
        <v>350</v>
      </c>
      <c r="J191" s="1" t="n">
        <f aca="false">(salidas26[[#This Row],[CANT BARRAS]]*salidas26[[#This Row],[PRECIO BARRA]])</f>
        <v>0</v>
      </c>
      <c r="K191" s="1" t="n">
        <v>350</v>
      </c>
      <c r="L191" s="1" t="s">
        <v>502</v>
      </c>
      <c r="M191" s="1" t="s">
        <v>581</v>
      </c>
    </row>
    <row r="192" customFormat="false" ht="15" hidden="false" customHeight="false" outlineLevel="0" collapsed="false">
      <c r="B192" s="1" t="n">
        <v>5006</v>
      </c>
      <c r="C19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KDL-32R304B/3B</v>
      </c>
      <c r="D192" s="75" t="n">
        <v>46037</v>
      </c>
      <c r="E19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19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92" s="1" t="n">
        <v>1</v>
      </c>
      <c r="I192" s="1" t="n">
        <f aca="false">(salidas26[[#This Row],[CANT JUEGOS ]]*salidas26[[#This Row],[PRECIO JUEGO]])</f>
        <v>90</v>
      </c>
      <c r="J192" s="1" t="n">
        <f aca="false">(salidas26[[#This Row],[CANT BARRAS]]*salidas26[[#This Row],[PRECIO BARRA]])</f>
        <v>0</v>
      </c>
      <c r="M192" s="1" t="s">
        <v>541</v>
      </c>
    </row>
    <row r="193" customFormat="false" ht="15" hidden="false" customHeight="false" outlineLevel="0" collapsed="false">
      <c r="A193" s="1" t="n">
        <v>4025</v>
      </c>
      <c r="B193" s="1" t="n">
        <v>5006</v>
      </c>
      <c r="C19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KDL-32R304B/3B</v>
      </c>
      <c r="D193" s="75" t="n">
        <v>46037</v>
      </c>
      <c r="E19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19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H193" s="1" t="n">
        <v>2</v>
      </c>
      <c r="I193" s="1" t="n">
        <f aca="false">(salidas26[[#This Row],[CANT JUEGOS ]]*salidas26[[#This Row],[PRECIO JUEGO]])</f>
        <v>0</v>
      </c>
      <c r="J193" s="1" t="n">
        <f aca="false">(salidas26[[#This Row],[CANT BARRAS]]*salidas26[[#This Row],[PRECIO BARRA]])</f>
        <v>60</v>
      </c>
      <c r="K193" s="1" t="n">
        <v>60</v>
      </c>
      <c r="L193" s="1" t="s">
        <v>502</v>
      </c>
      <c r="M193" s="1" t="s">
        <v>581</v>
      </c>
    </row>
    <row r="194" customFormat="false" ht="15" hidden="false" customHeight="false" outlineLevel="0" collapsed="false">
      <c r="A194" s="1" t="n">
        <v>4026</v>
      </c>
      <c r="B194" s="1" t="n">
        <v>6024</v>
      </c>
      <c r="C19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U7700 TOSHIBA 12B  3V 6L </v>
      </c>
      <c r="D194" s="75" t="n">
        <v>46037</v>
      </c>
      <c r="E19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19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25</v>
      </c>
      <c r="G194" s="1" t="n">
        <v>1</v>
      </c>
      <c r="I194" s="1" t="n">
        <f aca="false">(salidas26[[#This Row],[CANT JUEGOS ]]*salidas26[[#This Row],[PRECIO JUEGO]])</f>
        <v>300</v>
      </c>
      <c r="J194" s="1" t="n">
        <f aca="false">(salidas26[[#This Row],[CANT BARRAS]]*salidas26[[#This Row],[PRECIO BARRA]])</f>
        <v>0</v>
      </c>
      <c r="K194" s="1" t="n">
        <v>300</v>
      </c>
      <c r="L194" s="1" t="s">
        <v>502</v>
      </c>
      <c r="M194" s="1" t="s">
        <v>503</v>
      </c>
    </row>
    <row r="195" customFormat="false" ht="15" hidden="false" customHeight="false" outlineLevel="0" collapsed="false">
      <c r="A195" s="1" t="n">
        <v>4028</v>
      </c>
      <c r="B195" s="1" t="n">
        <v>4002</v>
      </c>
      <c r="C19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 S780 6L/6V -2B</v>
      </c>
      <c r="D195" s="75" t="n">
        <v>46037</v>
      </c>
      <c r="E19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19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95" s="1" t="n">
        <v>1</v>
      </c>
      <c r="I195" s="1" t="n">
        <f aca="false">(salidas26[[#This Row],[CANT JUEGOS ]]*salidas26[[#This Row],[PRECIO JUEGO]])</f>
        <v>60</v>
      </c>
      <c r="J195" s="1" t="n">
        <f aca="false">(salidas26[[#This Row],[CANT BARRAS]]*salidas26[[#This Row],[PRECIO BARRA]])</f>
        <v>0</v>
      </c>
      <c r="K195" s="1" t="n">
        <v>60</v>
      </c>
      <c r="L195" s="1" t="s">
        <v>502</v>
      </c>
      <c r="M195" s="1" t="s">
        <v>518</v>
      </c>
    </row>
    <row r="196" customFormat="false" ht="15" hidden="false" customHeight="false" outlineLevel="0" collapsed="false">
      <c r="A196" s="1" t="n">
        <v>4029</v>
      </c>
      <c r="B196" s="1" t="n">
        <v>4015</v>
      </c>
      <c r="C19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49-DAeWO/ 9B EL JUEGO</v>
      </c>
      <c r="D196" s="75" t="n">
        <v>46037</v>
      </c>
      <c r="E19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19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22.2222222222222</v>
      </c>
      <c r="G196" s="1" t="n">
        <v>1</v>
      </c>
      <c r="I196" s="1" t="n">
        <f aca="false">(salidas26[[#This Row],[CANT JUEGOS ]]*salidas26[[#This Row],[PRECIO JUEGO]])</f>
        <v>200</v>
      </c>
      <c r="J196" s="1" t="n">
        <f aca="false">(salidas26[[#This Row],[CANT BARRAS]]*salidas26[[#This Row],[PRECIO BARRA]])</f>
        <v>0</v>
      </c>
      <c r="K196" s="1" t="n">
        <v>210</v>
      </c>
      <c r="L196" s="1" t="s">
        <v>533</v>
      </c>
      <c r="M196" s="1" t="s">
        <v>582</v>
      </c>
    </row>
    <row r="197" s="1" customFormat="true" ht="15" hidden="false" customHeight="false" outlineLevel="0" collapsed="false">
      <c r="A197" s="1" t="n">
        <v>4030</v>
      </c>
      <c r="B197" s="1" t="n">
        <v>2036</v>
      </c>
      <c r="C19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UN46FH6203-46FH5005/8B</v>
      </c>
      <c r="D197" s="75" t="n">
        <v>46037</v>
      </c>
      <c r="E19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19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27.5</v>
      </c>
      <c r="G197" s="1" t="n">
        <v>1</v>
      </c>
      <c r="I197" s="1" t="n">
        <f aca="false">(salidas26[[#This Row],[CANT JUEGOS ]]*salidas26[[#This Row],[PRECIO JUEGO]])</f>
        <v>220</v>
      </c>
      <c r="J197" s="1" t="n">
        <f aca="false">(salidas26[[#This Row],[CANT BARRAS]]*salidas26[[#This Row],[PRECIO BARRA]])</f>
        <v>0</v>
      </c>
      <c r="K197" s="1" t="n">
        <v>220</v>
      </c>
      <c r="L197" s="1" t="s">
        <v>502</v>
      </c>
      <c r="M197" s="1" t="s">
        <v>510</v>
      </c>
    </row>
    <row r="198" customFormat="false" ht="15" hidden="false" customHeight="false" outlineLevel="0" collapsed="false">
      <c r="A198" s="1" t="n">
        <v>4031</v>
      </c>
      <c r="B198" s="1" t="n">
        <v>2027</v>
      </c>
      <c r="C19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UN43J5290/8B</v>
      </c>
      <c r="D198" s="75" t="n">
        <v>46037</v>
      </c>
      <c r="E19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9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198" s="1" t="n">
        <v>1</v>
      </c>
      <c r="I198" s="1" t="n">
        <f aca="false">(salidas26[[#This Row],[CANT JUEGOS ]]*salidas26[[#This Row],[PRECIO JUEGO]])</f>
        <v>180</v>
      </c>
      <c r="J198" s="1" t="n">
        <f aca="false">(salidas26[[#This Row],[CANT BARRAS]]*salidas26[[#This Row],[PRECIO BARRA]])</f>
        <v>0</v>
      </c>
      <c r="K198" s="1" t="n">
        <v>180</v>
      </c>
      <c r="L198" s="1" t="s">
        <v>533</v>
      </c>
      <c r="M198" s="1" t="s">
        <v>583</v>
      </c>
    </row>
    <row r="199" s="1" customFormat="true" ht="15" hidden="false" customHeight="false" outlineLevel="0" collapsed="false">
      <c r="A199" s="1" t="n">
        <v>4032</v>
      </c>
      <c r="B199" s="1" t="n">
        <v>5006</v>
      </c>
      <c r="C19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KDL-32R304B/3B</v>
      </c>
      <c r="D199" s="75" t="n">
        <v>46037</v>
      </c>
      <c r="E19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19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99" s="1" t="n">
        <v>1</v>
      </c>
      <c r="I199" s="1" t="n">
        <f aca="false">(salidas26[[#This Row],[CANT JUEGOS ]]*salidas26[[#This Row],[PRECIO JUEGO]])</f>
        <v>90</v>
      </c>
      <c r="J199" s="1" t="n">
        <f aca="false">(salidas26[[#This Row],[CANT BARRAS]]*salidas26[[#This Row],[PRECIO BARRA]])</f>
        <v>0</v>
      </c>
      <c r="K199" s="1" t="n">
        <v>90</v>
      </c>
      <c r="L199" s="1" t="s">
        <v>533</v>
      </c>
      <c r="M199" s="1" t="s">
        <v>505</v>
      </c>
    </row>
    <row r="200" customFormat="false" ht="15" hidden="false" customHeight="false" outlineLevel="0" collapsed="false">
      <c r="A200" s="1" t="n">
        <v>4033</v>
      </c>
      <c r="B200" s="1" t="n">
        <v>2072</v>
      </c>
      <c r="C20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UN55H6400/12B</v>
      </c>
      <c r="D200" s="75" t="n">
        <v>46037</v>
      </c>
      <c r="E20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480</v>
      </c>
      <c r="F20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200" s="1" t="n">
        <v>1</v>
      </c>
      <c r="I200" s="1" t="n">
        <f aca="false">(salidas26[[#This Row],[CANT JUEGOS ]]*salidas26[[#This Row],[PRECIO JUEGO]])</f>
        <v>480</v>
      </c>
      <c r="J200" s="1" t="n">
        <f aca="false">(salidas26[[#This Row],[CANT BARRAS]]*salidas26[[#This Row],[PRECIO BARRA]])</f>
        <v>0</v>
      </c>
      <c r="K200" s="1" t="n">
        <v>450</v>
      </c>
      <c r="L200" s="1" t="s">
        <v>533</v>
      </c>
      <c r="M200" s="1" t="s">
        <v>538</v>
      </c>
    </row>
    <row r="201" customFormat="false" ht="15" hidden="false" customHeight="false" outlineLevel="0" collapsed="false">
      <c r="A201" s="1" t="n">
        <v>4034</v>
      </c>
      <c r="B201" s="1" t="n">
        <v>2021</v>
      </c>
      <c r="C20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UN40F5000-F6400/14 B</v>
      </c>
      <c r="D201" s="75" t="n">
        <v>46037</v>
      </c>
      <c r="E20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20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18.5714285714286</v>
      </c>
      <c r="G201" s="1" t="n">
        <v>1</v>
      </c>
      <c r="I201" s="1" t="n">
        <f aca="false">(salidas26[[#This Row],[CANT JUEGOS ]]*salidas26[[#This Row],[PRECIO JUEGO]])</f>
        <v>260</v>
      </c>
      <c r="J201" s="1" t="n">
        <f aca="false">(salidas26[[#This Row],[CANT BARRAS]]*salidas26[[#This Row],[PRECIO BARRA]])</f>
        <v>0</v>
      </c>
      <c r="K201" s="1" t="n">
        <v>250</v>
      </c>
      <c r="L201" s="1" t="s">
        <v>533</v>
      </c>
      <c r="M201" s="1" t="s">
        <v>538</v>
      </c>
    </row>
    <row r="202" s="77" customFormat="true" ht="31.3" hidden="false" customHeight="false" outlineLevel="0" collapsed="false">
      <c r="A202" s="77" t="n">
        <v>4036</v>
      </c>
      <c r="B202" s="83" t="n">
        <v>8012</v>
      </c>
      <c r="C202" s="84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CHANCHONG CD1000 8L/3V/DIF. 180/3B 
32 CHANCHONG CD2000U 4B A 150 BS</v>
      </c>
      <c r="D202" s="78" t="n">
        <v>46037</v>
      </c>
      <c r="E202" s="77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100</v>
      </c>
      <c r="F202" s="77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202" s="77" t="n">
        <v>1</v>
      </c>
      <c r="H202" s="77" t="n">
        <v>1</v>
      </c>
      <c r="I202" s="77" t="n">
        <f aca="false">(salidas26[[#This Row],[CANT JUEGOS ]]*salidas26[[#This Row],[PRECIO JUEGO]])</f>
        <v>100</v>
      </c>
      <c r="J202" s="77" t="n">
        <f aca="false">(salidas26[[#This Row],[CANT BARRAS]]*salidas26[[#This Row],[PRECIO BARRA]])</f>
        <v>50</v>
      </c>
      <c r="K202" s="77" t="n">
        <v>180</v>
      </c>
      <c r="L202" s="77" t="s">
        <v>502</v>
      </c>
      <c r="M202" s="77" t="s">
        <v>532</v>
      </c>
    </row>
    <row r="203" customFormat="false" ht="15" hidden="false" customHeight="false" outlineLevel="0" collapsed="false">
      <c r="A203" s="1" t="n">
        <v>4037</v>
      </c>
      <c r="B203" s="1" t="n">
        <v>1069</v>
      </c>
      <c r="C20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47LB6500- 8B/6V</v>
      </c>
      <c r="D203" s="75" t="n">
        <v>46037</v>
      </c>
      <c r="E20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20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31.25</v>
      </c>
      <c r="G203" s="1" t="n">
        <v>1</v>
      </c>
      <c r="I203" s="1" t="n">
        <f aca="false">(salidas26[[#This Row],[CANT JUEGOS ]]*salidas26[[#This Row],[PRECIO JUEGO]])</f>
        <v>250</v>
      </c>
      <c r="J203" s="1" t="n">
        <f aca="false">(salidas26[[#This Row],[CANT BARRAS]]*salidas26[[#This Row],[PRECIO BARRA]])</f>
        <v>0</v>
      </c>
      <c r="K203" s="1" t="n">
        <v>250</v>
      </c>
      <c r="L203" s="1" t="s">
        <v>533</v>
      </c>
      <c r="M203" s="1" t="s">
        <v>584</v>
      </c>
    </row>
    <row r="204" customFormat="false" ht="15" hidden="false" customHeight="false" outlineLevel="0" collapsed="false">
      <c r="A204" s="1" t="n">
        <v>4038</v>
      </c>
      <c r="B204" s="1" t="n">
        <v>2012</v>
      </c>
      <c r="C20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UN40J5000 -40J5200-40M5000 8L/3B</v>
      </c>
      <c r="D204" s="75" t="n">
        <v>46037</v>
      </c>
      <c r="E20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20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204" s="1" t="n">
        <v>1</v>
      </c>
      <c r="I204" s="1" t="n">
        <f aca="false">(salidas26[[#This Row],[CANT JUEGOS ]]*salidas26[[#This Row],[PRECIO JUEGO]])</f>
        <v>160</v>
      </c>
      <c r="J204" s="1" t="n">
        <f aca="false">(salidas26[[#This Row],[CANT BARRAS]]*salidas26[[#This Row],[PRECIO BARRA]])</f>
        <v>0</v>
      </c>
      <c r="K204" s="1" t="n">
        <v>150</v>
      </c>
      <c r="L204" s="1" t="s">
        <v>502</v>
      </c>
      <c r="M204" s="1" t="s">
        <v>518</v>
      </c>
    </row>
    <row r="205" customFormat="false" ht="15" hidden="false" customHeight="false" outlineLevel="0" collapsed="false">
      <c r="A205" s="1" t="n">
        <v>4039</v>
      </c>
      <c r="B205" s="67" t="n">
        <v>8123</v>
      </c>
      <c r="C20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3V/2W S/C  DIF. 180º</v>
      </c>
      <c r="D205" s="75" t="n">
        <v>46037</v>
      </c>
      <c r="E20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20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205" s="1" t="n">
        <v>30</v>
      </c>
      <c r="I205" s="1" t="n">
        <f aca="false">(salidas26[[#This Row],[CANT JUEGOS ]]*salidas26[[#This Row],[PRECIO JUEGO]])</f>
        <v>0</v>
      </c>
      <c r="J205" s="1" t="n">
        <f aca="false">(salidas26[[#This Row],[CANT BARRAS]]*salidas26[[#This Row],[PRECIO BARRA]])</f>
        <v>105</v>
      </c>
      <c r="K205" s="1" t="n">
        <v>105</v>
      </c>
      <c r="L205" s="1" t="s">
        <v>502</v>
      </c>
      <c r="M205" s="1" t="s">
        <v>503</v>
      </c>
    </row>
    <row r="206" customFormat="false" ht="15" hidden="false" customHeight="false" outlineLevel="0" collapsed="false">
      <c r="A206" s="1" t="n">
        <v>4040</v>
      </c>
      <c r="B206" s="1" t="n">
        <v>8003</v>
      </c>
      <c r="C20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24 PULG</v>
      </c>
      <c r="D206" s="75" t="n">
        <v>46037</v>
      </c>
      <c r="E20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20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H206" s="1" t="n">
        <v>1</v>
      </c>
      <c r="I206" s="1" t="n">
        <f aca="false">(salidas26[[#This Row],[CANT JUEGOS ]]*salidas26[[#This Row],[PRECIO JUEGO]])</f>
        <v>0</v>
      </c>
      <c r="J206" s="1" t="n">
        <f aca="false">(salidas26[[#This Row],[CANT BARRAS]]*salidas26[[#This Row],[PRECIO BARRA]])</f>
        <v>35</v>
      </c>
      <c r="K206" s="1" t="n">
        <v>60</v>
      </c>
      <c r="L206" s="1" t="s">
        <v>502</v>
      </c>
      <c r="M206" s="1" t="s">
        <v>585</v>
      </c>
    </row>
    <row r="207" customFormat="false" ht="15" hidden="false" customHeight="false" outlineLevel="0" collapsed="false">
      <c r="A207" s="1" t="n">
        <v>4042</v>
      </c>
      <c r="B207" s="1" t="n">
        <v>1141</v>
      </c>
      <c r="C20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60LB6500/12B/6V</v>
      </c>
      <c r="D207" s="75" t="n">
        <v>46037</v>
      </c>
      <c r="E20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450</v>
      </c>
      <c r="F20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37.5</v>
      </c>
      <c r="G207" s="1" t="n">
        <v>1</v>
      </c>
      <c r="I207" s="1" t="n">
        <f aca="false">(salidas26[[#This Row],[CANT JUEGOS ]]*salidas26[[#This Row],[PRECIO JUEGO]])</f>
        <v>450</v>
      </c>
      <c r="J207" s="1" t="n">
        <f aca="false">(salidas26[[#This Row],[CANT BARRAS]]*salidas26[[#This Row],[PRECIO BARRA]])</f>
        <v>0</v>
      </c>
      <c r="K207" s="1" t="n">
        <v>495</v>
      </c>
      <c r="L207" s="1" t="s">
        <v>533</v>
      </c>
      <c r="M207" s="1" t="s">
        <v>546</v>
      </c>
    </row>
    <row r="208" s="1" customFormat="true" ht="15" hidden="false" customHeight="false" outlineLevel="0" collapsed="false">
      <c r="A208" s="1" t="n">
        <v>4043</v>
      </c>
      <c r="B208" s="1" t="n">
        <v>2048</v>
      </c>
      <c r="C20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UN49 NU7100/2B EDGE</v>
      </c>
      <c r="D208" s="75" t="n">
        <v>46037</v>
      </c>
      <c r="E20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20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90</v>
      </c>
      <c r="G208" s="1" t="n">
        <v>2</v>
      </c>
      <c r="I208" s="1" t="n">
        <f aca="false">(salidas26[[#This Row],[CANT JUEGOS ]]*salidas26[[#This Row],[PRECIO JUEGO]])</f>
        <v>360</v>
      </c>
      <c r="J208" s="1" t="n">
        <f aca="false">(salidas26[[#This Row],[CANT BARRAS]]*salidas26[[#This Row],[PRECIO BARRA]])</f>
        <v>0</v>
      </c>
      <c r="K208" s="1" t="n">
        <v>300</v>
      </c>
      <c r="L208" s="1" t="s">
        <v>502</v>
      </c>
      <c r="M208" s="1" t="s">
        <v>527</v>
      </c>
    </row>
    <row r="209" customFormat="false" ht="15" hidden="false" customHeight="false" outlineLevel="0" collapsed="false">
      <c r="A209" s="1" t="n">
        <v>4044</v>
      </c>
      <c r="B209" s="1" t="n">
        <v>1012</v>
      </c>
      <c r="C20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32LB620B-32LF620B -3B/6V/6L</v>
      </c>
      <c r="D209" s="75" t="n">
        <v>46038</v>
      </c>
      <c r="E20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20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209" s="1" t="n">
        <v>1</v>
      </c>
      <c r="I209" s="1" t="n">
        <f aca="false">(salidas26[[#This Row],[CANT JUEGOS ]]*salidas26[[#This Row],[PRECIO JUEGO]])</f>
        <v>90</v>
      </c>
      <c r="J209" s="1" t="n">
        <f aca="false">(salidas26[[#This Row],[CANT BARRAS]]*salidas26[[#This Row],[PRECIO BARRA]])</f>
        <v>0</v>
      </c>
      <c r="K209" s="1" t="n">
        <v>90</v>
      </c>
      <c r="L209" s="1" t="s">
        <v>502</v>
      </c>
      <c r="M209" s="1" t="s">
        <v>569</v>
      </c>
    </row>
    <row r="210" customFormat="false" ht="15" hidden="false" customHeight="false" outlineLevel="0" collapsed="false">
      <c r="A210" s="1" t="n">
        <v>4045</v>
      </c>
      <c r="B210" s="1" t="n">
        <v>2000</v>
      </c>
      <c r="C21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D210" s="75" t="n">
        <v>46038</v>
      </c>
      <c r="E21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21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210" s="1" t="n">
        <v>1</v>
      </c>
      <c r="I210" s="1" t="n">
        <f aca="false">(salidas26[[#This Row],[CANT JUEGOS ]]*salidas26[[#This Row],[PRECIO JUEGO]])</f>
        <v>80</v>
      </c>
      <c r="J210" s="1" t="n">
        <f aca="false">(salidas26[[#This Row],[CANT BARRAS]]*salidas26[[#This Row],[PRECIO BARRA]])</f>
        <v>0</v>
      </c>
      <c r="K210" s="1" t="n">
        <v>90</v>
      </c>
      <c r="L210" s="1" t="s">
        <v>533</v>
      </c>
      <c r="M210" s="1" t="s">
        <v>569</v>
      </c>
    </row>
    <row r="211" customFormat="false" ht="15" hidden="false" customHeight="false" outlineLevel="0" collapsed="false">
      <c r="A211" s="1" t="n">
        <v>4046</v>
      </c>
      <c r="B211" s="1" t="n">
        <v>8100</v>
      </c>
      <c r="C21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JVC 58KB527</v>
      </c>
      <c r="D211" s="75" t="n">
        <v>46038</v>
      </c>
      <c r="E21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21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211" s="1" t="n">
        <v>1</v>
      </c>
      <c r="I211" s="1" t="n">
        <f aca="false">(salidas26[[#This Row],[CANT JUEGOS ]]*salidas26[[#This Row],[PRECIO JUEGO]])</f>
        <v>300</v>
      </c>
      <c r="J211" s="1" t="n">
        <f aca="false">(salidas26[[#This Row],[CANT BARRAS]]*salidas26[[#This Row],[PRECIO BARRA]])</f>
        <v>0</v>
      </c>
      <c r="K211" s="1" t="n">
        <v>280</v>
      </c>
      <c r="L211" s="1" t="s">
        <v>502</v>
      </c>
      <c r="M211" s="1" t="s">
        <v>518</v>
      </c>
    </row>
    <row r="212" customFormat="false" ht="15" hidden="false" customHeight="false" outlineLevel="0" collapsed="false">
      <c r="A212" s="1" t="n">
        <v>4047</v>
      </c>
      <c r="B212" s="1" t="n">
        <v>8123</v>
      </c>
      <c r="C21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3V/2W S/C  DIF. 180º</v>
      </c>
      <c r="D212" s="75" t="n">
        <v>46038</v>
      </c>
      <c r="E21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21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212" s="1" t="n">
        <v>10</v>
      </c>
      <c r="I212" s="1" t="n">
        <f aca="false">(salidas26[[#This Row],[CANT JUEGOS ]]*salidas26[[#This Row],[PRECIO JUEGO]])</f>
        <v>0</v>
      </c>
      <c r="J212" s="1" t="n">
        <f aca="false">(salidas26[[#This Row],[CANT BARRAS]]*salidas26[[#This Row],[PRECIO BARRA]])</f>
        <v>35</v>
      </c>
      <c r="K212" s="1" t="n">
        <v>35</v>
      </c>
      <c r="L212" s="1" t="s">
        <v>502</v>
      </c>
      <c r="M212" s="1" t="s">
        <v>569</v>
      </c>
    </row>
    <row r="213" s="1" customFormat="true" ht="15" hidden="false" customHeight="false" outlineLevel="0" collapsed="false">
      <c r="A213" s="1" t="n">
        <v>4048</v>
      </c>
      <c r="B213" s="1" t="n">
        <v>6021</v>
      </c>
      <c r="C21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MASTERG 55U4700 - 55 TOSHIBA 8B/5-6L</v>
      </c>
      <c r="D213" s="75" t="n">
        <v>46038</v>
      </c>
      <c r="E21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21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37.5</v>
      </c>
      <c r="G213" s="1" t="n">
        <v>1</v>
      </c>
      <c r="I213" s="1" t="n">
        <f aca="false">(salidas26[[#This Row],[CANT JUEGOS ]]*salidas26[[#This Row],[PRECIO JUEGO]])</f>
        <v>300</v>
      </c>
      <c r="J213" s="1" t="n">
        <f aca="false">(salidas26[[#This Row],[CANT BARRAS]]*salidas26[[#This Row],[PRECIO BARRA]])</f>
        <v>0</v>
      </c>
      <c r="K213" s="1" t="n">
        <v>300</v>
      </c>
      <c r="L213" s="1" t="s">
        <v>502</v>
      </c>
      <c r="M213" s="1" t="s">
        <v>586</v>
      </c>
    </row>
    <row r="214" customFormat="false" ht="15" hidden="false" customHeight="false" outlineLevel="0" collapsed="false">
      <c r="A214" s="1" t="n">
        <v>4049</v>
      </c>
      <c r="B214" s="1" t="n">
        <v>1102</v>
      </c>
      <c r="C21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50LA6200/12B/3V</v>
      </c>
      <c r="D214" s="75" t="n">
        <v>46038</v>
      </c>
      <c r="E21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21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23.3333333333333</v>
      </c>
      <c r="G214" s="1" t="n">
        <v>1</v>
      </c>
      <c r="I214" s="1" t="n">
        <f aca="false">(salidas26[[#This Row],[CANT JUEGOS ]]*salidas26[[#This Row],[PRECIO JUEGO]])</f>
        <v>280</v>
      </c>
      <c r="J214" s="1" t="n">
        <f aca="false">(salidas26[[#This Row],[CANT BARRAS]]*salidas26[[#This Row],[PRECIO BARRA]])</f>
        <v>0</v>
      </c>
      <c r="K214" s="1" t="n">
        <v>200</v>
      </c>
      <c r="L214" s="1" t="s">
        <v>533</v>
      </c>
      <c r="M214" s="1" t="s">
        <v>511</v>
      </c>
    </row>
    <row r="215" customFormat="false" ht="15" hidden="false" customHeight="false" outlineLevel="0" collapsed="false">
      <c r="A215" s="1" t="n">
        <v>4050</v>
      </c>
      <c r="B215" s="1" t="n">
        <v>1024</v>
      </c>
      <c r="C21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32LN5100- 3B/6L-6-7-6 POLA</v>
      </c>
      <c r="D215" s="75" t="n">
        <v>46038</v>
      </c>
      <c r="E21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100</v>
      </c>
      <c r="F21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215" s="1" t="n">
        <v>1</v>
      </c>
      <c r="I215" s="1" t="n">
        <f aca="false">(salidas26[[#This Row],[CANT JUEGOS ]]*salidas26[[#This Row],[PRECIO JUEGO]])</f>
        <v>100</v>
      </c>
      <c r="J215" s="1" t="n">
        <f aca="false">(salidas26[[#This Row],[CANT BARRAS]]*salidas26[[#This Row],[PRECIO BARRA]])</f>
        <v>0</v>
      </c>
      <c r="K215" s="1" t="n">
        <v>100</v>
      </c>
      <c r="L215" s="1" t="s">
        <v>502</v>
      </c>
      <c r="M215" s="1" t="s">
        <v>587</v>
      </c>
    </row>
    <row r="216" customFormat="false" ht="15" hidden="false" customHeight="false" outlineLevel="0" collapsed="false">
      <c r="A216" s="1" t="n">
        <v>4051</v>
      </c>
      <c r="B216" s="1" t="n">
        <v>4015</v>
      </c>
      <c r="C21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49-DAeWO/ 9B EL JUEGO</v>
      </c>
      <c r="D216" s="75" t="n">
        <v>46038</v>
      </c>
      <c r="E21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21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22.2222222222222</v>
      </c>
      <c r="G216" s="1" t="n">
        <v>1</v>
      </c>
      <c r="I216" s="1" t="n">
        <f aca="false">(salidas26[[#This Row],[CANT JUEGOS ]]*salidas26[[#This Row],[PRECIO JUEGO]])</f>
        <v>200</v>
      </c>
      <c r="J216" s="1" t="n">
        <f aca="false">(salidas26[[#This Row],[CANT BARRAS]]*salidas26[[#This Row],[PRECIO BARRA]])</f>
        <v>0</v>
      </c>
      <c r="K216" s="1" t="n">
        <v>210</v>
      </c>
      <c r="L216" s="1" t="s">
        <v>533</v>
      </c>
      <c r="M216" s="1" t="s">
        <v>582</v>
      </c>
    </row>
    <row r="217" customFormat="false" ht="15" hidden="false" customHeight="false" outlineLevel="0" collapsed="false">
      <c r="A217" s="1" t="n">
        <v>4052</v>
      </c>
      <c r="B217" s="1" t="n">
        <v>1078</v>
      </c>
      <c r="C21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49LB-LF/10B</v>
      </c>
      <c r="D217" s="75" t="n">
        <v>46038</v>
      </c>
      <c r="E21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21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28</v>
      </c>
      <c r="G217" s="1" t="n">
        <v>1</v>
      </c>
      <c r="I217" s="1" t="n">
        <f aca="false">(salidas26[[#This Row],[CANT JUEGOS ]]*salidas26[[#This Row],[PRECIO JUEGO]])</f>
        <v>280</v>
      </c>
      <c r="J217" s="1" t="n">
        <f aca="false">(salidas26[[#This Row],[CANT BARRAS]]*salidas26[[#This Row],[PRECIO BARRA]])</f>
        <v>0</v>
      </c>
      <c r="K217" s="1" t="n">
        <v>280</v>
      </c>
      <c r="L217" s="1" t="s">
        <v>502</v>
      </c>
      <c r="M217" s="1" t="s">
        <v>518</v>
      </c>
    </row>
    <row r="218" customFormat="false" ht="15" hidden="false" customHeight="false" outlineLevel="0" collapsed="false">
      <c r="A218" s="1" t="n">
        <v>4053</v>
      </c>
      <c r="B218" s="1" t="n">
        <v>8003</v>
      </c>
      <c r="C21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24 PULG</v>
      </c>
      <c r="D218" s="75" t="n">
        <v>46038</v>
      </c>
      <c r="E21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21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218" s="1" t="n">
        <v>1</v>
      </c>
      <c r="I218" s="1" t="n">
        <f aca="false">(salidas26[[#This Row],[CANT JUEGOS ]]*salidas26[[#This Row],[PRECIO JUEGO]])</f>
        <v>70</v>
      </c>
      <c r="J218" s="1" t="n">
        <f aca="false">(salidas26[[#This Row],[CANT BARRAS]]*salidas26[[#This Row],[PRECIO BARRA]])</f>
        <v>0</v>
      </c>
      <c r="K218" s="1" t="n">
        <v>70</v>
      </c>
      <c r="L218" s="1" t="s">
        <v>533</v>
      </c>
      <c r="M218" s="1" t="s">
        <v>568</v>
      </c>
    </row>
    <row r="219" customFormat="false" ht="15" hidden="false" customHeight="false" outlineLevel="0" collapsed="false">
      <c r="B219" s="1" t="n">
        <v>2003</v>
      </c>
      <c r="C21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UN32F5000-SAMSUNG 5B</v>
      </c>
      <c r="D219" s="75" t="n">
        <v>46038</v>
      </c>
      <c r="E21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130</v>
      </c>
      <c r="F21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</v>
      </c>
      <c r="G219" s="1" t="n">
        <v>1</v>
      </c>
      <c r="I219" s="1" t="n">
        <f aca="false">(salidas26[[#This Row],[CANT JUEGOS ]]*salidas26[[#This Row],[PRECIO JUEGO]])</f>
        <v>130</v>
      </c>
      <c r="J219" s="1" t="n">
        <f aca="false">(salidas26[[#This Row],[CANT BARRAS]]*salidas26[[#This Row],[PRECIO BARRA]])</f>
        <v>0</v>
      </c>
      <c r="M219" s="1" t="s">
        <v>541</v>
      </c>
    </row>
    <row r="220" customFormat="false" ht="15" hidden="false" customHeight="false" outlineLevel="0" collapsed="false">
      <c r="A220" s="1" t="n">
        <v>4055</v>
      </c>
      <c r="B220" s="1" t="n">
        <v>2003</v>
      </c>
      <c r="C22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UN32F5000-SAMSUNG 5B</v>
      </c>
      <c r="D220" s="75" t="n">
        <v>46038</v>
      </c>
      <c r="E22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130</v>
      </c>
      <c r="F22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</v>
      </c>
      <c r="H220" s="1" t="n">
        <v>2</v>
      </c>
      <c r="I220" s="1" t="n">
        <f aca="false">(salidas26[[#This Row],[CANT JUEGOS ]]*salidas26[[#This Row],[PRECIO JUEGO]])</f>
        <v>0</v>
      </c>
      <c r="J220" s="1" t="n">
        <f aca="false">(salidas26[[#This Row],[CANT BARRAS]]*salidas26[[#This Row],[PRECIO BARRA]])</f>
        <v>52</v>
      </c>
      <c r="K220" s="1" t="n">
        <v>50</v>
      </c>
      <c r="L220" s="1" t="s">
        <v>502</v>
      </c>
      <c r="M220" s="1" t="s">
        <v>527</v>
      </c>
    </row>
    <row r="221" customFormat="false" ht="15" hidden="false" customHeight="false" outlineLevel="0" collapsed="false">
      <c r="B221" s="1" t="n">
        <v>4010</v>
      </c>
      <c r="C22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DAEWO S780 3B/8LED/3V</v>
      </c>
      <c r="D221" s="75" t="n">
        <v>46038</v>
      </c>
      <c r="E22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22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221" s="1" t="n">
        <v>1</v>
      </c>
      <c r="I221" s="1" t="n">
        <f aca="false">(salidas26[[#This Row],[CANT JUEGOS ]]*salidas26[[#This Row],[PRECIO JUEGO]])</f>
        <v>160</v>
      </c>
      <c r="J221" s="1" t="n">
        <f aca="false">(salidas26[[#This Row],[CANT BARRAS]]*salidas26[[#This Row],[PRECIO BARRA]])</f>
        <v>0</v>
      </c>
      <c r="M221" s="1" t="s">
        <v>541</v>
      </c>
    </row>
    <row r="222" customFormat="false" ht="15" hidden="false" customHeight="false" outlineLevel="0" collapsed="false">
      <c r="A222" s="1" t="n">
        <v>4056</v>
      </c>
      <c r="B222" s="1" t="n">
        <v>4010</v>
      </c>
      <c r="C22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DAEWO S780 3B/8LED/3V</v>
      </c>
      <c r="D222" s="75" t="n">
        <v>46038</v>
      </c>
      <c r="E22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22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H222" s="1" t="n">
        <v>2</v>
      </c>
      <c r="I222" s="1" t="n">
        <f aca="false">(salidas26[[#This Row],[CANT JUEGOS ]]*salidas26[[#This Row],[PRECIO JUEGO]])</f>
        <v>0</v>
      </c>
      <c r="J222" s="1" t="n">
        <f aca="false">(salidas26[[#This Row],[CANT BARRAS]]*salidas26[[#This Row],[PRECIO BARRA]])</f>
        <v>106.666666666667</v>
      </c>
      <c r="K222" s="1" t="n">
        <v>120</v>
      </c>
      <c r="L222" s="1" t="s">
        <v>502</v>
      </c>
      <c r="M222" s="1" t="s">
        <v>588</v>
      </c>
    </row>
    <row r="223" customFormat="false" ht="15" hidden="false" customHeight="false" outlineLevel="0" collapsed="false">
      <c r="A223" s="1" t="n">
        <v>4057</v>
      </c>
      <c r="B223" s="1" t="n">
        <v>8033</v>
      </c>
      <c r="C22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223" s="75" t="n">
        <v>46038</v>
      </c>
      <c r="E22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22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223" s="1" t="n">
        <v>1</v>
      </c>
      <c r="I223" s="1" t="n">
        <f aca="false">(salidas26[[#This Row],[CANT JUEGOS ]]*salidas26[[#This Row],[PRECIO JUEGO]])</f>
        <v>150</v>
      </c>
      <c r="J223" s="1" t="n">
        <f aca="false">(salidas26[[#This Row],[CANT BARRAS]]*salidas26[[#This Row],[PRECIO BARRA]])</f>
        <v>0</v>
      </c>
      <c r="K223" s="1" t="n">
        <v>150</v>
      </c>
      <c r="L223" s="1" t="s">
        <v>502</v>
      </c>
      <c r="M223" s="1" t="s">
        <v>524</v>
      </c>
    </row>
    <row r="224" customFormat="false" ht="15" hidden="false" customHeight="false" outlineLevel="0" collapsed="false">
      <c r="A224" s="1" t="n">
        <v>4058</v>
      </c>
      <c r="B224" s="1" t="n">
        <v>8015</v>
      </c>
      <c r="C22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224" s="75" t="n">
        <v>46038</v>
      </c>
      <c r="E22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22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224" s="1" t="n">
        <v>1</v>
      </c>
      <c r="I224" s="1" t="n">
        <f aca="false">(salidas26[[#This Row],[CANT JUEGOS ]]*salidas26[[#This Row],[PRECIO JUEGO]])</f>
        <v>60</v>
      </c>
      <c r="J224" s="1" t="n">
        <f aca="false">(salidas26[[#This Row],[CANT BARRAS]]*salidas26[[#This Row],[PRECIO BARRA]])</f>
        <v>0</v>
      </c>
      <c r="K224" s="1" t="n">
        <v>60</v>
      </c>
      <c r="L224" s="1" t="s">
        <v>533</v>
      </c>
      <c r="M224" s="1" t="s">
        <v>589</v>
      </c>
    </row>
    <row r="225" customFormat="false" ht="15" hidden="false" customHeight="false" outlineLevel="0" collapsed="false">
      <c r="A225" s="1" t="n">
        <v>4059</v>
      </c>
      <c r="B225" s="1" t="n">
        <v>4011</v>
      </c>
      <c r="C22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DAEWO L43V780BTS 3B/7LED/3V</v>
      </c>
      <c r="D225" s="75" t="n">
        <v>46038</v>
      </c>
      <c r="E22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22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225" s="1" t="n">
        <v>1</v>
      </c>
      <c r="H225" s="1" t="n">
        <v>1</v>
      </c>
      <c r="I225" s="1" t="n">
        <f aca="false">(salidas26[[#This Row],[CANT JUEGOS ]]*salidas26[[#This Row],[PRECIO JUEGO]])</f>
        <v>160</v>
      </c>
      <c r="J225" s="1" t="n">
        <f aca="false">(salidas26[[#This Row],[CANT BARRAS]]*salidas26[[#This Row],[PRECIO BARRA]])</f>
        <v>53.3333333333333</v>
      </c>
      <c r="K225" s="1" t="n">
        <v>200</v>
      </c>
      <c r="L225" s="1" t="s">
        <v>502</v>
      </c>
      <c r="M225" s="1" t="s">
        <v>573</v>
      </c>
    </row>
    <row r="226" customFormat="false" ht="15" hidden="false" customHeight="false" outlineLevel="0" collapsed="false">
      <c r="A226" s="1" t="n">
        <v>4061</v>
      </c>
      <c r="B226" s="1" t="n">
        <v>1064</v>
      </c>
      <c r="C22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43LK540 8B/3V</v>
      </c>
      <c r="D226" s="75" t="n">
        <v>46038</v>
      </c>
      <c r="E22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22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226" s="1" t="n">
        <v>1</v>
      </c>
      <c r="I226" s="1" t="n">
        <f aca="false">(salidas26[[#This Row],[CANT JUEGOS ]]*salidas26[[#This Row],[PRECIO JUEGO]])</f>
        <v>180</v>
      </c>
      <c r="J226" s="1" t="n">
        <f aca="false">(salidas26[[#This Row],[CANT BARRAS]]*salidas26[[#This Row],[PRECIO BARRA]])</f>
        <v>0</v>
      </c>
      <c r="K226" s="1" t="n">
        <v>180</v>
      </c>
      <c r="L226" s="1" t="s">
        <v>533</v>
      </c>
      <c r="M226" s="1" t="s">
        <v>590</v>
      </c>
    </row>
    <row r="227" customFormat="false" ht="15" hidden="false" customHeight="false" outlineLevel="0" collapsed="false">
      <c r="A227" s="1" t="n">
        <v>4062</v>
      </c>
      <c r="B227" s="1" t="n">
        <v>5022</v>
      </c>
      <c r="C22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 PANASONIC TC-L42E6L 1/B</v>
      </c>
      <c r="D227" s="75" t="n">
        <v>46038</v>
      </c>
      <c r="E22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140</v>
      </c>
      <c r="F22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140</v>
      </c>
      <c r="G227" s="1" t="n">
        <v>1</v>
      </c>
      <c r="I227" s="1" t="n">
        <f aca="false">(salidas26[[#This Row],[CANT JUEGOS ]]*salidas26[[#This Row],[PRECIO JUEGO]])</f>
        <v>140</v>
      </c>
      <c r="J227" s="1" t="n">
        <f aca="false">(salidas26[[#This Row],[CANT BARRAS]]*salidas26[[#This Row],[PRECIO BARRA]])</f>
        <v>0</v>
      </c>
      <c r="K227" s="1" t="n">
        <v>150</v>
      </c>
      <c r="L227" s="1" t="s">
        <v>502</v>
      </c>
      <c r="M227" s="1" t="s">
        <v>569</v>
      </c>
    </row>
    <row r="228" customFormat="false" ht="15" hidden="false" customHeight="false" outlineLevel="0" collapsed="false">
      <c r="A228" s="1" t="n">
        <v>4063</v>
      </c>
      <c r="B228" s="1" t="n">
        <v>2003</v>
      </c>
      <c r="C22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UN32F5000-SAMSUNG 5B</v>
      </c>
      <c r="D228" s="75" t="n">
        <v>46038</v>
      </c>
      <c r="E22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130</v>
      </c>
      <c r="F22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</v>
      </c>
      <c r="G228" s="1" t="n">
        <v>1</v>
      </c>
      <c r="I228" s="1" t="n">
        <f aca="false">(salidas26[[#This Row],[CANT JUEGOS ]]*salidas26[[#This Row],[PRECIO JUEGO]])</f>
        <v>130</v>
      </c>
      <c r="J228" s="1" t="n">
        <f aca="false">(salidas26[[#This Row],[CANT BARRAS]]*salidas26[[#This Row],[PRECIO BARRA]])</f>
        <v>0</v>
      </c>
      <c r="K228" s="1" t="n">
        <v>130</v>
      </c>
      <c r="L228" s="1" t="s">
        <v>533</v>
      </c>
      <c r="M228" s="1" t="s">
        <v>591</v>
      </c>
    </row>
    <row r="229" customFormat="false" ht="15" hidden="false" customHeight="false" outlineLevel="0" collapsed="false">
      <c r="A229" s="1" t="n">
        <v>4064</v>
      </c>
      <c r="B229" s="1" t="n">
        <v>2006</v>
      </c>
      <c r="C22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UN32J/ 2B </v>
      </c>
      <c r="D229" s="75" t="n">
        <v>46039</v>
      </c>
      <c r="E22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22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45</v>
      </c>
      <c r="G229" s="1" t="n">
        <v>1</v>
      </c>
      <c r="I229" s="1" t="n">
        <f aca="false">(salidas26[[#This Row],[CANT JUEGOS ]]*salidas26[[#This Row],[PRECIO JUEGO]])</f>
        <v>90</v>
      </c>
      <c r="J229" s="1" t="n">
        <f aca="false">(salidas26[[#This Row],[CANT BARRAS]]*salidas26[[#This Row],[PRECIO BARRA]])</f>
        <v>0</v>
      </c>
      <c r="K229" s="1" t="n">
        <v>80</v>
      </c>
      <c r="L229" s="1" t="s">
        <v>502</v>
      </c>
      <c r="M229" s="1" t="s">
        <v>518</v>
      </c>
    </row>
    <row r="230" customFormat="false" ht="15" hidden="false" customHeight="false" outlineLevel="0" collapsed="false">
      <c r="A230" s="1" t="n">
        <v>4066</v>
      </c>
      <c r="B230" s="1" t="n">
        <v>2003</v>
      </c>
      <c r="C23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UN32F5000-SAMSUNG 5B</v>
      </c>
      <c r="D230" s="75" t="n">
        <v>46039</v>
      </c>
      <c r="E23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130</v>
      </c>
      <c r="F23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</v>
      </c>
      <c r="G230" s="1" t="n">
        <v>1</v>
      </c>
      <c r="I230" s="1" t="n">
        <f aca="false">(salidas26[[#This Row],[CANT JUEGOS ]]*salidas26[[#This Row],[PRECIO JUEGO]])</f>
        <v>130</v>
      </c>
      <c r="J230" s="1" t="n">
        <f aca="false">(salidas26[[#This Row],[CANT BARRAS]]*salidas26[[#This Row],[PRECIO BARRA]])</f>
        <v>0</v>
      </c>
      <c r="K230" s="1" t="n">
        <v>120</v>
      </c>
      <c r="L230" s="1" t="s">
        <v>533</v>
      </c>
      <c r="M230" s="1" t="s">
        <v>505</v>
      </c>
    </row>
    <row r="231" customFormat="false" ht="15" hidden="false" customHeight="false" outlineLevel="0" collapsed="false">
      <c r="A231" s="1" t="n">
        <v>4067</v>
      </c>
      <c r="B231" s="1" t="n">
        <v>2012</v>
      </c>
      <c r="C23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UN40J5000 -40J5200-40M5000 8L/3B</v>
      </c>
      <c r="D231" s="75" t="n">
        <v>46039</v>
      </c>
      <c r="E23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23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231" s="1" t="n">
        <v>1</v>
      </c>
      <c r="I231" s="1" t="n">
        <f aca="false">(salidas26[[#This Row],[CANT JUEGOS ]]*salidas26[[#This Row],[PRECIO JUEGO]])</f>
        <v>160</v>
      </c>
      <c r="J231" s="1" t="n">
        <f aca="false">(salidas26[[#This Row],[CANT BARRAS]]*salidas26[[#This Row],[PRECIO BARRA]])</f>
        <v>0</v>
      </c>
      <c r="K231" s="1" t="n">
        <v>150</v>
      </c>
      <c r="L231" s="1" t="s">
        <v>533</v>
      </c>
      <c r="M231" s="1" t="s">
        <v>505</v>
      </c>
    </row>
    <row r="232" customFormat="false" ht="15" hidden="false" customHeight="false" outlineLevel="0" collapsed="false">
      <c r="A232" s="1" t="n">
        <v>4068</v>
      </c>
      <c r="B232" s="1" t="n">
        <v>4009</v>
      </c>
      <c r="C23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43-DAEWO L43R630BKS/ 8B</v>
      </c>
      <c r="D232" s="75" t="n">
        <v>46039</v>
      </c>
      <c r="E23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23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232" s="1" t="n">
        <v>1</v>
      </c>
      <c r="I232" s="1" t="n">
        <f aca="false">(salidas26[[#This Row],[CANT JUEGOS ]]*salidas26[[#This Row],[PRECIO JUEGO]])</f>
        <v>160</v>
      </c>
      <c r="J232" s="1" t="n">
        <f aca="false">(salidas26[[#This Row],[CANT BARRAS]]*salidas26[[#This Row],[PRECIO BARRA]])</f>
        <v>0</v>
      </c>
      <c r="K232" s="1" t="n">
        <v>160</v>
      </c>
      <c r="L232" s="1" t="s">
        <v>502</v>
      </c>
      <c r="M232" s="1" t="s">
        <v>518</v>
      </c>
    </row>
    <row r="233" customFormat="false" ht="15" hidden="false" customHeight="false" outlineLevel="0" collapsed="false">
      <c r="A233" s="1" t="n">
        <v>4069</v>
      </c>
      <c r="B233" s="1" t="n">
        <v>1012</v>
      </c>
      <c r="C23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32LB620B-32LF620B -3B/6V/6L</v>
      </c>
      <c r="D233" s="75" t="n">
        <v>46039</v>
      </c>
      <c r="E23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23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233" s="1" t="n">
        <v>1</v>
      </c>
      <c r="I233" s="1" t="n">
        <f aca="false">(salidas26[[#This Row],[CANT JUEGOS ]]*salidas26[[#This Row],[PRECIO JUEGO]])</f>
        <v>90</v>
      </c>
      <c r="J233" s="1" t="n">
        <f aca="false">(salidas26[[#This Row],[CANT BARRAS]]*salidas26[[#This Row],[PRECIO BARRA]])</f>
        <v>0</v>
      </c>
      <c r="K233" s="1" t="n">
        <v>90</v>
      </c>
      <c r="L233" s="1" t="s">
        <v>533</v>
      </c>
      <c r="M233" s="1" t="s">
        <v>518</v>
      </c>
    </row>
    <row r="234" customFormat="false" ht="15" hidden="false" customHeight="false" outlineLevel="0" collapsed="false">
      <c r="B234" s="1" t="n">
        <v>8003</v>
      </c>
      <c r="C23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24 PULG</v>
      </c>
      <c r="D234" s="75" t="n">
        <v>46039</v>
      </c>
      <c r="E23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23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234" s="1" t="n">
        <v>1</v>
      </c>
      <c r="I234" s="1" t="n">
        <f aca="false">(salidas26[[#This Row],[CANT JUEGOS ]]*salidas26[[#This Row],[PRECIO JUEGO]])</f>
        <v>70</v>
      </c>
      <c r="J234" s="1" t="n">
        <f aca="false">(salidas26[[#This Row],[CANT BARRAS]]*salidas26[[#This Row],[PRECIO BARRA]])</f>
        <v>0</v>
      </c>
      <c r="M234" s="1" t="s">
        <v>541</v>
      </c>
    </row>
    <row r="235" customFormat="false" ht="15" hidden="false" customHeight="false" outlineLevel="0" collapsed="false">
      <c r="A235" s="1" t="n">
        <v>4070</v>
      </c>
      <c r="B235" s="1" t="n">
        <v>8003</v>
      </c>
      <c r="C23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24 PULG</v>
      </c>
      <c r="D235" s="75" t="n">
        <v>46039</v>
      </c>
      <c r="E23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23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H235" s="1" t="n">
        <v>1</v>
      </c>
      <c r="I235" s="1" t="n">
        <f aca="false">(salidas26[[#This Row],[CANT JUEGOS ]]*salidas26[[#This Row],[PRECIO JUEGO]])</f>
        <v>0</v>
      </c>
      <c r="J235" s="1" t="n">
        <f aca="false">(salidas26[[#This Row],[CANT BARRAS]]*salidas26[[#This Row],[PRECIO BARRA]])</f>
        <v>35</v>
      </c>
      <c r="K235" s="1" t="n">
        <v>25</v>
      </c>
      <c r="L235" s="1" t="s">
        <v>502</v>
      </c>
      <c r="M235" s="1" t="s">
        <v>517</v>
      </c>
    </row>
    <row r="236" customFormat="false" ht="15" hidden="false" customHeight="false" outlineLevel="0" collapsed="false">
      <c r="A236" s="1" t="n">
        <v>4071</v>
      </c>
      <c r="B236" s="1" t="n">
        <v>1081</v>
      </c>
      <c r="C23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49LF5400 2B EL JUEGO </v>
      </c>
      <c r="D236" s="75" t="n">
        <v>46039</v>
      </c>
      <c r="E23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23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100</v>
      </c>
      <c r="G236" s="1" t="n">
        <v>1</v>
      </c>
      <c r="I236" s="1" t="n">
        <f aca="false">(salidas26[[#This Row],[CANT JUEGOS ]]*salidas26[[#This Row],[PRECIO JUEGO]])</f>
        <v>200</v>
      </c>
      <c r="J236" s="1" t="n">
        <f aca="false">(salidas26[[#This Row],[CANT BARRAS]]*salidas26[[#This Row],[PRECIO BARRA]])</f>
        <v>0</v>
      </c>
      <c r="K236" s="1" t="n">
        <v>220</v>
      </c>
      <c r="L236" s="1" t="s">
        <v>502</v>
      </c>
      <c r="M236" s="1" t="s">
        <v>518</v>
      </c>
    </row>
    <row r="237" customFormat="false" ht="15" hidden="false" customHeight="false" outlineLevel="0" collapsed="false">
      <c r="A237" s="1" t="n">
        <v>4072</v>
      </c>
      <c r="B237" s="1" t="n">
        <v>3001</v>
      </c>
      <c r="C23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32B7000 3B/10LED/3V DOBLE CONECTOR</v>
      </c>
      <c r="D237" s="75" t="n">
        <v>46039</v>
      </c>
      <c r="E23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100</v>
      </c>
      <c r="F23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237" s="1" t="n">
        <v>1</v>
      </c>
      <c r="I237" s="1" t="n">
        <f aca="false">(salidas26[[#This Row],[CANT JUEGOS ]]*salidas26[[#This Row],[PRECIO JUEGO]])</f>
        <v>100</v>
      </c>
      <c r="J237" s="1" t="n">
        <f aca="false">(salidas26[[#This Row],[CANT BARRAS]]*salidas26[[#This Row],[PRECIO BARRA]])</f>
        <v>0</v>
      </c>
      <c r="K237" s="1" t="n">
        <v>100</v>
      </c>
      <c r="L237" s="1" t="s">
        <v>502</v>
      </c>
      <c r="M237" s="1" t="s">
        <v>592</v>
      </c>
    </row>
    <row r="238" customFormat="false" ht="15" hidden="false" customHeight="false" outlineLevel="0" collapsed="false">
      <c r="A238" s="1" t="n">
        <v>4073</v>
      </c>
      <c r="B238" s="1" t="n">
        <v>8033</v>
      </c>
      <c r="C23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238" s="75" t="n">
        <v>46039</v>
      </c>
      <c r="E23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23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238" s="1" t="n">
        <v>1</v>
      </c>
      <c r="I238" s="1" t="n">
        <f aca="false">(salidas26[[#This Row],[CANT JUEGOS ]]*salidas26[[#This Row],[PRECIO JUEGO]])</f>
        <v>150</v>
      </c>
      <c r="J238" s="1" t="n">
        <f aca="false">(salidas26[[#This Row],[CANT BARRAS]]*salidas26[[#This Row],[PRECIO BARRA]])</f>
        <v>0</v>
      </c>
      <c r="K238" s="1" t="n">
        <v>150</v>
      </c>
      <c r="L238" s="1" t="s">
        <v>502</v>
      </c>
      <c r="M238" s="1" t="s">
        <v>518</v>
      </c>
    </row>
    <row r="239" s="1" customFormat="true" ht="15" hidden="false" customHeight="false" outlineLevel="0" collapsed="false">
      <c r="A239" s="1" t="n">
        <v>4075</v>
      </c>
      <c r="B239" s="1" t="n">
        <v>6009</v>
      </c>
      <c r="C23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L4700 TOSHIBA/6B (180 Bs) -43UJ-6200/LG/8B (200 BS)</v>
      </c>
      <c r="D239" s="75" t="n">
        <v>46039</v>
      </c>
      <c r="E23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23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H239" s="1" t="n">
        <v>6</v>
      </c>
      <c r="I239" s="1" t="n">
        <f aca="false">(salidas26[[#This Row],[CANT JUEGOS ]]*salidas26[[#This Row],[PRECIO JUEGO]])</f>
        <v>0</v>
      </c>
      <c r="J239" s="1" t="n">
        <f aca="false">(salidas26[[#This Row],[CANT BARRAS]]*salidas26[[#This Row],[PRECIO BARRA]])</f>
        <v>135</v>
      </c>
      <c r="K239" s="1" t="n">
        <v>180</v>
      </c>
      <c r="L239" s="1" t="s">
        <v>502</v>
      </c>
      <c r="M239" s="1" t="s">
        <v>577</v>
      </c>
    </row>
    <row r="240" s="1" customFormat="true" ht="15" hidden="false" customHeight="false" outlineLevel="0" collapsed="false">
      <c r="A240" s="1" t="n">
        <v>4076</v>
      </c>
      <c r="B240" s="1" t="n">
        <v>2027</v>
      </c>
      <c r="C24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UN43J5290/8B</v>
      </c>
      <c r="D240" s="75" t="n">
        <v>46041</v>
      </c>
      <c r="E24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24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240" s="1" t="n">
        <v>1</v>
      </c>
      <c r="I240" s="1" t="n">
        <f aca="false">(salidas26[[#This Row],[CANT JUEGOS ]]*salidas26[[#This Row],[PRECIO JUEGO]])</f>
        <v>180</v>
      </c>
      <c r="J240" s="1" t="n">
        <f aca="false">(salidas26[[#This Row],[CANT BARRAS]]*salidas26[[#This Row],[PRECIO BARRA]])</f>
        <v>0</v>
      </c>
      <c r="K240" s="1" t="n">
        <v>150</v>
      </c>
      <c r="L240" s="1" t="s">
        <v>502</v>
      </c>
      <c r="M240" s="1" t="s">
        <v>527</v>
      </c>
    </row>
    <row r="241" customFormat="false" ht="15" hidden="false" customHeight="false" outlineLevel="0" collapsed="false">
      <c r="A241" s="1" t="n">
        <v>4077</v>
      </c>
      <c r="B241" s="1" t="n">
        <v>2079</v>
      </c>
      <c r="C24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UN55MU6100- 55KU 6000 12B/ 3V</v>
      </c>
      <c r="D241" s="75" t="n">
        <v>46041</v>
      </c>
      <c r="E24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450</v>
      </c>
      <c r="F24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37.5</v>
      </c>
      <c r="G241" s="1" t="n">
        <v>1</v>
      </c>
      <c r="I241" s="1" t="n">
        <f aca="false">(salidas26[[#This Row],[CANT JUEGOS ]]*salidas26[[#This Row],[PRECIO JUEGO]])</f>
        <v>450</v>
      </c>
      <c r="J241" s="1" t="n">
        <f aca="false">(salidas26[[#This Row],[CANT BARRAS]]*salidas26[[#This Row],[PRECIO BARRA]])</f>
        <v>0</v>
      </c>
      <c r="K241" s="1" t="n">
        <v>380</v>
      </c>
      <c r="L241" s="1" t="s">
        <v>502</v>
      </c>
      <c r="M241" s="1" t="s">
        <v>587</v>
      </c>
    </row>
    <row r="242" customFormat="false" ht="15" hidden="false" customHeight="false" outlineLevel="0" collapsed="false">
      <c r="A242" s="1" t="n">
        <v>4078</v>
      </c>
      <c r="B242" s="1" t="n">
        <v>1012</v>
      </c>
      <c r="C24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32LB620B-32LF620B -3B/6V/6L</v>
      </c>
      <c r="D242" s="75" t="n">
        <v>46041</v>
      </c>
      <c r="E24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24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242" s="1" t="n">
        <v>1</v>
      </c>
      <c r="I242" s="1" t="n">
        <f aca="false">(salidas26[[#This Row],[CANT JUEGOS ]]*salidas26[[#This Row],[PRECIO JUEGO]])</f>
        <v>90</v>
      </c>
      <c r="J242" s="1" t="n">
        <f aca="false">(salidas26[[#This Row],[CANT BARRAS]]*salidas26[[#This Row],[PRECIO BARRA]])</f>
        <v>0</v>
      </c>
      <c r="K242" s="1" t="n">
        <v>100</v>
      </c>
      <c r="L242" s="1" t="s">
        <v>533</v>
      </c>
      <c r="M242" s="1" t="s">
        <v>593</v>
      </c>
    </row>
    <row r="243" customFormat="false" ht="15" hidden="false" customHeight="false" outlineLevel="0" collapsed="false">
      <c r="A243" s="1" t="n">
        <v>4079</v>
      </c>
      <c r="B243" s="1" t="n">
        <v>8070</v>
      </c>
      <c r="C24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JVC KB527</v>
      </c>
      <c r="D243" s="75" t="n">
        <v>46041</v>
      </c>
      <c r="E24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24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62.5</v>
      </c>
      <c r="G243" s="1" t="n">
        <v>1</v>
      </c>
      <c r="I243" s="1" t="n">
        <f aca="false">(salidas26[[#This Row],[CANT JUEGOS ]]*salidas26[[#This Row],[PRECIO JUEGO]])</f>
        <v>250</v>
      </c>
      <c r="J243" s="1" t="n">
        <f aca="false">(salidas26[[#This Row],[CANT BARRAS]]*salidas26[[#This Row],[PRECIO BARRA]])</f>
        <v>0</v>
      </c>
      <c r="K243" s="1" t="n">
        <v>220</v>
      </c>
      <c r="L243" s="1" t="s">
        <v>533</v>
      </c>
      <c r="M243" s="1" t="s">
        <v>594</v>
      </c>
    </row>
    <row r="244" customFormat="false" ht="15" hidden="false" customHeight="false" outlineLevel="0" collapsed="false">
      <c r="A244" s="1" t="n">
        <v>4080</v>
      </c>
      <c r="B244" s="1" t="n">
        <v>8090</v>
      </c>
      <c r="C24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TCL /8B/MASTER MGS5502XMG-</v>
      </c>
      <c r="D244" s="75" t="n">
        <v>46041</v>
      </c>
      <c r="E24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244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G244" s="1" t="n">
        <v>1</v>
      </c>
      <c r="I244" s="1" t="n">
        <f aca="false">(salidas26[[#This Row],[CANT JUEGOS ]]*salidas26[[#This Row],[PRECIO JUEGO]])</f>
        <v>300</v>
      </c>
      <c r="J244" s="1" t="e">
        <f aca="false">(salidas26[[#This Row],[CANT BARRAS]]*salidas26[[#This Row],[PRECIO BARRA]])</f>
        <v>#VALUE!</v>
      </c>
      <c r="K244" s="1" t="n">
        <v>300</v>
      </c>
      <c r="L244" s="1" t="s">
        <v>533</v>
      </c>
      <c r="M244" s="1" t="s">
        <v>594</v>
      </c>
    </row>
    <row r="245" s="1" customFormat="true" ht="15" hidden="false" customHeight="false" outlineLevel="0" collapsed="false">
      <c r="A245" s="1" t="n">
        <v>4081</v>
      </c>
      <c r="B245" s="1" t="n">
        <v>6024</v>
      </c>
      <c r="C24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U7700 TOSHIBA 12B  3V 6L </v>
      </c>
      <c r="D245" s="75" t="n">
        <v>46041</v>
      </c>
      <c r="E24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24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25</v>
      </c>
      <c r="H245" s="1" t="n">
        <v>3</v>
      </c>
      <c r="I245" s="1" t="n">
        <f aca="false">(salidas26[[#This Row],[CANT JUEGOS ]]*salidas26[[#This Row],[PRECIO JUEGO]])</f>
        <v>0</v>
      </c>
      <c r="J245" s="1" t="n">
        <f aca="false">(salidas26[[#This Row],[CANT BARRAS]]*salidas26[[#This Row],[PRECIO BARRA]])</f>
        <v>75</v>
      </c>
      <c r="K245" s="1" t="n">
        <v>60</v>
      </c>
      <c r="L245" s="1" t="s">
        <v>533</v>
      </c>
      <c r="M245" s="1" t="s">
        <v>527</v>
      </c>
    </row>
    <row r="246" customFormat="false" ht="15" hidden="false" customHeight="false" outlineLevel="0" collapsed="false">
      <c r="A246" s="1" t="n">
        <v>4082</v>
      </c>
      <c r="B246" s="1" t="n">
        <v>5018</v>
      </c>
      <c r="C24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KDL-40R475 SONY/10B</v>
      </c>
      <c r="D246" s="75" t="n">
        <v>46041</v>
      </c>
      <c r="E24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24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246" s="1" t="n">
        <v>1</v>
      </c>
      <c r="I246" s="1" t="n">
        <f aca="false">(salidas26[[#This Row],[CANT JUEGOS ]]*salidas26[[#This Row],[PRECIO JUEGO]])</f>
        <v>200</v>
      </c>
      <c r="J246" s="1" t="n">
        <f aca="false">(salidas26[[#This Row],[CANT BARRAS]]*salidas26[[#This Row],[PRECIO BARRA]])</f>
        <v>0</v>
      </c>
      <c r="K246" s="1" t="n">
        <v>170</v>
      </c>
      <c r="L246" s="1" t="s">
        <v>533</v>
      </c>
      <c r="M246" s="1" t="s">
        <v>593</v>
      </c>
    </row>
    <row r="247" customFormat="false" ht="15" hidden="false" customHeight="false" outlineLevel="0" collapsed="false">
      <c r="A247" s="1" t="n">
        <v>4083</v>
      </c>
      <c r="B247" s="1" t="n">
        <v>8123</v>
      </c>
      <c r="C24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3V/2W S/C  DIF. 180º</v>
      </c>
      <c r="D247" s="75" t="n">
        <v>46041</v>
      </c>
      <c r="E24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24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247" s="1" t="n">
        <v>66</v>
      </c>
      <c r="I247" s="1" t="n">
        <f aca="false">(salidas26[[#This Row],[CANT JUEGOS ]]*salidas26[[#This Row],[PRECIO JUEGO]])</f>
        <v>0</v>
      </c>
      <c r="J247" s="1" t="n">
        <f aca="false">(salidas26[[#This Row],[CANT BARRAS]]*salidas26[[#This Row],[PRECIO BARRA]])</f>
        <v>231</v>
      </c>
      <c r="K247" s="1" t="n">
        <v>220</v>
      </c>
      <c r="L247" s="1" t="s">
        <v>502</v>
      </c>
      <c r="M247" s="1" t="s">
        <v>518</v>
      </c>
    </row>
    <row r="248" customFormat="false" ht="15" hidden="false" customHeight="false" outlineLevel="0" collapsed="false">
      <c r="A248" s="1" t="n">
        <v>4084</v>
      </c>
      <c r="B248" s="1" t="n">
        <v>6008</v>
      </c>
      <c r="C24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SKYWORTH SUC9350 8L /3B</v>
      </c>
      <c r="D248" s="75" t="n">
        <v>46041</v>
      </c>
      <c r="E24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24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248" s="1" t="n">
        <v>1</v>
      </c>
      <c r="I248" s="1" t="n">
        <f aca="false">(salidas26[[#This Row],[CANT JUEGOS ]]*salidas26[[#This Row],[PRECIO JUEGO]])</f>
        <v>180</v>
      </c>
      <c r="J248" s="1" t="n">
        <f aca="false">(salidas26[[#This Row],[CANT BARRAS]]*salidas26[[#This Row],[PRECIO BARRA]])</f>
        <v>0</v>
      </c>
      <c r="K248" s="1" t="n">
        <v>130</v>
      </c>
      <c r="L248" s="1" t="s">
        <v>502</v>
      </c>
      <c r="M248" s="1" t="s">
        <v>518</v>
      </c>
    </row>
    <row r="249" customFormat="false" ht="15" hidden="false" customHeight="false" outlineLevel="0" collapsed="false">
      <c r="A249" s="1" t="n">
        <v>4086</v>
      </c>
      <c r="B249" s="1" t="n">
        <v>8021</v>
      </c>
      <c r="C24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JVC RECTO /2B</v>
      </c>
      <c r="D249" s="75" t="n">
        <v>46042</v>
      </c>
      <c r="E24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24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249" s="1" t="n">
        <v>1</v>
      </c>
      <c r="I249" s="1" t="n">
        <f aca="false">(salidas26[[#This Row],[CANT JUEGOS ]]*salidas26[[#This Row],[PRECIO JUEGO]])</f>
        <v>60</v>
      </c>
      <c r="J249" s="1" t="n">
        <f aca="false">(salidas26[[#This Row],[CANT BARRAS]]*salidas26[[#This Row],[PRECIO BARRA]])</f>
        <v>0</v>
      </c>
      <c r="K249" s="1" t="n">
        <v>60</v>
      </c>
      <c r="L249" s="1" t="s">
        <v>502</v>
      </c>
      <c r="M249" s="1" t="s">
        <v>519</v>
      </c>
    </row>
    <row r="250" customFormat="false" ht="15" hidden="false" customHeight="false" outlineLevel="0" collapsed="false">
      <c r="A250" s="1" t="n">
        <v>4087</v>
      </c>
      <c r="B250" s="1" t="n">
        <v>1033</v>
      </c>
      <c r="C25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D250" s="75" t="n">
        <v>46042</v>
      </c>
      <c r="E25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25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250" s="1" t="n">
        <v>1</v>
      </c>
      <c r="I250" s="1" t="n">
        <f aca="false">(salidas26[[#This Row],[CANT JUEGOS ]]*salidas26[[#This Row],[PRECIO JUEGO]])</f>
        <v>180</v>
      </c>
      <c r="J250" s="1" t="n">
        <f aca="false">(salidas26[[#This Row],[CANT BARRAS]]*salidas26[[#This Row],[PRECIO BARRA]])</f>
        <v>0</v>
      </c>
      <c r="K250" s="1" t="n">
        <v>180</v>
      </c>
      <c r="L250" s="1" t="s">
        <v>502</v>
      </c>
      <c r="M250" s="1" t="s">
        <v>506</v>
      </c>
    </row>
    <row r="251" customFormat="false" ht="15" hidden="false" customHeight="false" outlineLevel="0" collapsed="false">
      <c r="A251" s="1" t="n">
        <v>4088</v>
      </c>
      <c r="B251" s="1" t="n">
        <v>2036</v>
      </c>
      <c r="C25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UN46FH6203-46FH5005/8B</v>
      </c>
      <c r="D251" s="75" t="n">
        <v>46042</v>
      </c>
      <c r="E25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25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27.5</v>
      </c>
      <c r="G251" s="1" t="n">
        <v>1</v>
      </c>
      <c r="I251" s="1" t="n">
        <f aca="false">(salidas26[[#This Row],[CANT JUEGOS ]]*salidas26[[#This Row],[PRECIO JUEGO]])</f>
        <v>220</v>
      </c>
      <c r="J251" s="1" t="n">
        <f aca="false">(salidas26[[#This Row],[CANT BARRAS]]*salidas26[[#This Row],[PRECIO BARRA]])</f>
        <v>0</v>
      </c>
      <c r="K251" s="1" t="n">
        <v>210</v>
      </c>
      <c r="L251" s="1" t="s">
        <v>502</v>
      </c>
      <c r="M251" s="1" t="s">
        <v>506</v>
      </c>
    </row>
    <row r="252" customFormat="false" ht="15" hidden="false" customHeight="false" outlineLevel="0" collapsed="false">
      <c r="A252" s="1" t="n">
        <v>4089</v>
      </c>
      <c r="B252" s="1" t="n">
        <v>4009</v>
      </c>
      <c r="C25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43-DAEWO L43R630BKS/ 8B</v>
      </c>
      <c r="D252" s="75" t="n">
        <v>46042</v>
      </c>
      <c r="E25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25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252" s="1" t="n">
        <v>1</v>
      </c>
      <c r="I252" s="1" t="n">
        <f aca="false">(salidas26[[#This Row],[CANT JUEGOS ]]*salidas26[[#This Row],[PRECIO JUEGO]])</f>
        <v>160</v>
      </c>
      <c r="J252" s="1" t="n">
        <f aca="false">(salidas26[[#This Row],[CANT BARRAS]]*salidas26[[#This Row],[PRECIO BARRA]])</f>
        <v>0</v>
      </c>
      <c r="K252" s="1" t="n">
        <v>180</v>
      </c>
      <c r="L252" s="1" t="s">
        <v>533</v>
      </c>
      <c r="M252" s="1" t="s">
        <v>595</v>
      </c>
    </row>
    <row r="253" customFormat="false" ht="15" hidden="false" customHeight="false" outlineLevel="0" collapsed="false">
      <c r="A253" s="1" t="n">
        <v>4090</v>
      </c>
      <c r="B253" s="1" t="n">
        <v>5006</v>
      </c>
      <c r="C25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KDL-32R304B/3B</v>
      </c>
      <c r="D253" s="75" t="n">
        <v>46042</v>
      </c>
      <c r="E25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25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253" s="1" t="n">
        <v>1</v>
      </c>
      <c r="I253" s="1" t="n">
        <f aca="false">(salidas26[[#This Row],[CANT JUEGOS ]]*salidas26[[#This Row],[PRECIO JUEGO]])</f>
        <v>90</v>
      </c>
      <c r="J253" s="1" t="n">
        <f aca="false">(salidas26[[#This Row],[CANT BARRAS]]*salidas26[[#This Row],[PRECIO BARRA]])</f>
        <v>0</v>
      </c>
      <c r="K253" s="1" t="n">
        <v>90</v>
      </c>
      <c r="L253" s="1" t="s">
        <v>502</v>
      </c>
      <c r="M253" s="1" t="s">
        <v>518</v>
      </c>
    </row>
    <row r="254" s="1" customFormat="true" ht="15" hidden="false" customHeight="false" outlineLevel="0" collapsed="false">
      <c r="A254" s="1" t="n">
        <v>4091</v>
      </c>
      <c r="B254" s="1" t="n">
        <v>1033</v>
      </c>
      <c r="C25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D254" s="75" t="n">
        <v>46042</v>
      </c>
      <c r="E25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25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254" s="1" t="n">
        <v>1</v>
      </c>
      <c r="I254" s="1" t="n">
        <f aca="false">(salidas26[[#This Row],[CANT JUEGOS ]]*salidas26[[#This Row],[PRECIO JUEGO]])</f>
        <v>180</v>
      </c>
      <c r="J254" s="1" t="n">
        <f aca="false">(salidas26[[#This Row],[CANT BARRAS]]*salidas26[[#This Row],[PRECIO BARRA]])</f>
        <v>0</v>
      </c>
      <c r="K254" s="1" t="n">
        <v>180</v>
      </c>
      <c r="L254" s="1" t="s">
        <v>533</v>
      </c>
      <c r="M254" s="1" t="s">
        <v>546</v>
      </c>
    </row>
    <row r="255" s="1" customFormat="true" ht="15" hidden="false" customHeight="false" outlineLevel="0" collapsed="false">
      <c r="A255" s="1" t="n">
        <v>4091</v>
      </c>
      <c r="B255" s="1" t="n">
        <v>1078</v>
      </c>
      <c r="C25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49LB-LF/10B</v>
      </c>
      <c r="D255" s="75" t="n">
        <v>46042</v>
      </c>
      <c r="E25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25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28</v>
      </c>
      <c r="G255" s="1" t="n">
        <v>1</v>
      </c>
      <c r="I255" s="1" t="n">
        <f aca="false">(salidas26[[#This Row],[CANT JUEGOS ]]*salidas26[[#This Row],[PRECIO JUEGO]])</f>
        <v>280</v>
      </c>
      <c r="J255" s="1" t="n">
        <f aca="false">(salidas26[[#This Row],[CANT BARRAS]]*salidas26[[#This Row],[PRECIO BARRA]])</f>
        <v>0</v>
      </c>
      <c r="K255" s="1" t="n">
        <v>270</v>
      </c>
      <c r="L255" s="1" t="s">
        <v>533</v>
      </c>
      <c r="M255" s="1" t="s">
        <v>546</v>
      </c>
    </row>
    <row r="256" customFormat="false" ht="15" hidden="false" customHeight="false" outlineLevel="0" collapsed="false">
      <c r="A256" s="1" t="n">
        <v>4092</v>
      </c>
      <c r="B256" s="1" t="n">
        <v>7002</v>
      </c>
      <c r="C25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F1000 KONKA 6L/LED3250HDD/CRONW TV3277D IRT</v>
      </c>
      <c r="D256" s="75" t="n">
        <v>46042</v>
      </c>
      <c r="E25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25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256" s="1" t="n">
        <v>1</v>
      </c>
      <c r="I256" s="1" t="n">
        <f aca="false">(salidas26[[#This Row],[CANT JUEGOS ]]*salidas26[[#This Row],[PRECIO JUEGO]])</f>
        <v>70</v>
      </c>
      <c r="J256" s="1" t="n">
        <f aca="false">(salidas26[[#This Row],[CANT BARRAS]]*salidas26[[#This Row],[PRECIO BARRA]])</f>
        <v>0</v>
      </c>
      <c r="K256" s="1" t="n">
        <v>60</v>
      </c>
      <c r="L256" s="1" t="s">
        <v>502</v>
      </c>
      <c r="M256" s="1" t="s">
        <v>579</v>
      </c>
    </row>
    <row r="257" customFormat="false" ht="15" hidden="false" customHeight="false" outlineLevel="0" collapsed="false">
      <c r="A257" s="1" t="n">
        <v>4093</v>
      </c>
      <c r="B257" s="1" t="n">
        <v>8123</v>
      </c>
      <c r="C25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3V/2W S/C  DIF. 180º</v>
      </c>
      <c r="D257" s="75" t="n">
        <v>46042</v>
      </c>
      <c r="E25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25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257" s="1" t="n">
        <v>10</v>
      </c>
      <c r="I257" s="1" t="n">
        <f aca="false">(salidas26[[#This Row],[CANT JUEGOS ]]*salidas26[[#This Row],[PRECIO JUEGO]])</f>
        <v>0</v>
      </c>
      <c r="J257" s="1" t="n">
        <f aca="false">(salidas26[[#This Row],[CANT BARRAS]]*salidas26[[#This Row],[PRECIO BARRA]])</f>
        <v>35</v>
      </c>
      <c r="K257" s="1" t="n">
        <v>350</v>
      </c>
      <c r="L257" s="1" t="s">
        <v>502</v>
      </c>
      <c r="M257" s="1" t="s">
        <v>518</v>
      </c>
    </row>
    <row r="258" customFormat="false" ht="15" hidden="false" customHeight="false" outlineLevel="0" collapsed="false">
      <c r="A258" s="1" t="n">
        <v>4094</v>
      </c>
      <c r="B258" s="1" t="n">
        <v>8033</v>
      </c>
      <c r="C25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258" s="75" t="n">
        <v>46042</v>
      </c>
      <c r="E25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25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258" s="1" t="n">
        <v>1</v>
      </c>
      <c r="I258" s="1" t="n">
        <f aca="false">(salidas26[[#This Row],[CANT JUEGOS ]]*salidas26[[#This Row],[PRECIO JUEGO]])</f>
        <v>150</v>
      </c>
      <c r="J258" s="1" t="n">
        <f aca="false">(salidas26[[#This Row],[CANT BARRAS]]*salidas26[[#This Row],[PRECIO BARRA]])</f>
        <v>0</v>
      </c>
      <c r="K258" s="1" t="n">
        <v>150</v>
      </c>
      <c r="L258" s="1" t="s">
        <v>502</v>
      </c>
      <c r="M258" s="1" t="s">
        <v>505</v>
      </c>
    </row>
    <row r="259" customFormat="false" ht="15" hidden="false" customHeight="false" outlineLevel="0" collapsed="false">
      <c r="A259" s="1" t="n">
        <v>4095</v>
      </c>
      <c r="B259" s="1" t="n">
        <v>6000</v>
      </c>
      <c r="C25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SKYWORTH 2B/6LED/3V </v>
      </c>
      <c r="D259" s="75" t="n">
        <v>46042</v>
      </c>
      <c r="E25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25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259" s="1" t="n">
        <v>1</v>
      </c>
      <c r="I259" s="1" t="n">
        <f aca="false">(salidas26[[#This Row],[CANT JUEGOS ]]*salidas26[[#This Row],[PRECIO JUEGO]])</f>
        <v>60</v>
      </c>
      <c r="J259" s="1" t="n">
        <f aca="false">(salidas26[[#This Row],[CANT BARRAS]]*salidas26[[#This Row],[PRECIO BARRA]])</f>
        <v>0</v>
      </c>
      <c r="K259" s="1" t="n">
        <v>60</v>
      </c>
      <c r="L259" s="1" t="s">
        <v>502</v>
      </c>
      <c r="M259" s="1" t="s">
        <v>596</v>
      </c>
    </row>
    <row r="260" customFormat="false" ht="15" hidden="false" customHeight="false" outlineLevel="0" collapsed="false">
      <c r="A260" s="1" t="n">
        <v>4096</v>
      </c>
      <c r="B260" s="1" t="n">
        <v>8015</v>
      </c>
      <c r="C26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260" s="75" t="n">
        <v>46042</v>
      </c>
      <c r="E26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26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260" s="1" t="n">
        <v>1</v>
      </c>
      <c r="I260" s="1" t="n">
        <f aca="false">(salidas26[[#This Row],[CANT JUEGOS ]]*salidas26[[#This Row],[PRECIO JUEGO]])</f>
        <v>60</v>
      </c>
      <c r="J260" s="1" t="n">
        <f aca="false">(salidas26[[#This Row],[CANT BARRAS]]*salidas26[[#This Row],[PRECIO BARRA]])</f>
        <v>0</v>
      </c>
      <c r="K260" s="1" t="n">
        <v>60</v>
      </c>
      <c r="L260" s="1" t="s">
        <v>502</v>
      </c>
      <c r="M260" s="1" t="s">
        <v>569</v>
      </c>
    </row>
    <row r="261" customFormat="false" ht="15" hidden="false" customHeight="false" outlineLevel="0" collapsed="false">
      <c r="A261" s="1" t="n">
        <v>4098</v>
      </c>
      <c r="B261" s="1" t="n">
        <v>1049</v>
      </c>
      <c r="C26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43LJ5500 3B/7L</v>
      </c>
      <c r="D261" s="75" t="n">
        <v>46042</v>
      </c>
      <c r="E26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26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261" s="1" t="n">
        <v>1</v>
      </c>
      <c r="I261" s="1" t="n">
        <f aca="false">(salidas26[[#This Row],[CANT JUEGOS ]]*salidas26[[#This Row],[PRECIO JUEGO]])</f>
        <v>180</v>
      </c>
      <c r="J261" s="1" t="n">
        <f aca="false">(salidas26[[#This Row],[CANT BARRAS]]*salidas26[[#This Row],[PRECIO BARRA]])</f>
        <v>0</v>
      </c>
      <c r="K261" s="1" t="n">
        <v>144</v>
      </c>
      <c r="L261" s="1" t="s">
        <v>502</v>
      </c>
      <c r="M261" s="1" t="s">
        <v>534</v>
      </c>
    </row>
    <row r="262" customFormat="false" ht="15" hidden="false" customHeight="false" outlineLevel="0" collapsed="false">
      <c r="A262" s="1" t="n">
        <v>1</v>
      </c>
      <c r="B262" s="1" t="n">
        <v>5002</v>
      </c>
      <c r="C26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PANASONIC 7L/3V/3B</v>
      </c>
      <c r="D262" s="75" t="n">
        <v>46042</v>
      </c>
      <c r="E26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26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262" s="1" t="n">
        <v>1</v>
      </c>
      <c r="I262" s="1" t="n">
        <f aca="false">(salidas26[[#This Row],[CANT JUEGOS ]]*salidas26[[#This Row],[PRECIO JUEGO]])</f>
        <v>90</v>
      </c>
      <c r="J262" s="1" t="n">
        <f aca="false">(salidas26[[#This Row],[CANT BARRAS]]*salidas26[[#This Row],[PRECIO BARRA]])</f>
        <v>0</v>
      </c>
      <c r="K262" s="1" t="n">
        <v>72</v>
      </c>
      <c r="L262" s="1" t="s">
        <v>502</v>
      </c>
      <c r="M262" s="1" t="s">
        <v>534</v>
      </c>
    </row>
    <row r="263" customFormat="false" ht="15" hidden="false" customHeight="false" outlineLevel="0" collapsed="false">
      <c r="A263" s="1" t="n">
        <v>2</v>
      </c>
      <c r="B263" s="1" t="n">
        <v>7000</v>
      </c>
      <c r="C26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IRT/6L/2B/6V</v>
      </c>
      <c r="D263" s="75" t="n">
        <v>46042</v>
      </c>
      <c r="E26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26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263" s="1" t="n">
        <v>1</v>
      </c>
      <c r="I263" s="1" t="n">
        <f aca="false">(salidas26[[#This Row],[CANT JUEGOS ]]*salidas26[[#This Row],[PRECIO JUEGO]])</f>
        <v>60</v>
      </c>
      <c r="J263" s="1" t="n">
        <f aca="false">(salidas26[[#This Row],[CANT BARRAS]]*salidas26[[#This Row],[PRECIO BARRA]])</f>
        <v>0</v>
      </c>
      <c r="K263" s="1" t="n">
        <v>48</v>
      </c>
      <c r="L263" s="1" t="s">
        <v>502</v>
      </c>
      <c r="M263" s="1" t="s">
        <v>534</v>
      </c>
    </row>
    <row r="264" customFormat="false" ht="15" hidden="false" customHeight="false" outlineLevel="0" collapsed="false">
      <c r="A264" s="1" t="n">
        <v>3</v>
      </c>
      <c r="B264" s="1" t="n">
        <v>8067</v>
      </c>
      <c r="C26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6V/10L/4B EN PARALELO</v>
      </c>
      <c r="D264" s="75" t="n">
        <v>46042</v>
      </c>
      <c r="E26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26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264" s="1" t="n">
        <v>1</v>
      </c>
      <c r="I264" s="1" t="n">
        <f aca="false">(salidas26[[#This Row],[CANT JUEGOS ]]*salidas26[[#This Row],[PRECIO JUEGO]])</f>
        <v>220</v>
      </c>
      <c r="J264" s="1" t="n">
        <f aca="false">(salidas26[[#This Row],[CANT BARRAS]]*salidas26[[#This Row],[PRECIO BARRA]])</f>
        <v>0</v>
      </c>
      <c r="K264" s="1" t="n">
        <v>210</v>
      </c>
      <c r="L264" s="1" t="s">
        <v>502</v>
      </c>
      <c r="M264" s="1" t="s">
        <v>597</v>
      </c>
    </row>
    <row r="265" customFormat="false" ht="15" hidden="false" customHeight="false" outlineLevel="0" collapsed="false">
      <c r="A265" s="1" t="n">
        <v>4</v>
      </c>
      <c r="B265" s="1" t="n">
        <v>1015</v>
      </c>
      <c r="C26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32LH500B-32LK500 3B/7L/3V</v>
      </c>
      <c r="D265" s="75" t="n">
        <v>46042</v>
      </c>
      <c r="E26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26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H265" s="1" t="n">
        <v>2</v>
      </c>
      <c r="I265" s="1" t="n">
        <f aca="false">(salidas26[[#This Row],[CANT JUEGOS ]]*salidas26[[#This Row],[PRECIO JUEGO]])</f>
        <v>0</v>
      </c>
      <c r="J265" s="1" t="n">
        <f aca="false">(salidas26[[#This Row],[CANT BARRAS]]*salidas26[[#This Row],[PRECIO BARRA]])</f>
        <v>53.3333333333333</v>
      </c>
      <c r="K265" s="1" t="n">
        <v>60</v>
      </c>
      <c r="L265" s="1" t="s">
        <v>502</v>
      </c>
      <c r="M265" s="1" t="s">
        <v>598</v>
      </c>
    </row>
    <row r="266" customFormat="false" ht="15" hidden="false" customHeight="false" outlineLevel="0" collapsed="false">
      <c r="A266" s="1" t="n">
        <v>5</v>
      </c>
      <c r="B266" s="1" t="n">
        <v>1069</v>
      </c>
      <c r="C26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47LB6500- 8B/6V</v>
      </c>
      <c r="D266" s="75" t="n">
        <v>46043</v>
      </c>
      <c r="E26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26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31.25</v>
      </c>
      <c r="G266" s="1" t="n">
        <v>1</v>
      </c>
      <c r="I266" s="1" t="n">
        <f aca="false">(salidas26[[#This Row],[CANT JUEGOS ]]*salidas26[[#This Row],[PRECIO JUEGO]])</f>
        <v>250</v>
      </c>
      <c r="J266" s="1" t="n">
        <f aca="false">(salidas26[[#This Row],[CANT BARRAS]]*salidas26[[#This Row],[PRECIO BARRA]])</f>
        <v>0</v>
      </c>
      <c r="K266" s="1" t="n">
        <v>2220</v>
      </c>
      <c r="L266" s="1" t="s">
        <v>502</v>
      </c>
      <c r="M266" s="1" t="s">
        <v>517</v>
      </c>
    </row>
    <row r="267" customFormat="false" ht="15" hidden="false" customHeight="false" outlineLevel="0" collapsed="false">
      <c r="A267" s="1" t="n">
        <v>6</v>
      </c>
      <c r="B267" s="1" t="n">
        <v>1033</v>
      </c>
      <c r="C26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D267" s="75" t="n">
        <v>46043</v>
      </c>
      <c r="E26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26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267" s="1" t="n">
        <v>1</v>
      </c>
      <c r="I267" s="1" t="n">
        <f aca="false">(salidas26[[#This Row],[CANT JUEGOS ]]*salidas26[[#This Row],[PRECIO JUEGO]])</f>
        <v>180</v>
      </c>
      <c r="J267" s="1" t="n">
        <f aca="false">(salidas26[[#This Row],[CANT BARRAS]]*salidas26[[#This Row],[PRECIO BARRA]])</f>
        <v>0</v>
      </c>
      <c r="K267" s="1" t="n">
        <v>200</v>
      </c>
      <c r="L267" s="1" t="s">
        <v>533</v>
      </c>
      <c r="M267" s="1" t="s">
        <v>510</v>
      </c>
    </row>
    <row r="268" customFormat="false" ht="15" hidden="false" customHeight="false" outlineLevel="0" collapsed="false">
      <c r="A268" s="1" t="n">
        <v>8</v>
      </c>
      <c r="B268" s="1" t="n">
        <v>8123</v>
      </c>
      <c r="C26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3V/2W S/C  DIF. 180º</v>
      </c>
      <c r="D268" s="75" t="n">
        <v>46043</v>
      </c>
      <c r="E26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26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268" s="1" t="n">
        <v>2</v>
      </c>
      <c r="I268" s="1" t="n">
        <f aca="false">(salidas26[[#This Row],[CANT JUEGOS ]]*salidas26[[#This Row],[PRECIO JUEGO]])</f>
        <v>0</v>
      </c>
      <c r="J268" s="1" t="n">
        <f aca="false">(salidas26[[#This Row],[CANT BARRAS]]*salidas26[[#This Row],[PRECIO BARRA]])</f>
        <v>7</v>
      </c>
      <c r="L268" s="1" t="s">
        <v>599</v>
      </c>
      <c r="M268" s="1" t="s">
        <v>600</v>
      </c>
    </row>
    <row r="269" customFormat="false" ht="15" hidden="false" customHeight="false" outlineLevel="0" collapsed="false">
      <c r="B269" s="1" t="n">
        <v>9001</v>
      </c>
      <c r="C26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75 JVC /12B</v>
      </c>
      <c r="D269" s="75" t="n">
        <v>46043</v>
      </c>
      <c r="E26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450</v>
      </c>
      <c r="F26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37.5</v>
      </c>
      <c r="G269" s="1" t="n">
        <v>1</v>
      </c>
      <c r="I269" s="1" t="n">
        <f aca="false">(salidas26[[#This Row],[CANT JUEGOS ]]*salidas26[[#This Row],[PRECIO JUEGO]])</f>
        <v>450</v>
      </c>
      <c r="J269" s="1" t="n">
        <f aca="false">(salidas26[[#This Row],[CANT BARRAS]]*salidas26[[#This Row],[PRECIO BARRA]])</f>
        <v>0</v>
      </c>
      <c r="M269" s="1" t="s">
        <v>541</v>
      </c>
    </row>
    <row r="270" customFormat="false" ht="15" hidden="false" customHeight="false" outlineLevel="0" collapsed="false">
      <c r="A270" s="1" t="n">
        <v>9</v>
      </c>
      <c r="B270" s="1" t="n">
        <v>9001</v>
      </c>
      <c r="C27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75 JVC /12B</v>
      </c>
      <c r="D270" s="75" t="n">
        <v>46043</v>
      </c>
      <c r="E27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450</v>
      </c>
      <c r="F27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37.5</v>
      </c>
      <c r="H270" s="1" t="n">
        <v>3</v>
      </c>
      <c r="I270" s="1" t="n">
        <f aca="false">(salidas26[[#This Row],[CANT JUEGOS ]]*salidas26[[#This Row],[PRECIO JUEGO]])</f>
        <v>0</v>
      </c>
      <c r="J270" s="1" t="n">
        <f aca="false">(salidas26[[#This Row],[CANT BARRAS]]*salidas26[[#This Row],[PRECIO BARRA]])</f>
        <v>112.5</v>
      </c>
      <c r="K270" s="1" t="n">
        <v>150</v>
      </c>
      <c r="L270" s="1" t="s">
        <v>502</v>
      </c>
      <c r="M270" s="1" t="s">
        <v>578</v>
      </c>
    </row>
    <row r="271" customFormat="false" ht="15" hidden="false" customHeight="false" outlineLevel="0" collapsed="false">
      <c r="A271" s="1" t="n">
        <v>10</v>
      </c>
      <c r="B271" s="1" t="n">
        <v>2097</v>
      </c>
      <c r="C27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UN65AU8000-65BU8000/2B</v>
      </c>
      <c r="D271" s="75" t="n">
        <v>46043</v>
      </c>
      <c r="E27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320</v>
      </c>
      <c r="F27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160</v>
      </c>
      <c r="G271" s="1" t="n">
        <v>1</v>
      </c>
      <c r="I271" s="1" t="n">
        <f aca="false">(salidas26[[#This Row],[CANT JUEGOS ]]*salidas26[[#This Row],[PRECIO JUEGO]])</f>
        <v>320</v>
      </c>
      <c r="J271" s="1" t="n">
        <f aca="false">(salidas26[[#This Row],[CANT BARRAS]]*salidas26[[#This Row],[PRECIO BARRA]])</f>
        <v>0</v>
      </c>
      <c r="K271" s="1" t="n">
        <v>320</v>
      </c>
      <c r="L271" s="1" t="s">
        <v>502</v>
      </c>
      <c r="M271" s="1" t="s">
        <v>569</v>
      </c>
    </row>
    <row r="272" customFormat="false" ht="15" hidden="false" customHeight="false" outlineLevel="0" collapsed="false">
      <c r="A272" s="1" t="n">
        <v>11</v>
      </c>
      <c r="B272" s="1" t="n">
        <v>8033</v>
      </c>
      <c r="C27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272" s="75" t="n">
        <v>46043</v>
      </c>
      <c r="E27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27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272" s="1" t="n">
        <v>1</v>
      </c>
      <c r="I272" s="1" t="n">
        <f aca="false">(salidas26[[#This Row],[CANT JUEGOS ]]*salidas26[[#This Row],[PRECIO JUEGO]])</f>
        <v>150</v>
      </c>
      <c r="J272" s="1" t="n">
        <f aca="false">(salidas26[[#This Row],[CANT BARRAS]]*salidas26[[#This Row],[PRECIO BARRA]])</f>
        <v>0</v>
      </c>
      <c r="K272" s="1" t="n">
        <v>140</v>
      </c>
      <c r="L272" s="1" t="s">
        <v>601</v>
      </c>
      <c r="M272" s="1" t="s">
        <v>529</v>
      </c>
    </row>
    <row r="273" customFormat="false" ht="15" hidden="false" customHeight="false" outlineLevel="0" collapsed="false">
      <c r="A273" s="1" t="n">
        <v>12</v>
      </c>
      <c r="B273" s="1" t="n">
        <v>2075</v>
      </c>
      <c r="C27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UN55NU7100-UN55RU7100/2B EDGE</v>
      </c>
      <c r="D273" s="75" t="n">
        <v>46043</v>
      </c>
      <c r="E27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27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100</v>
      </c>
      <c r="G273" s="1" t="n">
        <v>1</v>
      </c>
      <c r="I273" s="1" t="n">
        <f aca="false">(salidas26[[#This Row],[CANT JUEGOS ]]*salidas26[[#This Row],[PRECIO JUEGO]])</f>
        <v>200</v>
      </c>
      <c r="J273" s="1" t="n">
        <f aca="false">(salidas26[[#This Row],[CANT BARRAS]]*salidas26[[#This Row],[PRECIO BARRA]])</f>
        <v>0</v>
      </c>
      <c r="K273" s="1" t="n">
        <v>200</v>
      </c>
      <c r="L273" s="1" t="s">
        <v>502</v>
      </c>
      <c r="M273" s="1" t="s">
        <v>578</v>
      </c>
    </row>
    <row r="274" customFormat="false" ht="15" hidden="false" customHeight="false" outlineLevel="0" collapsed="false">
      <c r="A274" s="1" t="n">
        <v>13</v>
      </c>
      <c r="B274" s="1" t="n">
        <v>8067</v>
      </c>
      <c r="C27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6V/10L/4B EN PARALELO</v>
      </c>
      <c r="D274" s="75" t="n">
        <v>46043</v>
      </c>
      <c r="E27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27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274" s="1" t="n">
        <v>1</v>
      </c>
      <c r="I274" s="1" t="n">
        <f aca="false">(salidas26[[#This Row],[CANT JUEGOS ]]*salidas26[[#This Row],[PRECIO JUEGO]])</f>
        <v>220</v>
      </c>
      <c r="J274" s="1" t="n">
        <f aca="false">(salidas26[[#This Row],[CANT BARRAS]]*salidas26[[#This Row],[PRECIO BARRA]])</f>
        <v>0</v>
      </c>
      <c r="K274" s="1" t="n">
        <v>220</v>
      </c>
      <c r="L274" s="1" t="s">
        <v>533</v>
      </c>
      <c r="M274" s="1" t="s">
        <v>602</v>
      </c>
    </row>
    <row r="275" s="1" customFormat="true" ht="15" hidden="false" customHeight="false" outlineLevel="0" collapsed="false">
      <c r="A275" s="1" t="n">
        <v>14</v>
      </c>
      <c r="B275" s="1" t="n">
        <v>2087</v>
      </c>
      <c r="C27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UN58NU7100 /2B EDGE</v>
      </c>
      <c r="D275" s="75" t="n">
        <v>46043</v>
      </c>
      <c r="E27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27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120</v>
      </c>
      <c r="G275" s="1" t="n">
        <v>1</v>
      </c>
      <c r="I275" s="1" t="n">
        <f aca="false">(salidas26[[#This Row],[CANT JUEGOS ]]*salidas26[[#This Row],[PRECIO JUEGO]])</f>
        <v>240</v>
      </c>
      <c r="J275" s="1" t="n">
        <f aca="false">(salidas26[[#This Row],[CANT BARRAS]]*salidas26[[#This Row],[PRECIO BARRA]])</f>
        <v>0</v>
      </c>
      <c r="K275" s="1" t="n">
        <v>150</v>
      </c>
      <c r="L275" s="1" t="s">
        <v>502</v>
      </c>
      <c r="M275" s="1" t="s">
        <v>527</v>
      </c>
    </row>
    <row r="276" customFormat="false" ht="15" hidden="false" customHeight="false" outlineLevel="0" collapsed="false">
      <c r="A276" s="1" t="n">
        <v>15</v>
      </c>
      <c r="B276" s="1" t="n">
        <v>8021</v>
      </c>
      <c r="C27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JVC RECTO /2B</v>
      </c>
      <c r="D276" s="75" t="n">
        <v>46043</v>
      </c>
      <c r="E27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27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276" s="1" t="n">
        <v>1</v>
      </c>
      <c r="I276" s="1" t="n">
        <f aca="false">(salidas26[[#This Row],[CANT JUEGOS ]]*salidas26[[#This Row],[PRECIO JUEGO]])</f>
        <v>60</v>
      </c>
      <c r="J276" s="1" t="n">
        <f aca="false">(salidas26[[#This Row],[CANT BARRAS]]*salidas26[[#This Row],[PRECIO BARRA]])</f>
        <v>0</v>
      </c>
      <c r="K276" s="1" t="n">
        <v>60</v>
      </c>
      <c r="L276" s="1" t="s">
        <v>533</v>
      </c>
      <c r="M276" s="1" t="s">
        <v>603</v>
      </c>
    </row>
    <row r="277" s="1" customFormat="true" ht="15" hidden="false" customHeight="false" outlineLevel="0" collapsed="false">
      <c r="A277" s="1" t="n">
        <v>16</v>
      </c>
      <c r="B277" s="1" t="n">
        <v>3006</v>
      </c>
      <c r="C27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42B8000 4B/15LEDS/3V</v>
      </c>
      <c r="D277" s="75" t="n">
        <v>46043</v>
      </c>
      <c r="E27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27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45</v>
      </c>
      <c r="G277" s="1" t="n">
        <v>1</v>
      </c>
      <c r="I277" s="1" t="n">
        <f aca="false">(salidas26[[#This Row],[CANT JUEGOS ]]*salidas26[[#This Row],[PRECIO JUEGO]])</f>
        <v>180</v>
      </c>
      <c r="J277" s="1" t="n">
        <f aca="false">(salidas26[[#This Row],[CANT BARRAS]]*salidas26[[#This Row],[PRECIO BARRA]])</f>
        <v>0</v>
      </c>
      <c r="K277" s="1" t="n">
        <v>180</v>
      </c>
      <c r="L277" s="1" t="s">
        <v>502</v>
      </c>
      <c r="M277" s="1" t="s">
        <v>510</v>
      </c>
    </row>
    <row r="278" customFormat="false" ht="15" hidden="false" customHeight="false" outlineLevel="0" collapsed="false">
      <c r="A278" s="1" t="n">
        <v>17</v>
      </c>
      <c r="B278" s="1" t="n">
        <v>1075</v>
      </c>
      <c r="C27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49LJ5500-49UJ6300/8B</v>
      </c>
      <c r="D278" s="75" t="n">
        <v>46043</v>
      </c>
      <c r="E27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27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278" s="1" t="n">
        <v>1</v>
      </c>
      <c r="I278" s="1" t="n">
        <f aca="false">(salidas26[[#This Row],[CANT JUEGOS ]]*salidas26[[#This Row],[PRECIO JUEGO]])</f>
        <v>240</v>
      </c>
      <c r="J278" s="1" t="n">
        <f aca="false">(salidas26[[#This Row],[CANT BARRAS]]*salidas26[[#This Row],[PRECIO BARRA]])</f>
        <v>0</v>
      </c>
      <c r="K278" s="1" t="n">
        <v>230</v>
      </c>
      <c r="L278" s="1" t="s">
        <v>502</v>
      </c>
      <c r="M278" s="1" t="s">
        <v>557</v>
      </c>
    </row>
    <row r="279" customFormat="false" ht="15" hidden="false" customHeight="false" outlineLevel="0" collapsed="false">
      <c r="A279" s="1" t="n">
        <v>18</v>
      </c>
      <c r="B279" s="1" t="n">
        <v>1075</v>
      </c>
      <c r="C27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49LJ5500-49UJ6300/8B</v>
      </c>
      <c r="D279" s="75" t="n">
        <v>46043</v>
      </c>
      <c r="E27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27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279" s="1" t="n">
        <v>1</v>
      </c>
      <c r="I279" s="1" t="n">
        <f aca="false">(salidas26[[#This Row],[CANT JUEGOS ]]*salidas26[[#This Row],[PRECIO JUEGO]])</f>
        <v>240</v>
      </c>
      <c r="J279" s="1" t="n">
        <f aca="false">(salidas26[[#This Row],[CANT BARRAS]]*salidas26[[#This Row],[PRECIO BARRA]])</f>
        <v>0</v>
      </c>
      <c r="K279" s="1" t="n">
        <v>240</v>
      </c>
      <c r="L279" s="1" t="s">
        <v>502</v>
      </c>
      <c r="M279" s="1" t="s">
        <v>524</v>
      </c>
    </row>
    <row r="280" s="1" customFormat="true" ht="15" hidden="false" customHeight="false" outlineLevel="0" collapsed="false">
      <c r="A280" s="1" t="n">
        <v>19</v>
      </c>
      <c r="B280" s="1" t="n">
        <v>2048</v>
      </c>
      <c r="C28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UN49 NU7100/2B EDGE</v>
      </c>
      <c r="D280" s="75" t="n">
        <v>46043</v>
      </c>
      <c r="E28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28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90</v>
      </c>
      <c r="G280" s="1" t="n">
        <v>2</v>
      </c>
      <c r="I280" s="1" t="n">
        <f aca="false">(salidas26[[#This Row],[CANT JUEGOS ]]*salidas26[[#This Row],[PRECIO JUEGO]])</f>
        <v>360</v>
      </c>
      <c r="J280" s="1" t="n">
        <f aca="false">(salidas26[[#This Row],[CANT BARRAS]]*salidas26[[#This Row],[PRECIO BARRA]])</f>
        <v>0</v>
      </c>
      <c r="K280" s="1" t="n">
        <v>300</v>
      </c>
      <c r="L280" s="1" t="s">
        <v>502</v>
      </c>
      <c r="M280" s="1" t="s">
        <v>527</v>
      </c>
    </row>
    <row r="281" customFormat="false" ht="15" hidden="false" customHeight="false" outlineLevel="0" collapsed="false">
      <c r="A281" s="1" t="n">
        <v>20</v>
      </c>
      <c r="B281" s="1" t="n">
        <v>6009</v>
      </c>
      <c r="C28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L4700 TOSHIBA/6B (180 Bs) -43UJ-6200/LG/8B (200 BS)</v>
      </c>
      <c r="D281" s="75" t="n">
        <v>46044</v>
      </c>
      <c r="E28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28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H281" s="1" t="n">
        <v>8</v>
      </c>
      <c r="I281" s="1" t="n">
        <f aca="false">(salidas26[[#This Row],[CANT JUEGOS ]]*salidas26[[#This Row],[PRECIO JUEGO]])</f>
        <v>0</v>
      </c>
      <c r="J281" s="1" t="n">
        <f aca="false">(salidas26[[#This Row],[CANT BARRAS]]*salidas26[[#This Row],[PRECIO BARRA]])</f>
        <v>180</v>
      </c>
      <c r="K281" s="1" t="n">
        <v>200</v>
      </c>
      <c r="L281" s="1" t="s">
        <v>502</v>
      </c>
      <c r="M281" s="1" t="s">
        <v>507</v>
      </c>
    </row>
    <row r="282" customFormat="false" ht="15" hidden="false" customHeight="false" outlineLevel="0" collapsed="false">
      <c r="A282" s="1" t="n">
        <v>21</v>
      </c>
      <c r="B282" s="1" t="n">
        <v>1033</v>
      </c>
      <c r="C28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D282" s="75" t="n">
        <v>46044</v>
      </c>
      <c r="E28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28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282" s="1" t="n">
        <v>2</v>
      </c>
      <c r="I282" s="1" t="n">
        <f aca="false">(salidas26[[#This Row],[CANT JUEGOS ]]*salidas26[[#This Row],[PRECIO JUEGO]])</f>
        <v>360</v>
      </c>
      <c r="J282" s="1" t="n">
        <f aca="false">(salidas26[[#This Row],[CANT BARRAS]]*salidas26[[#This Row],[PRECIO BARRA]])</f>
        <v>0</v>
      </c>
      <c r="K282" s="1" t="n">
        <v>360</v>
      </c>
      <c r="L282" s="1" t="s">
        <v>533</v>
      </c>
      <c r="M282" s="1" t="s">
        <v>580</v>
      </c>
    </row>
    <row r="283" customFormat="false" ht="15" hidden="false" customHeight="false" outlineLevel="0" collapsed="false">
      <c r="A283" s="1" t="n">
        <v>22</v>
      </c>
      <c r="B283" s="1" t="n">
        <v>7015</v>
      </c>
      <c r="C28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IRT 50604 9L  lupa 180 4B</v>
      </c>
      <c r="D283" s="75" t="n">
        <v>46044</v>
      </c>
      <c r="E28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28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283" s="1" t="n">
        <v>1</v>
      </c>
      <c r="I283" s="1" t="n">
        <f aca="false">(salidas26[[#This Row],[CANT JUEGOS ]]*salidas26[[#This Row],[PRECIO JUEGO]])</f>
        <v>200</v>
      </c>
      <c r="J283" s="1" t="n">
        <f aca="false">(salidas26[[#This Row],[CANT BARRAS]]*salidas26[[#This Row],[PRECIO BARRA]])</f>
        <v>0</v>
      </c>
      <c r="K283" s="1" t="n">
        <v>160</v>
      </c>
      <c r="L283" s="1" t="s">
        <v>502</v>
      </c>
      <c r="M283" s="1" t="s">
        <v>534</v>
      </c>
    </row>
    <row r="284" customFormat="false" ht="15" hidden="false" customHeight="false" outlineLevel="0" collapsed="false">
      <c r="A284" s="1" t="n">
        <v>23</v>
      </c>
      <c r="B284" s="1" t="n">
        <v>2003</v>
      </c>
      <c r="C28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UN32F5000-SAMSUNG 5B</v>
      </c>
      <c r="D284" s="75" t="n">
        <v>46044</v>
      </c>
      <c r="E28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130</v>
      </c>
      <c r="F28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</v>
      </c>
      <c r="G284" s="1" t="n">
        <v>1</v>
      </c>
      <c r="I284" s="1" t="n">
        <f aca="false">(salidas26[[#This Row],[CANT JUEGOS ]]*salidas26[[#This Row],[PRECIO JUEGO]])</f>
        <v>130</v>
      </c>
      <c r="J284" s="1" t="n">
        <f aca="false">(salidas26[[#This Row],[CANT BARRAS]]*salidas26[[#This Row],[PRECIO BARRA]])</f>
        <v>0</v>
      </c>
      <c r="K284" s="1" t="n">
        <v>104</v>
      </c>
      <c r="L284" s="1" t="s">
        <v>502</v>
      </c>
      <c r="M284" s="1" t="s">
        <v>534</v>
      </c>
    </row>
    <row r="285" customFormat="false" ht="15" hidden="false" customHeight="false" outlineLevel="0" collapsed="false">
      <c r="A285" s="1" t="n">
        <v>24</v>
      </c>
      <c r="B285" s="1" t="n">
        <v>8070</v>
      </c>
      <c r="C28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JVC KB527</v>
      </c>
      <c r="D285" s="75" t="n">
        <v>46044</v>
      </c>
      <c r="E28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28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62.5</v>
      </c>
      <c r="G285" s="1" t="n">
        <v>1</v>
      </c>
      <c r="I285" s="1" t="n">
        <f aca="false">(salidas26[[#This Row],[CANT JUEGOS ]]*salidas26[[#This Row],[PRECIO JUEGO]])</f>
        <v>250</v>
      </c>
      <c r="J285" s="1" t="n">
        <f aca="false">(salidas26[[#This Row],[CANT BARRAS]]*salidas26[[#This Row],[PRECIO BARRA]])</f>
        <v>0</v>
      </c>
      <c r="K285" s="1" t="n">
        <v>200</v>
      </c>
      <c r="L285" s="1" t="s">
        <v>502</v>
      </c>
      <c r="M285" s="1" t="s">
        <v>534</v>
      </c>
    </row>
    <row r="286" customFormat="false" ht="15" hidden="false" customHeight="false" outlineLevel="0" collapsed="false">
      <c r="A286" s="1" t="n">
        <v>26</v>
      </c>
      <c r="B286" s="1" t="n">
        <v>4003</v>
      </c>
      <c r="C28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DAEWOO 8L/3V - 3B</v>
      </c>
      <c r="D286" s="75" t="n">
        <v>46044</v>
      </c>
      <c r="E28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28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286" s="1" t="n">
        <v>1</v>
      </c>
      <c r="H286" s="1" t="n">
        <v>1</v>
      </c>
      <c r="I286" s="1" t="n">
        <f aca="false">(salidas26[[#This Row],[CANT JUEGOS ]]*salidas26[[#This Row],[PRECIO JUEGO]])</f>
        <v>90</v>
      </c>
      <c r="J286" s="1" t="n">
        <f aca="false">(salidas26[[#This Row],[CANT BARRAS]]*salidas26[[#This Row],[PRECIO BARRA]])</f>
        <v>30</v>
      </c>
      <c r="K286" s="1" t="n">
        <v>120</v>
      </c>
      <c r="L286" s="1" t="s">
        <v>502</v>
      </c>
      <c r="M286" s="1" t="s">
        <v>557</v>
      </c>
    </row>
    <row r="287" customFormat="false" ht="15" hidden="false" customHeight="false" outlineLevel="0" collapsed="false">
      <c r="A287" s="1" t="n">
        <v>27</v>
      </c>
      <c r="B287" s="1" t="n">
        <v>8033</v>
      </c>
      <c r="C28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287" s="75" t="n">
        <v>46044</v>
      </c>
      <c r="E28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28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287" s="1" t="n">
        <v>1</v>
      </c>
      <c r="I287" s="1" t="n">
        <f aca="false">(salidas26[[#This Row],[CANT JUEGOS ]]*salidas26[[#This Row],[PRECIO JUEGO]])</f>
        <v>150</v>
      </c>
      <c r="J287" s="1" t="n">
        <f aca="false">(salidas26[[#This Row],[CANT BARRAS]]*salidas26[[#This Row],[PRECIO BARRA]])</f>
        <v>0</v>
      </c>
      <c r="K287" s="1" t="n">
        <v>150</v>
      </c>
      <c r="L287" s="1" t="s">
        <v>502</v>
      </c>
      <c r="M287" s="1" t="s">
        <v>581</v>
      </c>
    </row>
    <row r="288" customFormat="false" ht="15" hidden="false" customHeight="false" outlineLevel="0" collapsed="false">
      <c r="A288" s="1" t="n">
        <v>28</v>
      </c>
      <c r="B288" s="1" t="n">
        <v>1067</v>
      </c>
      <c r="C28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47LA6600/2B</v>
      </c>
      <c r="D288" s="75" t="n">
        <v>46044</v>
      </c>
      <c r="E28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28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125</v>
      </c>
      <c r="G288" s="1" t="n">
        <v>1</v>
      </c>
      <c r="I288" s="1" t="n">
        <f aca="false">(salidas26[[#This Row],[CANT JUEGOS ]]*salidas26[[#This Row],[PRECIO JUEGO]])</f>
        <v>250</v>
      </c>
      <c r="J288" s="1" t="n">
        <f aca="false">(salidas26[[#This Row],[CANT BARRAS]]*salidas26[[#This Row],[PRECIO BARRA]])</f>
        <v>0</v>
      </c>
      <c r="K288" s="1" t="n">
        <v>210</v>
      </c>
      <c r="L288" s="1" t="s">
        <v>502</v>
      </c>
      <c r="M288" s="1" t="s">
        <v>604</v>
      </c>
    </row>
    <row r="289" customFormat="false" ht="15" hidden="false" customHeight="false" outlineLevel="0" collapsed="false">
      <c r="A289" s="1" t="n">
        <v>29</v>
      </c>
      <c r="B289" s="1" t="n">
        <v>5012</v>
      </c>
      <c r="C28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KDL-40R455 SONY/10B</v>
      </c>
      <c r="D289" s="75" t="n">
        <v>46044</v>
      </c>
      <c r="E28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28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289" s="1" t="n">
        <v>1</v>
      </c>
      <c r="I289" s="1" t="n">
        <f aca="false">(salidas26[[#This Row],[CANT JUEGOS ]]*salidas26[[#This Row],[PRECIO JUEGO]])</f>
        <v>200</v>
      </c>
      <c r="J289" s="1" t="n">
        <f aca="false">(salidas26[[#This Row],[CANT BARRAS]]*salidas26[[#This Row],[PRECIO BARRA]])</f>
        <v>0</v>
      </c>
      <c r="K289" s="1" t="n">
        <v>200</v>
      </c>
      <c r="L289" s="1" t="s">
        <v>502</v>
      </c>
      <c r="M289" s="1" t="s">
        <v>559</v>
      </c>
    </row>
    <row r="290" customFormat="false" ht="15" hidden="false" customHeight="false" outlineLevel="0" collapsed="false">
      <c r="A290" s="1" t="n">
        <v>30</v>
      </c>
      <c r="B290" s="1" t="n">
        <v>2087</v>
      </c>
      <c r="C29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UN58NU7100 /2B EDGE</v>
      </c>
      <c r="D290" s="75" t="n">
        <v>46044</v>
      </c>
      <c r="E29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29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120</v>
      </c>
      <c r="G290" s="1" t="n">
        <v>1</v>
      </c>
      <c r="I290" s="1" t="n">
        <f aca="false">(salidas26[[#This Row],[CANT JUEGOS ]]*salidas26[[#This Row],[PRECIO JUEGO]])</f>
        <v>240</v>
      </c>
      <c r="J290" s="1" t="n">
        <f aca="false">(salidas26[[#This Row],[CANT BARRAS]]*salidas26[[#This Row],[PRECIO BARRA]])</f>
        <v>0</v>
      </c>
      <c r="K290" s="1" t="n">
        <v>220</v>
      </c>
      <c r="L290" s="1" t="s">
        <v>533</v>
      </c>
      <c r="M290" s="1" t="s">
        <v>605</v>
      </c>
    </row>
    <row r="291" customFormat="false" ht="15" hidden="false" customHeight="false" outlineLevel="0" collapsed="false">
      <c r="A291" s="1" t="n">
        <v>31</v>
      </c>
      <c r="B291" s="1" t="n">
        <v>2087</v>
      </c>
      <c r="C29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UN58NU7100 /2B EDGE</v>
      </c>
      <c r="D291" s="75" t="n">
        <v>46044</v>
      </c>
      <c r="E29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29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120</v>
      </c>
      <c r="H291" s="1" t="n">
        <v>1</v>
      </c>
      <c r="I291" s="1" t="n">
        <f aca="false">(salidas26[[#This Row],[CANT JUEGOS ]]*salidas26[[#This Row],[PRECIO JUEGO]])</f>
        <v>0</v>
      </c>
      <c r="J291" s="1" t="n">
        <f aca="false">(salidas26[[#This Row],[CANT BARRAS]]*salidas26[[#This Row],[PRECIO BARRA]])</f>
        <v>120</v>
      </c>
      <c r="L291" s="1" t="s">
        <v>599</v>
      </c>
      <c r="M291" s="1" t="s">
        <v>527</v>
      </c>
    </row>
    <row r="292" customFormat="false" ht="15" hidden="false" customHeight="false" outlineLevel="0" collapsed="false">
      <c r="A292" s="1" t="n">
        <v>32</v>
      </c>
      <c r="B292" s="1" t="n">
        <v>7000</v>
      </c>
      <c r="C29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IRT/6L/2B/6V</v>
      </c>
      <c r="D292" s="75" t="n">
        <v>46044</v>
      </c>
      <c r="E29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29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292" s="1" t="n">
        <v>1</v>
      </c>
      <c r="I292" s="1" t="n">
        <f aca="false">(salidas26[[#This Row],[CANT JUEGOS ]]*salidas26[[#This Row],[PRECIO JUEGO]])</f>
        <v>60</v>
      </c>
      <c r="J292" s="1" t="n">
        <f aca="false">(salidas26[[#This Row],[CANT BARRAS]]*salidas26[[#This Row],[PRECIO BARRA]])</f>
        <v>0</v>
      </c>
      <c r="K292" s="1" t="n">
        <v>60</v>
      </c>
      <c r="L292" s="1" t="s">
        <v>502</v>
      </c>
      <c r="M292" s="1" t="s">
        <v>581</v>
      </c>
    </row>
    <row r="293" customFormat="false" ht="15" hidden="false" customHeight="false" outlineLevel="0" collapsed="false">
      <c r="A293" s="1" t="n">
        <v>34</v>
      </c>
      <c r="B293" s="1" t="n">
        <v>8124</v>
      </c>
      <c r="C29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LUPA NORMAL 3V/2W S/C </v>
      </c>
      <c r="D293" s="75" t="n">
        <v>46044</v>
      </c>
      <c r="E29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29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293" s="1" t="n">
        <v>24</v>
      </c>
      <c r="I293" s="1" t="n">
        <f aca="false">(salidas26[[#This Row],[CANT JUEGOS ]]*salidas26[[#This Row],[PRECIO JUEGO]])</f>
        <v>0</v>
      </c>
      <c r="J293" s="1" t="n">
        <f aca="false">(salidas26[[#This Row],[CANT BARRAS]]*salidas26[[#This Row],[PRECIO BARRA]])</f>
        <v>84</v>
      </c>
      <c r="K293" s="1" t="n">
        <v>84</v>
      </c>
      <c r="L293" s="1" t="s">
        <v>502</v>
      </c>
      <c r="M293" s="1" t="s">
        <v>539</v>
      </c>
    </row>
    <row r="294" customFormat="false" ht="15" hidden="false" customHeight="false" outlineLevel="0" collapsed="false">
      <c r="A294" s="1" t="n">
        <v>35</v>
      </c>
      <c r="B294" s="1" t="n">
        <v>5000</v>
      </c>
      <c r="C29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KDL-32R425A SONY/3B</v>
      </c>
      <c r="D294" s="75" t="n">
        <v>46045</v>
      </c>
      <c r="E29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29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294" s="1" t="n">
        <v>1</v>
      </c>
      <c r="I294" s="1" t="n">
        <f aca="false">(salidas26[[#This Row],[CANT JUEGOS ]]*salidas26[[#This Row],[PRECIO JUEGO]])</f>
        <v>90</v>
      </c>
      <c r="J294" s="1" t="n">
        <f aca="false">(salidas26[[#This Row],[CANT BARRAS]]*salidas26[[#This Row],[PRECIO BARRA]])</f>
        <v>0</v>
      </c>
      <c r="K294" s="1" t="n">
        <v>100</v>
      </c>
      <c r="L294" s="1" t="s">
        <v>502</v>
      </c>
      <c r="M294" s="1" t="s">
        <v>518</v>
      </c>
    </row>
    <row r="295" customFormat="false" ht="15" hidden="false" customHeight="false" outlineLevel="0" collapsed="false">
      <c r="A295" s="1" t="n">
        <v>36</v>
      </c>
      <c r="B295" s="1" t="n">
        <v>8123</v>
      </c>
      <c r="C29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3V/2W S/C  DIF. 180º</v>
      </c>
      <c r="E29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29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295" s="1" t="n">
        <v>1</v>
      </c>
      <c r="I295" s="1" t="n">
        <f aca="false">(salidas26[[#This Row],[CANT JUEGOS ]]*salidas26[[#This Row],[PRECIO JUEGO]])</f>
        <v>0</v>
      </c>
      <c r="J295" s="1" t="n">
        <f aca="false">(salidas26[[#This Row],[CANT BARRAS]]*salidas26[[#This Row],[PRECIO BARRA]])</f>
        <v>3.5</v>
      </c>
      <c r="K295" s="1" t="n">
        <v>4</v>
      </c>
      <c r="L295" s="1" t="s">
        <v>502</v>
      </c>
      <c r="M295" s="1" t="s">
        <v>606</v>
      </c>
    </row>
    <row r="296" customFormat="false" ht="15" hidden="false" customHeight="false" outlineLevel="0" collapsed="false">
      <c r="A296" s="1" t="n">
        <v>37</v>
      </c>
      <c r="B296" s="1" t="n">
        <v>3028</v>
      </c>
      <c r="C29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55U6500 8L/14B</v>
      </c>
      <c r="D296" s="75" t="n">
        <v>46045</v>
      </c>
      <c r="E29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29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25</v>
      </c>
      <c r="G296" s="1" t="n">
        <v>1</v>
      </c>
      <c r="I296" s="1" t="n">
        <f aca="false">(salidas26[[#This Row],[CANT JUEGOS ]]*salidas26[[#This Row],[PRECIO JUEGO]])</f>
        <v>350</v>
      </c>
      <c r="J296" s="1" t="n">
        <f aca="false">(salidas26[[#This Row],[CANT BARRAS]]*salidas26[[#This Row],[PRECIO BARRA]])</f>
        <v>0</v>
      </c>
      <c r="K296" s="1" t="n">
        <v>350</v>
      </c>
      <c r="L296" s="1" t="s">
        <v>533</v>
      </c>
      <c r="M296" s="1" t="s">
        <v>607</v>
      </c>
    </row>
    <row r="297" customFormat="false" ht="15" hidden="false" customHeight="false" outlineLevel="0" collapsed="false">
      <c r="A297" s="1" t="n">
        <v>38</v>
      </c>
      <c r="B297" s="1" t="n">
        <v>1126</v>
      </c>
      <c r="C29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55UH6150/2B</v>
      </c>
      <c r="D297" s="75" t="n">
        <v>46046</v>
      </c>
      <c r="E29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29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130</v>
      </c>
      <c r="G297" s="1" t="n">
        <v>1</v>
      </c>
      <c r="I297" s="1" t="n">
        <f aca="false">(salidas26[[#This Row],[CANT JUEGOS ]]*salidas26[[#This Row],[PRECIO JUEGO]])</f>
        <v>260</v>
      </c>
      <c r="J297" s="1" t="n">
        <f aca="false">(salidas26[[#This Row],[CANT BARRAS]]*salidas26[[#This Row],[PRECIO BARRA]])</f>
        <v>0</v>
      </c>
      <c r="K297" s="1" t="n">
        <v>260</v>
      </c>
      <c r="L297" s="1" t="s">
        <v>533</v>
      </c>
      <c r="M297" s="1" t="s">
        <v>505</v>
      </c>
    </row>
    <row r="298" customFormat="false" ht="15" hidden="false" customHeight="false" outlineLevel="0" collapsed="false">
      <c r="A298" s="1" t="n">
        <v>39</v>
      </c>
      <c r="B298" s="1" t="n">
        <v>4015</v>
      </c>
      <c r="C29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49-DAeWO/ 9B EL JUEGO</v>
      </c>
      <c r="D298" s="75" t="n">
        <v>46046</v>
      </c>
      <c r="E29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29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22.2222222222222</v>
      </c>
      <c r="G298" s="1" t="n">
        <v>1</v>
      </c>
      <c r="I298" s="1" t="n">
        <f aca="false">(salidas26[[#This Row],[CANT JUEGOS ]]*salidas26[[#This Row],[PRECIO JUEGO]])</f>
        <v>200</v>
      </c>
      <c r="J298" s="1" t="n">
        <f aca="false">(salidas26[[#This Row],[CANT BARRAS]]*salidas26[[#This Row],[PRECIO BARRA]])</f>
        <v>0</v>
      </c>
      <c r="K298" s="1" t="n">
        <v>200</v>
      </c>
      <c r="L298" s="1" t="s">
        <v>502</v>
      </c>
      <c r="M298" s="1" t="s">
        <v>505</v>
      </c>
    </row>
    <row r="299" customFormat="false" ht="15" hidden="false" customHeight="false" outlineLevel="0" collapsed="false">
      <c r="A299" s="1" t="n">
        <v>40</v>
      </c>
      <c r="B299" s="1" t="n">
        <v>8021</v>
      </c>
      <c r="C29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JVC RECTO /2B</v>
      </c>
      <c r="D299" s="75" t="n">
        <v>46046</v>
      </c>
      <c r="E29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29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299" s="1" t="n">
        <v>1</v>
      </c>
      <c r="I299" s="1" t="n">
        <f aca="false">(salidas26[[#This Row],[CANT JUEGOS ]]*salidas26[[#This Row],[PRECIO JUEGO]])</f>
        <v>60</v>
      </c>
      <c r="J299" s="1" t="n">
        <f aca="false">(salidas26[[#This Row],[CANT BARRAS]]*salidas26[[#This Row],[PRECIO BARRA]])</f>
        <v>0</v>
      </c>
      <c r="K299" s="1" t="n">
        <v>60</v>
      </c>
      <c r="L299" s="1" t="s">
        <v>533</v>
      </c>
      <c r="M299" s="1" t="s">
        <v>505</v>
      </c>
    </row>
    <row r="300" customFormat="false" ht="15" hidden="false" customHeight="false" outlineLevel="0" collapsed="false">
      <c r="A300" s="1" t="n">
        <v>41</v>
      </c>
      <c r="B300" s="1" t="n">
        <v>2097</v>
      </c>
      <c r="C30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UN65AU8000-65BU8000/2B</v>
      </c>
      <c r="D300" s="75" t="n">
        <v>46046</v>
      </c>
      <c r="E30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320</v>
      </c>
      <c r="F30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160</v>
      </c>
      <c r="G300" s="1" t="n">
        <v>1</v>
      </c>
      <c r="I300" s="1" t="n">
        <f aca="false">(salidas26[[#This Row],[CANT JUEGOS ]]*salidas26[[#This Row],[PRECIO JUEGO]])</f>
        <v>320</v>
      </c>
      <c r="J300" s="1" t="n">
        <f aca="false">(salidas26[[#This Row],[CANT BARRAS]]*salidas26[[#This Row],[PRECIO BARRA]])</f>
        <v>0</v>
      </c>
      <c r="K300" s="1" t="n">
        <v>310</v>
      </c>
      <c r="L300" s="1" t="s">
        <v>533</v>
      </c>
      <c r="M300" s="1" t="s">
        <v>565</v>
      </c>
    </row>
    <row r="301" customFormat="false" ht="15" hidden="false" customHeight="false" outlineLevel="0" collapsed="false">
      <c r="A301" s="1" t="n">
        <v>42</v>
      </c>
      <c r="B301" s="1" t="n">
        <v>2018</v>
      </c>
      <c r="C30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UN40FH6203 3B/2C/1R/13-13-13</v>
      </c>
      <c r="D301" s="75" t="n">
        <v>46046</v>
      </c>
      <c r="E30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30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301" s="1" t="n">
        <v>1</v>
      </c>
      <c r="I301" s="1" t="n">
        <f aca="false">(salidas26[[#This Row],[CANT JUEGOS ]]*salidas26[[#This Row],[PRECIO JUEGO]])</f>
        <v>160</v>
      </c>
      <c r="J301" s="1" t="n">
        <f aca="false">(salidas26[[#This Row],[CANT BARRAS]]*salidas26[[#This Row],[PRECIO BARRA]])</f>
        <v>0</v>
      </c>
      <c r="K301" s="1" t="n">
        <v>150</v>
      </c>
      <c r="L301" s="1" t="s">
        <v>533</v>
      </c>
      <c r="M301" s="1" t="s">
        <v>565</v>
      </c>
    </row>
    <row r="302" customFormat="false" ht="15" hidden="false" customHeight="false" outlineLevel="0" collapsed="false">
      <c r="A302" s="1" t="n">
        <v>43</v>
      </c>
      <c r="B302" s="1" t="n">
        <v>2090</v>
      </c>
      <c r="C30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UN58FH/12B</v>
      </c>
      <c r="D302" s="75" t="n">
        <v>46046</v>
      </c>
      <c r="E30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30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29.1666666666667</v>
      </c>
      <c r="G302" s="1" t="n">
        <v>1</v>
      </c>
      <c r="I302" s="1" t="n">
        <f aca="false">(salidas26[[#This Row],[CANT JUEGOS ]]*salidas26[[#This Row],[PRECIO JUEGO]])</f>
        <v>350</v>
      </c>
      <c r="J302" s="1" t="n">
        <f aca="false">(salidas26[[#This Row],[CANT BARRAS]]*salidas26[[#This Row],[PRECIO BARRA]])</f>
        <v>0</v>
      </c>
      <c r="K302" s="1" t="n">
        <v>340</v>
      </c>
      <c r="L302" s="1" t="s">
        <v>533</v>
      </c>
      <c r="M302" s="1" t="s">
        <v>565</v>
      </c>
    </row>
    <row r="303" customFormat="false" ht="15" hidden="false" customHeight="false" outlineLevel="0" collapsed="false">
      <c r="A303" s="1" t="n">
        <v>44</v>
      </c>
      <c r="B303" s="1" t="n">
        <v>7000</v>
      </c>
      <c r="C30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IRT/6L/2B/6V</v>
      </c>
      <c r="D303" s="75" t="n">
        <v>46046</v>
      </c>
      <c r="E30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30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03" s="1" t="n">
        <v>1</v>
      </c>
      <c r="I303" s="1" t="n">
        <f aca="false">(salidas26[[#This Row],[CANT JUEGOS ]]*salidas26[[#This Row],[PRECIO JUEGO]])</f>
        <v>60</v>
      </c>
      <c r="J303" s="1" t="n">
        <f aca="false">(salidas26[[#This Row],[CANT BARRAS]]*salidas26[[#This Row],[PRECIO BARRA]])</f>
        <v>0</v>
      </c>
      <c r="K303" s="1" t="n">
        <v>60</v>
      </c>
      <c r="L303" s="1" t="s">
        <v>502</v>
      </c>
      <c r="M303" s="1" t="s">
        <v>520</v>
      </c>
    </row>
    <row r="304" customFormat="false" ht="15" hidden="false" customHeight="false" outlineLevel="0" collapsed="false">
      <c r="A304" s="1" t="n">
        <v>45</v>
      </c>
      <c r="B304" s="1" t="n">
        <v>8123</v>
      </c>
      <c r="C30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3V/2W S/C  DIF. 180º</v>
      </c>
      <c r="D304" s="75" t="n">
        <v>46046</v>
      </c>
      <c r="E30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30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304" s="1" t="n">
        <v>38</v>
      </c>
      <c r="I304" s="1" t="n">
        <f aca="false">(salidas26[[#This Row],[CANT JUEGOS ]]*salidas26[[#This Row],[PRECIO JUEGO]])</f>
        <v>0</v>
      </c>
      <c r="J304" s="1" t="n">
        <f aca="false">(salidas26[[#This Row],[CANT BARRAS]]*salidas26[[#This Row],[PRECIO BARRA]])</f>
        <v>133</v>
      </c>
      <c r="K304" s="1" t="n">
        <v>125</v>
      </c>
      <c r="L304" s="1" t="s">
        <v>533</v>
      </c>
      <c r="M304" s="1" t="s">
        <v>608</v>
      </c>
    </row>
    <row r="305" customFormat="false" ht="15" hidden="false" customHeight="false" outlineLevel="0" collapsed="false">
      <c r="A305" s="1" t="n">
        <v>46</v>
      </c>
      <c r="B305" s="1" t="n">
        <v>6009</v>
      </c>
      <c r="C30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L4700 TOSHIBA/6B (180 Bs) -43UJ-6200/LG/8B (200 BS)</v>
      </c>
      <c r="D305" s="75" t="n">
        <v>46046</v>
      </c>
      <c r="E30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30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H305" s="1" t="n">
        <v>6</v>
      </c>
      <c r="I305" s="1" t="n">
        <f aca="false">(salidas26[[#This Row],[CANT JUEGOS ]]*salidas26[[#This Row],[PRECIO JUEGO]])</f>
        <v>0</v>
      </c>
      <c r="J305" s="1" t="n">
        <f aca="false">(salidas26[[#This Row],[CANT BARRAS]]*salidas26[[#This Row],[PRECIO BARRA]])</f>
        <v>135</v>
      </c>
      <c r="K305" s="1" t="n">
        <v>170</v>
      </c>
      <c r="L305" s="1" t="s">
        <v>502</v>
      </c>
      <c r="M305" s="1" t="s">
        <v>507</v>
      </c>
    </row>
    <row r="306" customFormat="false" ht="15" hidden="false" customHeight="false" outlineLevel="0" collapsed="false">
      <c r="A306" s="1" t="n">
        <v>47</v>
      </c>
      <c r="B306" s="1" t="n">
        <v>3040</v>
      </c>
      <c r="C30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HAIER LE65U6500DUA</v>
      </c>
      <c r="D306" s="75" t="n">
        <v>46046</v>
      </c>
      <c r="E30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450</v>
      </c>
      <c r="F30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28.125</v>
      </c>
      <c r="G306" s="1" t="n">
        <v>1</v>
      </c>
      <c r="I306" s="1" t="n">
        <f aca="false">(salidas26[[#This Row],[CANT JUEGOS ]]*salidas26[[#This Row],[PRECIO JUEGO]])</f>
        <v>450</v>
      </c>
      <c r="J306" s="1" t="n">
        <f aca="false">(salidas26[[#This Row],[CANT BARRAS]]*salidas26[[#This Row],[PRECIO BARRA]])</f>
        <v>0</v>
      </c>
      <c r="K306" s="1" t="n">
        <v>360</v>
      </c>
      <c r="L306" s="1" t="s">
        <v>533</v>
      </c>
      <c r="M306" s="1" t="s">
        <v>534</v>
      </c>
    </row>
    <row r="307" customFormat="false" ht="15" hidden="false" customHeight="false" outlineLevel="0" collapsed="false">
      <c r="A307" s="1" t="n">
        <v>48</v>
      </c>
      <c r="B307" s="1" t="n">
        <v>7000</v>
      </c>
      <c r="C30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IRT/6L/2B/6V</v>
      </c>
      <c r="D307" s="75" t="n">
        <v>46046</v>
      </c>
      <c r="E30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30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07" s="1" t="n">
        <v>1</v>
      </c>
      <c r="I307" s="1" t="n">
        <f aca="false">(salidas26[[#This Row],[CANT JUEGOS ]]*salidas26[[#This Row],[PRECIO JUEGO]])</f>
        <v>60</v>
      </c>
      <c r="J307" s="1" t="n">
        <f aca="false">(salidas26[[#This Row],[CANT BARRAS]]*salidas26[[#This Row],[PRECIO BARRA]])</f>
        <v>0</v>
      </c>
      <c r="K307" s="1" t="n">
        <v>48</v>
      </c>
      <c r="L307" s="1" t="s">
        <v>533</v>
      </c>
      <c r="M307" s="1" t="s">
        <v>534</v>
      </c>
    </row>
    <row r="308" customFormat="false" ht="15" hidden="false" customHeight="false" outlineLevel="0" collapsed="false">
      <c r="A308" s="1" t="n">
        <v>49</v>
      </c>
      <c r="B308" s="1" t="n">
        <v>7015</v>
      </c>
      <c r="C30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IRT 50604 9L  lupa 180 4B</v>
      </c>
      <c r="D308" s="75" t="n">
        <v>46046</v>
      </c>
      <c r="E30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30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308" s="1" t="n">
        <v>1</v>
      </c>
      <c r="I308" s="1" t="n">
        <f aca="false">(salidas26[[#This Row],[CANT JUEGOS ]]*salidas26[[#This Row],[PRECIO JUEGO]])</f>
        <v>200</v>
      </c>
      <c r="J308" s="1" t="n">
        <f aca="false">(salidas26[[#This Row],[CANT BARRAS]]*salidas26[[#This Row],[PRECIO BARRA]])</f>
        <v>0</v>
      </c>
      <c r="K308" s="1" t="n">
        <v>160</v>
      </c>
      <c r="L308" s="1" t="s">
        <v>533</v>
      </c>
      <c r="M308" s="1" t="s">
        <v>534</v>
      </c>
    </row>
    <row r="309" customFormat="false" ht="15" hidden="false" customHeight="false" outlineLevel="0" collapsed="false">
      <c r="A309" s="1" t="n">
        <v>50</v>
      </c>
      <c r="B309" s="1" t="n">
        <v>5018</v>
      </c>
      <c r="C30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KDL-40R475 SONY/10B</v>
      </c>
      <c r="D309" s="75" t="n">
        <v>46046</v>
      </c>
      <c r="E30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30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309" s="1" t="n">
        <v>1</v>
      </c>
      <c r="I309" s="1" t="n">
        <f aca="false">(salidas26[[#This Row],[CANT JUEGOS ]]*salidas26[[#This Row],[PRECIO JUEGO]])</f>
        <v>200</v>
      </c>
      <c r="J309" s="1" t="n">
        <f aca="false">(salidas26[[#This Row],[CANT BARRAS]]*salidas26[[#This Row],[PRECIO BARRA]])</f>
        <v>0</v>
      </c>
      <c r="K309" s="1" t="n">
        <v>170</v>
      </c>
      <c r="L309" s="1" t="s">
        <v>533</v>
      </c>
      <c r="M309" s="1" t="s">
        <v>511</v>
      </c>
    </row>
    <row r="310" customFormat="false" ht="15" hidden="false" customHeight="false" outlineLevel="0" collapsed="false">
      <c r="A310" s="1" t="n">
        <v>51</v>
      </c>
      <c r="B310" s="1" t="n">
        <v>1033</v>
      </c>
      <c r="C31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D310" s="75" t="n">
        <v>46046</v>
      </c>
      <c r="E31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31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310" s="1" t="n">
        <v>1</v>
      </c>
      <c r="I310" s="1" t="n">
        <f aca="false">(salidas26[[#This Row],[CANT JUEGOS ]]*salidas26[[#This Row],[PRECIO JUEGO]])</f>
        <v>180</v>
      </c>
      <c r="J310" s="1" t="n">
        <f aca="false">(salidas26[[#This Row],[CANT BARRAS]]*salidas26[[#This Row],[PRECIO BARRA]])</f>
        <v>0</v>
      </c>
      <c r="K310" s="1" t="n">
        <v>180</v>
      </c>
      <c r="L310" s="1" t="s">
        <v>533</v>
      </c>
      <c r="M310" s="1" t="s">
        <v>511</v>
      </c>
    </row>
    <row r="311" customFormat="false" ht="15" hidden="false" customHeight="false" outlineLevel="0" collapsed="false">
      <c r="A311" s="1" t="n">
        <v>52</v>
      </c>
      <c r="B311" s="1" t="n">
        <v>1027</v>
      </c>
      <c r="C31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32LM3400-4B/3V/9L</v>
      </c>
      <c r="D311" s="75" t="n">
        <v>46046</v>
      </c>
      <c r="E31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120</v>
      </c>
      <c r="F31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11" s="1" t="n">
        <v>1</v>
      </c>
      <c r="I311" s="1" t="n">
        <f aca="false">(salidas26[[#This Row],[CANT JUEGOS ]]*salidas26[[#This Row],[PRECIO JUEGO]])</f>
        <v>120</v>
      </c>
      <c r="J311" s="1" t="n">
        <f aca="false">(salidas26[[#This Row],[CANT BARRAS]]*salidas26[[#This Row],[PRECIO BARRA]])</f>
        <v>0</v>
      </c>
      <c r="K311" s="1" t="n">
        <v>110</v>
      </c>
      <c r="L311" s="1" t="s">
        <v>533</v>
      </c>
      <c r="M311" s="1" t="s">
        <v>511</v>
      </c>
    </row>
    <row r="312" customFormat="false" ht="15" hidden="false" customHeight="false" outlineLevel="0" collapsed="false">
      <c r="A312" s="1" t="n">
        <v>55</v>
      </c>
      <c r="B312" s="1" t="n">
        <v>8033</v>
      </c>
      <c r="C31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312" s="75" t="n">
        <v>46048</v>
      </c>
      <c r="E31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31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312" s="1" t="n">
        <v>1</v>
      </c>
      <c r="I312" s="1" t="n">
        <f aca="false">(salidas26[[#This Row],[CANT JUEGOS ]]*salidas26[[#This Row],[PRECIO JUEGO]])</f>
        <v>150</v>
      </c>
      <c r="J312" s="1" t="n">
        <f aca="false">(salidas26[[#This Row],[CANT BARRAS]]*salidas26[[#This Row],[PRECIO BARRA]])</f>
        <v>0</v>
      </c>
      <c r="K312" s="1" t="n">
        <v>150</v>
      </c>
      <c r="L312" s="1" t="s">
        <v>502</v>
      </c>
      <c r="M312" s="1" t="s">
        <v>609</v>
      </c>
    </row>
    <row r="313" customFormat="false" ht="15" hidden="false" customHeight="false" outlineLevel="0" collapsed="false">
      <c r="A313" s="1" t="n">
        <v>56</v>
      </c>
      <c r="B313" s="1" t="n">
        <v>8033</v>
      </c>
      <c r="C31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313" s="75" t="n">
        <v>46048</v>
      </c>
      <c r="E31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31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313" s="1" t="n">
        <v>1</v>
      </c>
      <c r="I313" s="1" t="n">
        <f aca="false">(salidas26[[#This Row],[CANT JUEGOS ]]*salidas26[[#This Row],[PRECIO JUEGO]])</f>
        <v>150</v>
      </c>
      <c r="J313" s="1" t="n">
        <f aca="false">(salidas26[[#This Row],[CANT BARRAS]]*salidas26[[#This Row],[PRECIO BARRA]])</f>
        <v>0</v>
      </c>
      <c r="K313" s="1" t="n">
        <v>140</v>
      </c>
      <c r="L313" s="1" t="s">
        <v>533</v>
      </c>
      <c r="M313" s="1" t="s">
        <v>529</v>
      </c>
    </row>
    <row r="314" customFormat="false" ht="15" hidden="false" customHeight="false" outlineLevel="0" collapsed="false">
      <c r="A314" s="1" t="n">
        <v>57</v>
      </c>
      <c r="B314" s="1" t="n">
        <v>5038</v>
      </c>
      <c r="C31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KDL-65X725E 2B</v>
      </c>
      <c r="D314" s="75" t="n">
        <v>46048</v>
      </c>
      <c r="E31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31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150</v>
      </c>
      <c r="G314" s="1" t="n">
        <v>2</v>
      </c>
      <c r="I314" s="1" t="n">
        <f aca="false">(salidas26[[#This Row],[CANT JUEGOS ]]*salidas26[[#This Row],[PRECIO JUEGO]])</f>
        <v>600</v>
      </c>
      <c r="J314" s="1" t="n">
        <f aca="false">(salidas26[[#This Row],[CANT BARRAS]]*salidas26[[#This Row],[PRECIO BARRA]])</f>
        <v>0</v>
      </c>
      <c r="K314" s="1" t="n">
        <v>600</v>
      </c>
      <c r="L314" s="1" t="s">
        <v>533</v>
      </c>
      <c r="M314" s="1" t="s">
        <v>610</v>
      </c>
    </row>
    <row r="315" customFormat="false" ht="31.3" hidden="false" customHeight="false" outlineLevel="0" collapsed="false">
      <c r="A315" s="1" t="n">
        <v>58</v>
      </c>
      <c r="B315" s="1" t="n">
        <v>4000</v>
      </c>
      <c r="C315" s="76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 V780-TCL 5L/6V -2B
MI L32M5-5ASP</v>
      </c>
      <c r="D315" s="75" t="n">
        <v>46048</v>
      </c>
      <c r="E31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31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15" s="1" t="n">
        <v>1</v>
      </c>
      <c r="I315" s="1" t="n">
        <f aca="false">(salidas26[[#This Row],[CANT JUEGOS ]]*salidas26[[#This Row],[PRECIO JUEGO]])</f>
        <v>60</v>
      </c>
      <c r="J315" s="1" t="n">
        <f aca="false">(salidas26[[#This Row],[CANT BARRAS]]*salidas26[[#This Row],[PRECIO BARRA]])</f>
        <v>0</v>
      </c>
      <c r="K315" s="1" t="n">
        <v>60</v>
      </c>
      <c r="L315" s="1" t="s">
        <v>502</v>
      </c>
      <c r="M315" s="1" t="s">
        <v>573</v>
      </c>
    </row>
    <row r="316" customFormat="false" ht="15" hidden="false" customHeight="false" outlineLevel="0" collapsed="false">
      <c r="A316" s="1" t="n">
        <v>59</v>
      </c>
      <c r="B316" s="1" t="n">
        <v>7000</v>
      </c>
      <c r="C31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IRT/6L/2B/6V</v>
      </c>
      <c r="D316" s="75" t="n">
        <v>46048</v>
      </c>
      <c r="E31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31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16" s="1" t="n">
        <v>1</v>
      </c>
      <c r="I316" s="1" t="n">
        <f aca="false">(salidas26[[#This Row],[CANT JUEGOS ]]*salidas26[[#This Row],[PRECIO JUEGO]])</f>
        <v>60</v>
      </c>
      <c r="J316" s="1" t="n">
        <f aca="false">(salidas26[[#This Row],[CANT BARRAS]]*salidas26[[#This Row],[PRECIO BARRA]])</f>
        <v>0</v>
      </c>
      <c r="K316" s="1" t="n">
        <v>60</v>
      </c>
      <c r="L316" s="1" t="s">
        <v>502</v>
      </c>
      <c r="M316" s="1" t="s">
        <v>519</v>
      </c>
    </row>
    <row r="317" customFormat="false" ht="15" hidden="false" customHeight="false" outlineLevel="0" collapsed="false">
      <c r="A317" s="1" t="n">
        <v>60</v>
      </c>
      <c r="B317" s="1" t="n">
        <v>8057</v>
      </c>
      <c r="C31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45 PREMIER 7L/4B</v>
      </c>
      <c r="D317" s="75" t="n">
        <v>46048</v>
      </c>
      <c r="E31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31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317" s="1" t="n">
        <v>1</v>
      </c>
      <c r="I317" s="1" t="n">
        <f aca="false">(salidas26[[#This Row],[CANT JUEGOS ]]*salidas26[[#This Row],[PRECIO JUEGO]])</f>
        <v>200</v>
      </c>
      <c r="J317" s="1" t="n">
        <f aca="false">(salidas26[[#This Row],[CANT BARRAS]]*salidas26[[#This Row],[PRECIO BARRA]])</f>
        <v>0</v>
      </c>
      <c r="K317" s="1" t="n">
        <v>200</v>
      </c>
      <c r="L317" s="1" t="s">
        <v>533</v>
      </c>
      <c r="M317" s="1" t="s">
        <v>603</v>
      </c>
    </row>
    <row r="318" customFormat="false" ht="15" hidden="false" customHeight="false" outlineLevel="0" collapsed="false">
      <c r="A318" s="1" t="n">
        <v>61</v>
      </c>
      <c r="B318" s="1" t="n">
        <v>2015</v>
      </c>
      <c r="C31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UN40FH5005 3B/2C/1R/13-12-13</v>
      </c>
      <c r="D318" s="75" t="n">
        <v>46048</v>
      </c>
      <c r="E31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31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318" s="1" t="n">
        <v>1</v>
      </c>
      <c r="I318" s="1" t="n">
        <f aca="false">(salidas26[[#This Row],[CANT JUEGOS ]]*salidas26[[#This Row],[PRECIO JUEGO]])</f>
        <v>160</v>
      </c>
      <c r="J318" s="1" t="n">
        <f aca="false">(salidas26[[#This Row],[CANT BARRAS]]*salidas26[[#This Row],[PRECIO BARRA]])</f>
        <v>0</v>
      </c>
      <c r="K318" s="1" t="n">
        <v>150</v>
      </c>
      <c r="L318" s="1" t="s">
        <v>502</v>
      </c>
      <c r="M318" s="1" t="s">
        <v>611</v>
      </c>
    </row>
    <row r="319" customFormat="false" ht="15" hidden="false" customHeight="false" outlineLevel="0" collapsed="false">
      <c r="A319" s="1" t="n">
        <v>62</v>
      </c>
      <c r="B319" s="1" t="n">
        <v>4011</v>
      </c>
      <c r="C31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DAEWO L43V780BTS 3B/7LED/3V</v>
      </c>
      <c r="D319" s="75" t="n">
        <v>46048</v>
      </c>
      <c r="E31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31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319" s="1" t="n">
        <v>1</v>
      </c>
      <c r="I319" s="1" t="n">
        <f aca="false">(salidas26[[#This Row],[CANT JUEGOS ]]*salidas26[[#This Row],[PRECIO JUEGO]])</f>
        <v>160</v>
      </c>
      <c r="J319" s="1" t="n">
        <f aca="false">(salidas26[[#This Row],[CANT BARRAS]]*salidas26[[#This Row],[PRECIO BARRA]])</f>
        <v>0</v>
      </c>
      <c r="K319" s="1" t="n">
        <v>150</v>
      </c>
      <c r="L319" s="1" t="s">
        <v>533</v>
      </c>
      <c r="M319" s="1" t="s">
        <v>531</v>
      </c>
    </row>
    <row r="320" customFormat="false" ht="15" hidden="false" customHeight="false" outlineLevel="0" collapsed="false">
      <c r="A320" s="1" t="n">
        <v>63</v>
      </c>
      <c r="B320" s="1" t="n">
        <v>8015</v>
      </c>
      <c r="C32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320" s="75" t="n">
        <v>46048</v>
      </c>
      <c r="E32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32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20" s="1" t="n">
        <v>1</v>
      </c>
      <c r="I320" s="1" t="n">
        <f aca="false">(salidas26[[#This Row],[CANT JUEGOS ]]*salidas26[[#This Row],[PRECIO JUEGO]])</f>
        <v>60</v>
      </c>
      <c r="J320" s="1" t="n">
        <f aca="false">(salidas26[[#This Row],[CANT BARRAS]]*salidas26[[#This Row],[PRECIO BARRA]])</f>
        <v>0</v>
      </c>
      <c r="K320" s="1" t="n">
        <v>60</v>
      </c>
      <c r="L320" s="1" t="s">
        <v>533</v>
      </c>
      <c r="M320" s="1" t="s">
        <v>531</v>
      </c>
    </row>
    <row r="321" s="1" customFormat="true" ht="15" hidden="false" customHeight="false" outlineLevel="0" collapsed="false">
      <c r="A321" s="1" t="n">
        <v>64</v>
      </c>
      <c r="B321" s="1" t="n">
        <v>8123</v>
      </c>
      <c r="C32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3V/2W S/C  DIF. 180º</v>
      </c>
      <c r="D321" s="75" t="n">
        <v>46048</v>
      </c>
      <c r="E32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32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321" s="1" t="n">
        <v>2</v>
      </c>
      <c r="I321" s="1" t="n">
        <f aca="false">(salidas26[[#This Row],[CANT JUEGOS ]]*salidas26[[#This Row],[PRECIO JUEGO]])</f>
        <v>0</v>
      </c>
      <c r="J321" s="1" t="n">
        <f aca="false">(salidas26[[#This Row],[CANT BARRAS]]*salidas26[[#This Row],[PRECIO BARRA]])</f>
        <v>7</v>
      </c>
      <c r="K321" s="1" t="n">
        <v>7</v>
      </c>
      <c r="L321" s="1" t="s">
        <v>502</v>
      </c>
      <c r="M321" s="1" t="s">
        <v>527</v>
      </c>
    </row>
    <row r="322" customFormat="false" ht="15" hidden="false" customHeight="false" outlineLevel="0" collapsed="false">
      <c r="A322" s="1" t="n">
        <v>65</v>
      </c>
      <c r="B322" s="1" t="n">
        <v>8123</v>
      </c>
      <c r="C32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3V/2W S/C  DIF. 180º</v>
      </c>
      <c r="D322" s="75" t="n">
        <v>46048</v>
      </c>
      <c r="E32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32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322" s="1" t="n">
        <v>4</v>
      </c>
      <c r="I322" s="1" t="n">
        <f aca="false">(salidas26[[#This Row],[CANT JUEGOS ]]*salidas26[[#This Row],[PRECIO JUEGO]])</f>
        <v>0</v>
      </c>
      <c r="J322" s="1" t="n">
        <f aca="false">(salidas26[[#This Row],[CANT BARRAS]]*salidas26[[#This Row],[PRECIO BARRA]])</f>
        <v>14</v>
      </c>
      <c r="K322" s="1" t="n">
        <v>14</v>
      </c>
      <c r="L322" s="1" t="s">
        <v>502</v>
      </c>
      <c r="M322" s="1" t="s">
        <v>603</v>
      </c>
    </row>
    <row r="323" customFormat="false" ht="15" hidden="false" customHeight="false" outlineLevel="0" collapsed="false">
      <c r="A323" s="1" t="n">
        <v>66</v>
      </c>
      <c r="B323" s="1" t="n">
        <v>2036</v>
      </c>
      <c r="C32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UN46FH6203-46FH5005/8B</v>
      </c>
      <c r="D323" s="75" t="n">
        <v>46048</v>
      </c>
      <c r="E32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32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27.5</v>
      </c>
      <c r="G323" s="1" t="n">
        <v>1</v>
      </c>
      <c r="I323" s="1" t="n">
        <f aca="false">(salidas26[[#This Row],[CANT JUEGOS ]]*salidas26[[#This Row],[PRECIO JUEGO]])</f>
        <v>220</v>
      </c>
      <c r="J323" s="1" t="n">
        <f aca="false">(salidas26[[#This Row],[CANT BARRAS]]*salidas26[[#This Row],[PRECIO BARRA]])</f>
        <v>0</v>
      </c>
      <c r="K323" s="1" t="n">
        <v>220</v>
      </c>
      <c r="L323" s="1" t="s">
        <v>502</v>
      </c>
      <c r="M323" s="1" t="s">
        <v>507</v>
      </c>
    </row>
    <row r="324" customFormat="false" ht="15" hidden="false" customHeight="false" outlineLevel="0" collapsed="false">
      <c r="A324" s="1" t="n">
        <v>67</v>
      </c>
      <c r="B324" s="1" t="n">
        <v>8024</v>
      </c>
      <c r="C32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39 CHANCHONG CHIQ/3B</v>
      </c>
      <c r="D324" s="75" t="n">
        <v>46048</v>
      </c>
      <c r="E32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32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15</v>
      </c>
      <c r="G324" s="1" t="n">
        <v>1</v>
      </c>
      <c r="I324" s="1" t="n">
        <f aca="false">(salidas26[[#This Row],[CANT JUEGOS ]]*salidas26[[#This Row],[PRECIO JUEGO]])</f>
        <v>150</v>
      </c>
      <c r="J324" s="1" t="n">
        <f aca="false">(salidas26[[#This Row],[CANT BARRAS]]*salidas26[[#This Row],[PRECIO BARRA]])</f>
        <v>0</v>
      </c>
      <c r="K324" s="1" t="n">
        <v>140</v>
      </c>
      <c r="L324" s="1" t="s">
        <v>533</v>
      </c>
      <c r="M324" s="1" t="s">
        <v>612</v>
      </c>
    </row>
    <row r="325" customFormat="false" ht="15" hidden="false" customHeight="false" outlineLevel="0" collapsed="false">
      <c r="A325" s="1" t="n">
        <v>69</v>
      </c>
      <c r="B325" s="1" t="n">
        <v>2012</v>
      </c>
      <c r="C32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UN40J5000 -40J5200-40M5000 8L/3B</v>
      </c>
      <c r="D325" s="75" t="n">
        <v>46049</v>
      </c>
      <c r="E32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32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325" s="1" t="n">
        <v>1</v>
      </c>
      <c r="I325" s="1" t="n">
        <f aca="false">(salidas26[[#This Row],[CANT JUEGOS ]]*salidas26[[#This Row],[PRECIO JUEGO]])</f>
        <v>160</v>
      </c>
      <c r="J325" s="1" t="n">
        <f aca="false">(salidas26[[#This Row],[CANT BARRAS]]*salidas26[[#This Row],[PRECIO BARRA]])</f>
        <v>0</v>
      </c>
      <c r="K325" s="1" t="n">
        <v>160</v>
      </c>
      <c r="L325" s="1" t="s">
        <v>533</v>
      </c>
      <c r="M325" s="1" t="s">
        <v>503</v>
      </c>
    </row>
    <row r="326" customFormat="false" ht="15" hidden="false" customHeight="false" outlineLevel="0" collapsed="false">
      <c r="A326" s="1" t="n">
        <v>70</v>
      </c>
      <c r="B326" s="1" t="n">
        <v>8003</v>
      </c>
      <c r="C32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24 PULG</v>
      </c>
      <c r="D326" s="75" t="n">
        <v>46049</v>
      </c>
      <c r="E32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32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326" s="1" t="n">
        <v>1</v>
      </c>
      <c r="I326" s="1" t="n">
        <f aca="false">(salidas26[[#This Row],[CANT JUEGOS ]]*salidas26[[#This Row],[PRECIO JUEGO]])</f>
        <v>70</v>
      </c>
      <c r="J326" s="1" t="n">
        <f aca="false">(salidas26[[#This Row],[CANT BARRAS]]*salidas26[[#This Row],[PRECIO BARRA]])</f>
        <v>0</v>
      </c>
      <c r="K326" s="1" t="n">
        <v>70</v>
      </c>
      <c r="L326" s="1" t="s">
        <v>533</v>
      </c>
      <c r="M326" s="1" t="s">
        <v>503</v>
      </c>
    </row>
    <row r="327" customFormat="false" ht="15" hidden="false" customHeight="false" outlineLevel="0" collapsed="false">
      <c r="A327" s="1" t="n">
        <v>71</v>
      </c>
      <c r="B327" s="1" t="n">
        <v>1015</v>
      </c>
      <c r="C32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32LH500B-32LK500 3B/7L/3V</v>
      </c>
      <c r="D327" s="75" t="n">
        <v>46049</v>
      </c>
      <c r="E32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32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327" s="1" t="n">
        <v>1</v>
      </c>
      <c r="I327" s="1" t="n">
        <f aca="false">(salidas26[[#This Row],[CANT JUEGOS ]]*salidas26[[#This Row],[PRECIO JUEGO]])</f>
        <v>80</v>
      </c>
      <c r="J327" s="1" t="n">
        <f aca="false">(salidas26[[#This Row],[CANT BARRAS]]*salidas26[[#This Row],[PRECIO BARRA]])</f>
        <v>0</v>
      </c>
      <c r="K327" s="1" t="n">
        <v>80</v>
      </c>
      <c r="L327" s="1" t="s">
        <v>502</v>
      </c>
      <c r="M327" s="1" t="s">
        <v>518</v>
      </c>
    </row>
    <row r="328" customFormat="false" ht="15" hidden="false" customHeight="false" outlineLevel="0" collapsed="false">
      <c r="A328" s="1" t="n">
        <v>72</v>
      </c>
      <c r="B328" s="1" t="n">
        <v>4001</v>
      </c>
      <c r="C32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D2900 TCL</v>
      </c>
      <c r="D328" s="75" t="n">
        <v>46049</v>
      </c>
      <c r="E32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32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28" s="1" t="n">
        <v>1</v>
      </c>
      <c r="I328" s="1" t="n">
        <f aca="false">(salidas26[[#This Row],[CANT JUEGOS ]]*salidas26[[#This Row],[PRECIO JUEGO]])</f>
        <v>60</v>
      </c>
      <c r="J328" s="1" t="n">
        <f aca="false">(salidas26[[#This Row],[CANT BARRAS]]*salidas26[[#This Row],[PRECIO BARRA]])</f>
        <v>0</v>
      </c>
      <c r="K328" s="1" t="n">
        <v>60</v>
      </c>
      <c r="L328" s="1" t="s">
        <v>502</v>
      </c>
      <c r="M328" s="1" t="s">
        <v>518</v>
      </c>
    </row>
    <row r="329" customFormat="false" ht="15" hidden="false" customHeight="false" outlineLevel="0" collapsed="false">
      <c r="A329" s="1" t="n">
        <v>73</v>
      </c>
      <c r="B329" s="1" t="n">
        <v>8095</v>
      </c>
      <c r="C32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 PREMIER 5L/3V 10B</v>
      </c>
      <c r="D329" s="75" t="n">
        <v>46049</v>
      </c>
      <c r="E32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32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29" s="1" t="n">
        <v>1</v>
      </c>
      <c r="I329" s="1" t="n">
        <f aca="false">(salidas26[[#This Row],[CANT JUEGOS ]]*salidas26[[#This Row],[PRECIO JUEGO]])</f>
        <v>300</v>
      </c>
      <c r="J329" s="1" t="n">
        <f aca="false">(salidas26[[#This Row],[CANT BARRAS]]*salidas26[[#This Row],[PRECIO BARRA]])</f>
        <v>0</v>
      </c>
      <c r="K329" s="1" t="n">
        <v>300</v>
      </c>
      <c r="L329" s="1" t="s">
        <v>502</v>
      </c>
      <c r="M329" s="1" t="s">
        <v>518</v>
      </c>
    </row>
    <row r="330" customFormat="false" ht="15" hidden="false" customHeight="false" outlineLevel="0" collapsed="false">
      <c r="A330" s="1" t="n">
        <v>74</v>
      </c>
      <c r="B330" s="1" t="n">
        <v>5021</v>
      </c>
      <c r="C33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 A400L PANASONIC/1B</v>
      </c>
      <c r="D330" s="75" t="n">
        <v>46049</v>
      </c>
      <c r="E33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33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150</v>
      </c>
      <c r="I330" s="1" t="n">
        <f aca="false">(salidas26[[#This Row],[CANT JUEGOS ]]*salidas26[[#This Row],[PRECIO JUEGO]])</f>
        <v>0</v>
      </c>
      <c r="J330" s="1" t="n">
        <f aca="false">(salidas26[[#This Row],[CANT BARRAS]]*salidas26[[#This Row],[PRECIO BARRA]])</f>
        <v>0</v>
      </c>
      <c r="K330" s="1" t="n">
        <v>150</v>
      </c>
      <c r="L330" s="1" t="s">
        <v>533</v>
      </c>
      <c r="M330" s="1" t="s">
        <v>506</v>
      </c>
    </row>
    <row r="331" customFormat="false" ht="15" hidden="false" customHeight="false" outlineLevel="0" collapsed="false">
      <c r="A331" s="1" t="n">
        <v>75</v>
      </c>
      <c r="B331" s="1" t="n">
        <v>2024</v>
      </c>
      <c r="C33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UN43J5202/ 3 BARRAS/8L/3V</v>
      </c>
      <c r="D331" s="75" t="n">
        <v>46049</v>
      </c>
      <c r="E33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33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331" s="1" t="n">
        <v>1</v>
      </c>
      <c r="I331" s="1" t="n">
        <f aca="false">(salidas26[[#This Row],[CANT JUEGOS ]]*salidas26[[#This Row],[PRECIO JUEGO]])</f>
        <v>180</v>
      </c>
      <c r="J331" s="1" t="n">
        <f aca="false">(salidas26[[#This Row],[CANT BARRAS]]*salidas26[[#This Row],[PRECIO BARRA]])</f>
        <v>0</v>
      </c>
      <c r="K331" s="1" t="n">
        <v>160</v>
      </c>
      <c r="L331" s="1" t="s">
        <v>533</v>
      </c>
      <c r="M331" s="1" t="s">
        <v>506</v>
      </c>
    </row>
    <row r="332" customFormat="false" ht="15" hidden="false" customHeight="false" outlineLevel="0" collapsed="false">
      <c r="A332" s="1" t="n">
        <v>76</v>
      </c>
      <c r="B332" s="1" t="n">
        <v>5015</v>
      </c>
      <c r="C33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KDL-40W655A/3B SONY</v>
      </c>
      <c r="D332" s="75" t="n">
        <v>46049</v>
      </c>
      <c r="E33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33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332" s="1" t="n">
        <v>1</v>
      </c>
      <c r="I332" s="1" t="n">
        <f aca="false">(salidas26[[#This Row],[CANT JUEGOS ]]*salidas26[[#This Row],[PRECIO JUEGO]])</f>
        <v>160</v>
      </c>
      <c r="J332" s="1" t="n">
        <f aca="false">(salidas26[[#This Row],[CANT BARRAS]]*salidas26[[#This Row],[PRECIO BARRA]])</f>
        <v>0</v>
      </c>
      <c r="K332" s="1" t="n">
        <v>160</v>
      </c>
      <c r="L332" s="1" t="s">
        <v>533</v>
      </c>
      <c r="M332" s="1" t="s">
        <v>506</v>
      </c>
    </row>
    <row r="333" customFormat="false" ht="15" hidden="false" customHeight="false" outlineLevel="0" collapsed="false">
      <c r="A333" s="1" t="n">
        <v>77</v>
      </c>
      <c r="B333" s="1" t="n">
        <v>2042</v>
      </c>
      <c r="C33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UN48J5000AG/8B</v>
      </c>
      <c r="D333" s="75" t="n">
        <v>46049</v>
      </c>
      <c r="E33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33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32.5</v>
      </c>
      <c r="G333" s="1" t="n">
        <v>1</v>
      </c>
      <c r="I333" s="1" t="n">
        <f aca="false">(salidas26[[#This Row],[CANT JUEGOS ]]*salidas26[[#This Row],[PRECIO JUEGO]])</f>
        <v>260</v>
      </c>
      <c r="J333" s="1" t="n">
        <f aca="false">(salidas26[[#This Row],[CANT BARRAS]]*salidas26[[#This Row],[PRECIO BARRA]])</f>
        <v>0</v>
      </c>
      <c r="K333" s="1" t="n">
        <v>250</v>
      </c>
      <c r="L333" s="1" t="s">
        <v>533</v>
      </c>
      <c r="M333" s="1" t="s">
        <v>613</v>
      </c>
    </row>
    <row r="334" customFormat="false" ht="15" hidden="false" customHeight="false" outlineLevel="0" collapsed="false">
      <c r="A334" s="1" t="n">
        <v>78</v>
      </c>
      <c r="B334" s="1" t="n">
        <v>2075</v>
      </c>
      <c r="C33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UN55NU7100-UN55RU7100/2B EDGE</v>
      </c>
      <c r="D334" s="75" t="n">
        <v>46049</v>
      </c>
      <c r="E33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33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100</v>
      </c>
      <c r="G334" s="1" t="n">
        <v>1</v>
      </c>
      <c r="I334" s="1" t="n">
        <f aca="false">(salidas26[[#This Row],[CANT JUEGOS ]]*salidas26[[#This Row],[PRECIO JUEGO]])</f>
        <v>200</v>
      </c>
      <c r="J334" s="1" t="n">
        <f aca="false">(salidas26[[#This Row],[CANT BARRAS]]*salidas26[[#This Row],[PRECIO BARRA]])</f>
        <v>0</v>
      </c>
      <c r="K334" s="1" t="n">
        <v>180</v>
      </c>
      <c r="L334" s="1" t="s">
        <v>502</v>
      </c>
      <c r="M334" s="1" t="s">
        <v>527</v>
      </c>
    </row>
    <row r="335" customFormat="false" ht="15" hidden="false" customHeight="false" outlineLevel="0" collapsed="false">
      <c r="A335" s="1" t="n">
        <v>80</v>
      </c>
      <c r="B335" s="1" t="n">
        <v>8095</v>
      </c>
      <c r="C33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 PREMIER 5L/3V 10B</v>
      </c>
      <c r="D335" s="75" t="n">
        <v>46049</v>
      </c>
      <c r="E33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33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35" s="1" t="n">
        <v>1</v>
      </c>
      <c r="I335" s="1" t="n">
        <f aca="false">(salidas26[[#This Row],[CANT JUEGOS ]]*salidas26[[#This Row],[PRECIO JUEGO]])</f>
        <v>300</v>
      </c>
      <c r="J335" s="1" t="n">
        <f aca="false">(salidas26[[#This Row],[CANT BARRAS]]*salidas26[[#This Row],[PRECIO BARRA]])</f>
        <v>0</v>
      </c>
      <c r="K335" s="1" t="n">
        <v>300</v>
      </c>
      <c r="L335" s="1" t="s">
        <v>502</v>
      </c>
      <c r="M335" s="1" t="s">
        <v>553</v>
      </c>
    </row>
    <row r="336" customFormat="false" ht="15" hidden="false" customHeight="false" outlineLevel="0" collapsed="false">
      <c r="A336" s="1" t="n">
        <v>81</v>
      </c>
      <c r="B336" s="1" t="n">
        <v>1000</v>
      </c>
      <c r="C33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LA -3B/3V/7-7L</v>
      </c>
      <c r="D336" s="75" t="n">
        <v>46049</v>
      </c>
      <c r="E33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33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336" s="1" t="n">
        <v>1</v>
      </c>
      <c r="I336" s="1" t="n">
        <f aca="false">(salidas26[[#This Row],[CANT JUEGOS ]]*salidas26[[#This Row],[PRECIO JUEGO]])</f>
        <v>80</v>
      </c>
      <c r="J336" s="1" t="n">
        <f aca="false">(salidas26[[#This Row],[CANT BARRAS]]*salidas26[[#This Row],[PRECIO BARRA]])</f>
        <v>0</v>
      </c>
      <c r="K336" s="1" t="n">
        <v>90</v>
      </c>
      <c r="L336" s="1" t="s">
        <v>502</v>
      </c>
      <c r="M336" s="1" t="s">
        <v>503</v>
      </c>
    </row>
    <row r="337" customFormat="false" ht="15" hidden="false" customHeight="false" outlineLevel="0" collapsed="false">
      <c r="A337" s="1" t="n">
        <v>82</v>
      </c>
      <c r="B337" s="1" t="n">
        <v>2042</v>
      </c>
      <c r="C33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UN48J5000AG/8B</v>
      </c>
      <c r="D337" s="75" t="n">
        <v>46049</v>
      </c>
      <c r="E33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33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32.5</v>
      </c>
      <c r="G337" s="1" t="n">
        <v>1</v>
      </c>
      <c r="I337" s="1" t="n">
        <f aca="false">(salidas26[[#This Row],[CANT JUEGOS ]]*salidas26[[#This Row],[PRECIO JUEGO]])</f>
        <v>260</v>
      </c>
      <c r="J337" s="1" t="n">
        <f aca="false">(salidas26[[#This Row],[CANT BARRAS]]*salidas26[[#This Row],[PRECIO BARRA]])</f>
        <v>0</v>
      </c>
      <c r="K337" s="1" t="n">
        <v>250</v>
      </c>
      <c r="L337" s="1" t="s">
        <v>502</v>
      </c>
      <c r="M337" s="1" t="s">
        <v>592</v>
      </c>
    </row>
    <row r="338" customFormat="false" ht="15" hidden="false" customHeight="false" outlineLevel="0" collapsed="false">
      <c r="B338" s="1" t="n">
        <v>4011</v>
      </c>
      <c r="C33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DAEWO L43V780BTS 3B/7LED/3V</v>
      </c>
      <c r="D338" s="75" t="n">
        <v>46049</v>
      </c>
      <c r="E33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33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338" s="1" t="n">
        <v>1</v>
      </c>
      <c r="I338" s="1" t="n">
        <f aca="false">(salidas26[[#This Row],[CANT JUEGOS ]]*salidas26[[#This Row],[PRECIO JUEGO]])</f>
        <v>160</v>
      </c>
      <c r="J338" s="1" t="n">
        <f aca="false">(salidas26[[#This Row],[CANT BARRAS]]*salidas26[[#This Row],[PRECIO BARRA]])</f>
        <v>0</v>
      </c>
      <c r="M338" s="1" t="s">
        <v>541</v>
      </c>
    </row>
    <row r="339" customFormat="false" ht="15" hidden="false" customHeight="false" outlineLevel="0" collapsed="false">
      <c r="A339" s="1" t="n">
        <v>83</v>
      </c>
      <c r="B339" s="1" t="n">
        <v>4011</v>
      </c>
      <c r="C33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DAEWO L43V780BTS 3B/7LED/3V</v>
      </c>
      <c r="D339" s="75" t="n">
        <v>46049</v>
      </c>
      <c r="E33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33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H339" s="1" t="n">
        <v>1</v>
      </c>
      <c r="I339" s="1" t="n">
        <f aca="false">(salidas26[[#This Row],[CANT JUEGOS ]]*salidas26[[#This Row],[PRECIO JUEGO]])</f>
        <v>0</v>
      </c>
      <c r="J339" s="1" t="n">
        <f aca="false">(salidas26[[#This Row],[CANT BARRAS]]*salidas26[[#This Row],[PRECIO BARRA]])</f>
        <v>53.3333333333333</v>
      </c>
      <c r="K339" s="1" t="n">
        <v>30</v>
      </c>
      <c r="L339" s="1" t="s">
        <v>533</v>
      </c>
      <c r="M339" s="1" t="s">
        <v>614</v>
      </c>
    </row>
    <row r="340" customFormat="false" ht="15" hidden="false" customHeight="false" outlineLevel="0" collapsed="false">
      <c r="A340" s="1" t="n">
        <v>84</v>
      </c>
      <c r="B340" s="1" t="n">
        <v>1067</v>
      </c>
      <c r="C34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47LA6600/2B</v>
      </c>
      <c r="D340" s="75" t="n">
        <v>46049</v>
      </c>
      <c r="E34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34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125</v>
      </c>
      <c r="G340" s="1" t="n">
        <v>1</v>
      </c>
      <c r="I340" s="1" t="n">
        <f aca="false">(salidas26[[#This Row],[CANT JUEGOS ]]*salidas26[[#This Row],[PRECIO JUEGO]])</f>
        <v>250</v>
      </c>
      <c r="J340" s="1" t="n">
        <f aca="false">(salidas26[[#This Row],[CANT BARRAS]]*salidas26[[#This Row],[PRECIO BARRA]])</f>
        <v>0</v>
      </c>
      <c r="K340" s="1" t="n">
        <v>230</v>
      </c>
      <c r="L340" s="1" t="s">
        <v>502</v>
      </c>
      <c r="M340" s="1" t="s">
        <v>503</v>
      </c>
    </row>
    <row r="341" customFormat="false" ht="15" hidden="false" customHeight="false" outlineLevel="0" collapsed="false">
      <c r="A341" s="1" t="n">
        <v>85</v>
      </c>
      <c r="B341" s="1" t="n">
        <v>8003</v>
      </c>
      <c r="C34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24 PULG</v>
      </c>
      <c r="D341" s="75" t="n">
        <v>46049</v>
      </c>
      <c r="E34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34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H341" s="1" t="n">
        <v>1</v>
      </c>
      <c r="I341" s="1" t="n">
        <f aca="false">(salidas26[[#This Row],[CANT JUEGOS ]]*salidas26[[#This Row],[PRECIO JUEGO]])</f>
        <v>0</v>
      </c>
      <c r="J341" s="1" t="n">
        <f aca="false">(salidas26[[#This Row],[CANT BARRAS]]*salidas26[[#This Row],[PRECIO BARRA]])</f>
        <v>35</v>
      </c>
      <c r="K341" s="1" t="n">
        <v>50</v>
      </c>
      <c r="L341" s="1" t="s">
        <v>502</v>
      </c>
      <c r="M341" s="1" t="s">
        <v>518</v>
      </c>
    </row>
    <row r="342" s="1" customFormat="true" ht="15" hidden="false" customHeight="false" outlineLevel="0" collapsed="false">
      <c r="A342" s="1" t="n">
        <v>86</v>
      </c>
      <c r="B342" s="1" t="n">
        <v>5006</v>
      </c>
      <c r="C34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KDL-32R304B/3B</v>
      </c>
      <c r="D342" s="75" t="n">
        <v>46049</v>
      </c>
      <c r="E34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34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42" s="1" t="n">
        <v>1</v>
      </c>
      <c r="I342" s="1" t="n">
        <f aca="false">(salidas26[[#This Row],[CANT JUEGOS ]]*salidas26[[#This Row],[PRECIO JUEGO]])</f>
        <v>90</v>
      </c>
      <c r="J342" s="1" t="n">
        <f aca="false">(salidas26[[#This Row],[CANT BARRAS]]*salidas26[[#This Row],[PRECIO BARRA]])</f>
        <v>0</v>
      </c>
      <c r="K342" s="1" t="n">
        <v>80</v>
      </c>
      <c r="L342" s="1" t="s">
        <v>502</v>
      </c>
      <c r="M342" s="1" t="s">
        <v>527</v>
      </c>
    </row>
    <row r="343" s="77" customFormat="true" ht="15" hidden="false" customHeight="false" outlineLevel="0" collapsed="false">
      <c r="A343" s="77" t="n">
        <v>87</v>
      </c>
      <c r="B343" s="77" t="n">
        <v>8095</v>
      </c>
      <c r="C343" s="77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 PREMIER 5L/3V 10B</v>
      </c>
      <c r="D343" s="78" t="n">
        <v>46050</v>
      </c>
      <c r="E343" s="77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343" s="77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43" s="77" t="n">
        <v>1</v>
      </c>
      <c r="I343" s="77" t="n">
        <f aca="false">(salidas26[[#This Row],[CANT JUEGOS ]]*salidas26[[#This Row],[PRECIO JUEGO]])</f>
        <v>300</v>
      </c>
      <c r="J343" s="77" t="n">
        <f aca="false">(salidas26[[#This Row],[CANT BARRAS]]*salidas26[[#This Row],[PRECIO BARRA]])</f>
        <v>0</v>
      </c>
      <c r="K343" s="77" t="n">
        <v>300</v>
      </c>
      <c r="L343" s="77" t="s">
        <v>502</v>
      </c>
      <c r="M343" s="77" t="s">
        <v>532</v>
      </c>
    </row>
    <row r="344" customFormat="false" ht="15" hidden="false" customHeight="false" outlineLevel="0" collapsed="false">
      <c r="A344" s="1" t="n">
        <v>88</v>
      </c>
      <c r="B344" s="1" t="n">
        <v>8123</v>
      </c>
      <c r="C34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3V/2W S/C  DIF. 180º</v>
      </c>
      <c r="D344" s="75" t="n">
        <v>46050</v>
      </c>
      <c r="E34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34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344" s="1" t="n">
        <v>38</v>
      </c>
      <c r="I344" s="1" t="n">
        <f aca="false">(salidas26[[#This Row],[CANT JUEGOS ]]*salidas26[[#This Row],[PRECIO JUEGO]])</f>
        <v>0</v>
      </c>
      <c r="J344" s="1" t="n">
        <f aca="false">(salidas26[[#This Row],[CANT BARRAS]]*salidas26[[#This Row],[PRECIO BARRA]])</f>
        <v>133</v>
      </c>
      <c r="K344" s="1" t="n">
        <v>132</v>
      </c>
      <c r="L344" s="1" t="s">
        <v>533</v>
      </c>
      <c r="M344" s="1" t="s">
        <v>615</v>
      </c>
    </row>
    <row r="345" s="1" customFormat="true" ht="15" hidden="false" customHeight="false" outlineLevel="0" collapsed="false">
      <c r="A345" s="1" t="n">
        <v>89</v>
      </c>
      <c r="B345" s="1" t="n">
        <v>5018</v>
      </c>
      <c r="C34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KDL-40R475 SONY/10B</v>
      </c>
      <c r="D345" s="75" t="n">
        <v>46050</v>
      </c>
      <c r="E34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34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345" s="1" t="n">
        <v>1</v>
      </c>
      <c r="I345" s="1" t="n">
        <f aca="false">(salidas26[[#This Row],[CANT JUEGOS ]]*salidas26[[#This Row],[PRECIO JUEGO]])</f>
        <v>200</v>
      </c>
      <c r="J345" s="1" t="n">
        <f aca="false">(salidas26[[#This Row],[CANT BARRAS]]*salidas26[[#This Row],[PRECIO BARRA]])</f>
        <v>0</v>
      </c>
      <c r="K345" s="1" t="n">
        <v>180</v>
      </c>
      <c r="L345" s="1" t="s">
        <v>502</v>
      </c>
      <c r="M345" s="1" t="s">
        <v>577</v>
      </c>
    </row>
    <row r="346" customFormat="false" ht="15" hidden="false" customHeight="false" outlineLevel="0" collapsed="false">
      <c r="A346" s="1" t="n">
        <v>90</v>
      </c>
      <c r="B346" s="1" t="n">
        <v>8055</v>
      </c>
      <c r="C34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PREMIER 8L/3V/3B 8047SF43SF</v>
      </c>
      <c r="D346" s="75" t="n">
        <v>46050</v>
      </c>
      <c r="E34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34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346" s="1" t="n">
        <v>1</v>
      </c>
      <c r="I346" s="1" t="n">
        <f aca="false">(salidas26[[#This Row],[CANT JUEGOS ]]*salidas26[[#This Row],[PRECIO JUEGO]])</f>
        <v>180</v>
      </c>
      <c r="J346" s="1" t="n">
        <f aca="false">(salidas26[[#This Row],[CANT BARRAS]]*salidas26[[#This Row],[PRECIO BARRA]])</f>
        <v>0</v>
      </c>
      <c r="K346" s="1" t="n">
        <v>180</v>
      </c>
      <c r="L346" s="1" t="s">
        <v>502</v>
      </c>
      <c r="M346" s="1" t="s">
        <v>612</v>
      </c>
    </row>
    <row r="347" customFormat="false" ht="15" hidden="false" customHeight="false" outlineLevel="0" collapsed="false">
      <c r="A347" s="1" t="n">
        <v>91</v>
      </c>
      <c r="B347" s="1" t="n">
        <v>1069</v>
      </c>
      <c r="C34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47LB6500- 8B/6V</v>
      </c>
      <c r="D347" s="75" t="n">
        <v>46050</v>
      </c>
      <c r="E34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34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31.25</v>
      </c>
      <c r="G347" s="1" t="n">
        <v>1</v>
      </c>
      <c r="I347" s="1" t="n">
        <f aca="false">(salidas26[[#This Row],[CANT JUEGOS ]]*salidas26[[#This Row],[PRECIO JUEGO]])</f>
        <v>250</v>
      </c>
      <c r="J347" s="1" t="n">
        <f aca="false">(salidas26[[#This Row],[CANT BARRAS]]*salidas26[[#This Row],[PRECIO BARRA]])</f>
        <v>0</v>
      </c>
      <c r="K347" s="1" t="n">
        <v>200</v>
      </c>
      <c r="L347" s="1" t="s">
        <v>502</v>
      </c>
      <c r="M347" s="1" t="s">
        <v>527</v>
      </c>
    </row>
    <row r="348" customFormat="false" ht="15" hidden="false" customHeight="false" outlineLevel="0" collapsed="false">
      <c r="A348" s="1" t="n">
        <v>92</v>
      </c>
      <c r="B348" s="1" t="n">
        <v>8123</v>
      </c>
      <c r="C34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3V/2W S/C  DIF. 180º</v>
      </c>
      <c r="D348" s="75" t="n">
        <v>46050</v>
      </c>
      <c r="E34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34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348" s="1" t="n">
        <v>70</v>
      </c>
      <c r="I348" s="1" t="n">
        <f aca="false">(salidas26[[#This Row],[CANT JUEGOS ]]*salidas26[[#This Row],[PRECIO JUEGO]])</f>
        <v>0</v>
      </c>
      <c r="J348" s="1" t="n">
        <f aca="false">(salidas26[[#This Row],[CANT BARRAS]]*salidas26[[#This Row],[PRECIO BARRA]])</f>
        <v>245</v>
      </c>
      <c r="K348" s="1" t="n">
        <v>245</v>
      </c>
      <c r="L348" s="1" t="s">
        <v>533</v>
      </c>
      <c r="M348" s="1" t="s">
        <v>505</v>
      </c>
    </row>
    <row r="349" customFormat="false" ht="15" hidden="false" customHeight="false" outlineLevel="0" collapsed="false">
      <c r="A349" s="1" t="n">
        <v>93</v>
      </c>
      <c r="B349" s="1" t="n">
        <v>8101</v>
      </c>
      <c r="C34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LT-65 KB608 JVC /12B</v>
      </c>
      <c r="D349" s="75" t="n">
        <v>46050</v>
      </c>
      <c r="E34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34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349" s="1" t="n">
        <v>1</v>
      </c>
      <c r="I349" s="1" t="n">
        <f aca="false">(salidas26[[#This Row],[CANT JUEGOS ]]*salidas26[[#This Row],[PRECIO JUEGO]])</f>
        <v>400</v>
      </c>
      <c r="J349" s="1" t="n">
        <f aca="false">(salidas26[[#This Row],[CANT BARRAS]]*salidas26[[#This Row],[PRECIO BARRA]])</f>
        <v>0</v>
      </c>
      <c r="K349" s="1" t="n">
        <v>380</v>
      </c>
      <c r="L349" s="1" t="s">
        <v>502</v>
      </c>
      <c r="M349" s="1" t="s">
        <v>616</v>
      </c>
    </row>
    <row r="350" customFormat="false" ht="15" hidden="false" customHeight="false" outlineLevel="0" collapsed="false">
      <c r="A350" s="1" t="n">
        <v>94</v>
      </c>
      <c r="B350" s="1" t="n">
        <v>8095</v>
      </c>
      <c r="C35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 PREMIER 5L/3V 10B</v>
      </c>
      <c r="D350" s="75" t="n">
        <v>46050</v>
      </c>
      <c r="E35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35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50" s="1" t="n">
        <v>1</v>
      </c>
      <c r="I350" s="1" t="n">
        <f aca="false">(salidas26[[#This Row],[CANT JUEGOS ]]*salidas26[[#This Row],[PRECIO JUEGO]])</f>
        <v>300</v>
      </c>
      <c r="J350" s="1" t="n">
        <f aca="false">(salidas26[[#This Row],[CANT BARRAS]]*salidas26[[#This Row],[PRECIO BARRA]])</f>
        <v>0</v>
      </c>
      <c r="K350" s="1" t="n">
        <v>270</v>
      </c>
      <c r="L350" s="1" t="s">
        <v>502</v>
      </c>
      <c r="M350" s="1" t="s">
        <v>617</v>
      </c>
    </row>
    <row r="351" customFormat="false" ht="15" hidden="false" customHeight="false" outlineLevel="0" collapsed="false">
      <c r="A351" s="1" t="n">
        <v>95</v>
      </c>
      <c r="B351" s="1" t="n">
        <v>2090</v>
      </c>
      <c r="C35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UN58FH/12B</v>
      </c>
      <c r="D351" s="75" t="n">
        <v>46050</v>
      </c>
      <c r="E35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35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29.1666666666667</v>
      </c>
      <c r="G351" s="1" t="n">
        <v>1</v>
      </c>
      <c r="I351" s="1" t="n">
        <f aca="false">(salidas26[[#This Row],[CANT JUEGOS ]]*salidas26[[#This Row],[PRECIO JUEGO]])</f>
        <v>350</v>
      </c>
      <c r="J351" s="1" t="n">
        <f aca="false">(salidas26[[#This Row],[CANT BARRAS]]*salidas26[[#This Row],[PRECIO BARRA]])</f>
        <v>0</v>
      </c>
      <c r="K351" s="1" t="n">
        <v>350</v>
      </c>
      <c r="L351" s="1" t="s">
        <v>502</v>
      </c>
      <c r="M351" s="1" t="s">
        <v>618</v>
      </c>
    </row>
    <row r="352" customFormat="false" ht="15" hidden="false" customHeight="false" outlineLevel="0" collapsed="false">
      <c r="A352" s="1" t="n">
        <v>96</v>
      </c>
      <c r="B352" s="1" t="n">
        <v>2033</v>
      </c>
      <c r="C35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UN46F5000 - F6400 /16B</v>
      </c>
      <c r="D352" s="75" t="n">
        <v>46050</v>
      </c>
      <c r="E35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35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21.875</v>
      </c>
      <c r="G352" s="1" t="n">
        <v>1</v>
      </c>
      <c r="I352" s="1" t="n">
        <f aca="false">(salidas26[[#This Row],[CANT JUEGOS ]]*salidas26[[#This Row],[PRECIO JUEGO]])</f>
        <v>350</v>
      </c>
      <c r="J352" s="1" t="n">
        <f aca="false">(salidas26[[#This Row],[CANT BARRAS]]*salidas26[[#This Row],[PRECIO BARRA]])</f>
        <v>0</v>
      </c>
      <c r="K352" s="1" t="n">
        <v>320</v>
      </c>
      <c r="L352" s="1" t="s">
        <v>533</v>
      </c>
      <c r="M352" s="1" t="s">
        <v>619</v>
      </c>
    </row>
    <row r="353" s="1" customFormat="true" ht="15" hidden="false" customHeight="false" outlineLevel="0" collapsed="false">
      <c r="A353" s="1" t="n">
        <v>97</v>
      </c>
      <c r="B353" s="1" t="n">
        <v>1012</v>
      </c>
      <c r="C35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32LB620B-32LF620B -3B/6V/6L</v>
      </c>
      <c r="D353" s="75" t="n">
        <v>46050</v>
      </c>
      <c r="E35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35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53" s="1" t="n">
        <v>1</v>
      </c>
      <c r="I353" s="1" t="n">
        <f aca="false">(salidas26[[#This Row],[CANT JUEGOS ]]*salidas26[[#This Row],[PRECIO JUEGO]])</f>
        <v>90</v>
      </c>
      <c r="J353" s="1" t="n">
        <f aca="false">(salidas26[[#This Row],[CANT BARRAS]]*salidas26[[#This Row],[PRECIO BARRA]])</f>
        <v>0</v>
      </c>
      <c r="K353" s="1" t="n">
        <v>90</v>
      </c>
      <c r="L353" s="1" t="s">
        <v>533</v>
      </c>
      <c r="M353" s="1" t="s">
        <v>546</v>
      </c>
    </row>
    <row r="354" s="1" customFormat="true" ht="15" hidden="false" customHeight="false" outlineLevel="0" collapsed="false">
      <c r="A354" s="1" t="n">
        <v>98</v>
      </c>
      <c r="B354" s="1" t="n">
        <v>1069</v>
      </c>
      <c r="C35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47LB6500- 8B/6V</v>
      </c>
      <c r="D354" s="75" t="n">
        <v>46050</v>
      </c>
      <c r="E35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35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31.25</v>
      </c>
      <c r="G354" s="1" t="n">
        <v>1</v>
      </c>
      <c r="I354" s="1" t="n">
        <f aca="false">(salidas26[[#This Row],[CANT JUEGOS ]]*salidas26[[#This Row],[PRECIO JUEGO]])</f>
        <v>250</v>
      </c>
      <c r="J354" s="1" t="n">
        <f aca="false">(salidas26[[#This Row],[CANT BARRAS]]*salidas26[[#This Row],[PRECIO BARRA]])</f>
        <v>0</v>
      </c>
      <c r="K354" s="1" t="n">
        <v>225</v>
      </c>
      <c r="L354" s="1" t="s">
        <v>533</v>
      </c>
      <c r="M354" s="1" t="s">
        <v>546</v>
      </c>
    </row>
    <row r="355" customFormat="false" ht="15" hidden="false" customHeight="false" outlineLevel="0" collapsed="false">
      <c r="A355" s="1" t="n">
        <v>99</v>
      </c>
      <c r="B355" s="1" t="n">
        <v>1063</v>
      </c>
      <c r="C35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43LH5000/5B</v>
      </c>
      <c r="D355" s="75" t="n">
        <v>46050</v>
      </c>
      <c r="E35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35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36</v>
      </c>
      <c r="G355" s="1" t="n">
        <v>1</v>
      </c>
      <c r="I355" s="1" t="n">
        <f aca="false">(salidas26[[#This Row],[CANT JUEGOS ]]*salidas26[[#This Row],[PRECIO JUEGO]])</f>
        <v>180</v>
      </c>
      <c r="J355" s="1" t="n">
        <f aca="false">(salidas26[[#This Row],[CANT BARRAS]]*salidas26[[#This Row],[PRECIO BARRA]])</f>
        <v>0</v>
      </c>
      <c r="K355" s="1" t="n">
        <v>180</v>
      </c>
      <c r="L355" s="1" t="s">
        <v>502</v>
      </c>
      <c r="M355" s="1" t="s">
        <v>503</v>
      </c>
    </row>
    <row r="356" customFormat="false" ht="15" hidden="false" customHeight="false" outlineLevel="0" collapsed="false">
      <c r="B356" s="1" t="n">
        <v>2027</v>
      </c>
      <c r="C35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UN43J5290/8B</v>
      </c>
      <c r="D356" s="75" t="n">
        <v>46050</v>
      </c>
      <c r="E35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35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356" s="1" t="n">
        <v>1</v>
      </c>
      <c r="I356" s="1" t="n">
        <f aca="false">(salidas26[[#This Row],[CANT JUEGOS ]]*salidas26[[#This Row],[PRECIO JUEGO]])</f>
        <v>180</v>
      </c>
      <c r="J356" s="1" t="n">
        <f aca="false">(salidas26[[#This Row],[CANT BARRAS]]*salidas26[[#This Row],[PRECIO BARRA]])</f>
        <v>0</v>
      </c>
      <c r="M356" s="1" t="s">
        <v>541</v>
      </c>
    </row>
    <row r="357" customFormat="false" ht="15" hidden="false" customHeight="false" outlineLevel="0" collapsed="false">
      <c r="A357" s="1" t="n">
        <v>100</v>
      </c>
      <c r="B357" s="1" t="n">
        <v>2027</v>
      </c>
      <c r="C35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UN43J5290/8B</v>
      </c>
      <c r="D357" s="75" t="n">
        <v>46050</v>
      </c>
      <c r="E35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35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H357" s="1" t="n">
        <v>6</v>
      </c>
      <c r="I357" s="1" t="n">
        <f aca="false">(salidas26[[#This Row],[CANT JUEGOS ]]*salidas26[[#This Row],[PRECIO JUEGO]])</f>
        <v>0</v>
      </c>
      <c r="J357" s="1" t="n">
        <f aca="false">(salidas26[[#This Row],[CANT BARRAS]]*salidas26[[#This Row],[PRECIO BARRA]])</f>
        <v>135</v>
      </c>
      <c r="K357" s="1" t="n">
        <v>130</v>
      </c>
      <c r="L357" s="1" t="s">
        <v>502</v>
      </c>
      <c r="M357" s="1" t="s">
        <v>620</v>
      </c>
    </row>
    <row r="358" customFormat="false" ht="15" hidden="false" customHeight="false" outlineLevel="0" collapsed="false">
      <c r="A358" s="1" t="n">
        <v>102</v>
      </c>
      <c r="B358" s="1" t="n">
        <v>8069</v>
      </c>
      <c r="C35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10L/6V/4B -50 WESTPOINT TEJ -EN SERIE</v>
      </c>
      <c r="D358" s="75" t="n">
        <v>46051</v>
      </c>
      <c r="E35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35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358" s="1" t="n">
        <v>1</v>
      </c>
      <c r="I358" s="1" t="n">
        <f aca="false">(salidas26[[#This Row],[CANT JUEGOS ]]*salidas26[[#This Row],[PRECIO JUEGO]])</f>
        <v>220</v>
      </c>
      <c r="J358" s="1" t="n">
        <f aca="false">(salidas26[[#This Row],[CANT BARRAS]]*salidas26[[#This Row],[PRECIO BARRA]])</f>
        <v>0</v>
      </c>
      <c r="K358" s="1" t="n">
        <v>220</v>
      </c>
      <c r="L358" s="1" t="s">
        <v>533</v>
      </c>
      <c r="M358" s="1" t="s">
        <v>545</v>
      </c>
    </row>
    <row r="359" customFormat="false" ht="15" hidden="false" customHeight="false" outlineLevel="0" collapsed="false">
      <c r="A359" s="1" t="n">
        <v>103</v>
      </c>
      <c r="B359" s="1" t="n">
        <v>6016</v>
      </c>
      <c r="C35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TOSHIBA C350KB /8B</v>
      </c>
      <c r="D359" s="75" t="n">
        <v>46051</v>
      </c>
      <c r="E35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35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59" s="1" t="n">
        <v>1</v>
      </c>
      <c r="I359" s="1" t="n">
        <f aca="false">(salidas26[[#This Row],[CANT JUEGOS ]]*salidas26[[#This Row],[PRECIO JUEGO]])</f>
        <v>240</v>
      </c>
      <c r="J359" s="1" t="n">
        <f aca="false">(salidas26[[#This Row],[CANT BARRAS]]*salidas26[[#This Row],[PRECIO BARRA]])</f>
        <v>0</v>
      </c>
      <c r="K359" s="1" t="n">
        <v>100</v>
      </c>
      <c r="L359" s="1" t="s">
        <v>502</v>
      </c>
      <c r="M359" s="1" t="s">
        <v>621</v>
      </c>
    </row>
    <row r="360" customFormat="false" ht="15" hidden="false" customHeight="false" outlineLevel="0" collapsed="false">
      <c r="A360" s="1" t="n">
        <v>104</v>
      </c>
      <c r="B360" s="1" t="n">
        <v>6006</v>
      </c>
      <c r="C36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SKYWORTH TOSHIBA /3B</v>
      </c>
      <c r="D360" s="75" t="n">
        <v>46051</v>
      </c>
      <c r="E36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140</v>
      </c>
      <c r="F36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46.6666666666667</v>
      </c>
      <c r="G360" s="1" t="n">
        <v>1</v>
      </c>
      <c r="I360" s="1" t="n">
        <f aca="false">(salidas26[[#This Row],[CANT JUEGOS ]]*salidas26[[#This Row],[PRECIO JUEGO]])</f>
        <v>140</v>
      </c>
      <c r="J360" s="1" t="n">
        <f aca="false">(salidas26[[#This Row],[CANT BARRAS]]*salidas26[[#This Row],[PRECIO BARRA]])</f>
        <v>0</v>
      </c>
      <c r="K360" s="1" t="n">
        <v>140</v>
      </c>
      <c r="L360" s="1" t="s">
        <v>502</v>
      </c>
      <c r="M360" s="1" t="s">
        <v>557</v>
      </c>
    </row>
    <row r="361" customFormat="false" ht="15" hidden="false" customHeight="false" outlineLevel="0" collapsed="false">
      <c r="A361" s="1" t="n">
        <v>105</v>
      </c>
      <c r="B361" s="1" t="n">
        <v>1099</v>
      </c>
      <c r="C36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49UJ6560-LUPA GIGANTE/4B</v>
      </c>
      <c r="D361" s="75" t="n">
        <v>46051</v>
      </c>
      <c r="E36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36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361" s="1" t="n">
        <v>1</v>
      </c>
      <c r="I361" s="1" t="n">
        <f aca="false">(salidas26[[#This Row],[CANT JUEGOS ]]*salidas26[[#This Row],[PRECIO JUEGO]])</f>
        <v>220</v>
      </c>
      <c r="J361" s="1" t="n">
        <f aca="false">(salidas26[[#This Row],[CANT BARRAS]]*salidas26[[#This Row],[PRECIO BARRA]])</f>
        <v>0</v>
      </c>
      <c r="K361" s="1" t="n">
        <v>220</v>
      </c>
      <c r="L361" s="1" t="s">
        <v>533</v>
      </c>
      <c r="M361" s="1" t="s">
        <v>511</v>
      </c>
    </row>
    <row r="362" customFormat="false" ht="15" hidden="false" customHeight="false" outlineLevel="0" collapsed="false">
      <c r="A362" s="1" t="n">
        <v>106</v>
      </c>
      <c r="B362" s="1" t="n">
        <v>8015</v>
      </c>
      <c r="C36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362" s="75" t="n">
        <v>46051</v>
      </c>
      <c r="E36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36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62" s="1" t="n">
        <v>2</v>
      </c>
      <c r="I362" s="1" t="n">
        <f aca="false">(salidas26[[#This Row],[CANT JUEGOS ]]*salidas26[[#This Row],[PRECIO JUEGO]])</f>
        <v>120</v>
      </c>
      <c r="J362" s="1" t="n">
        <f aca="false">(salidas26[[#This Row],[CANT BARRAS]]*salidas26[[#This Row],[PRECIO BARRA]])</f>
        <v>0</v>
      </c>
      <c r="K362" s="1" t="n">
        <v>100</v>
      </c>
      <c r="L362" s="1" t="s">
        <v>533</v>
      </c>
      <c r="M362" s="1" t="s">
        <v>511</v>
      </c>
    </row>
    <row r="363" customFormat="false" ht="15" hidden="false" customHeight="false" outlineLevel="0" collapsed="false">
      <c r="A363" s="1" t="n">
        <v>107</v>
      </c>
      <c r="B363" s="1" t="n">
        <v>2024</v>
      </c>
      <c r="C36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UN43J5202/ 3 BARRAS/8L/3V</v>
      </c>
      <c r="D363" s="75" t="n">
        <v>46051</v>
      </c>
      <c r="E36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36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363" s="1" t="n">
        <v>1</v>
      </c>
      <c r="I363" s="1" t="n">
        <f aca="false">(salidas26[[#This Row],[CANT JUEGOS ]]*salidas26[[#This Row],[PRECIO JUEGO]])</f>
        <v>180</v>
      </c>
      <c r="J363" s="1" t="n">
        <f aca="false">(salidas26[[#This Row],[CANT BARRAS]]*salidas26[[#This Row],[PRECIO BARRA]])</f>
        <v>0</v>
      </c>
      <c r="K363" s="1" t="n">
        <v>170</v>
      </c>
      <c r="L363" s="1" t="s">
        <v>533</v>
      </c>
      <c r="M363" s="1" t="s">
        <v>622</v>
      </c>
    </row>
    <row r="364" customFormat="false" ht="15" hidden="false" customHeight="false" outlineLevel="0" collapsed="false">
      <c r="A364" s="1" t="n">
        <v>108</v>
      </c>
      <c r="B364" s="1" t="n">
        <v>1033</v>
      </c>
      <c r="C36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D364" s="75" t="n">
        <v>46051</v>
      </c>
      <c r="E36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36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364" s="1" t="n">
        <v>1</v>
      </c>
      <c r="I364" s="1" t="n">
        <f aca="false">(salidas26[[#This Row],[CANT JUEGOS ]]*salidas26[[#This Row],[PRECIO JUEGO]])</f>
        <v>180</v>
      </c>
      <c r="J364" s="1" t="n">
        <f aca="false">(salidas26[[#This Row],[CANT BARRAS]]*salidas26[[#This Row],[PRECIO BARRA]])</f>
        <v>0</v>
      </c>
      <c r="K364" s="1" t="n">
        <v>180</v>
      </c>
      <c r="L364" s="1" t="s">
        <v>533</v>
      </c>
      <c r="M364" s="1" t="s">
        <v>623</v>
      </c>
    </row>
    <row r="365" customFormat="false" ht="15" hidden="false" customHeight="false" outlineLevel="0" collapsed="false">
      <c r="A365" s="1" t="n">
        <v>109</v>
      </c>
      <c r="B365" s="1" t="n">
        <v>2051</v>
      </c>
      <c r="C36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UN49J5290/8B</v>
      </c>
      <c r="D365" s="75" t="n">
        <v>46051</v>
      </c>
      <c r="E36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36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32.5</v>
      </c>
      <c r="G365" s="1" t="n">
        <v>1</v>
      </c>
      <c r="I365" s="1" t="n">
        <f aca="false">(salidas26[[#This Row],[CANT JUEGOS ]]*salidas26[[#This Row],[PRECIO JUEGO]])</f>
        <v>260</v>
      </c>
      <c r="J365" s="1" t="n">
        <f aca="false">(salidas26[[#This Row],[CANT BARRAS]]*salidas26[[#This Row],[PRECIO BARRA]])</f>
        <v>0</v>
      </c>
      <c r="K365" s="1" t="n">
        <v>250</v>
      </c>
      <c r="L365" s="1" t="s">
        <v>533</v>
      </c>
      <c r="M365" s="1" t="s">
        <v>623</v>
      </c>
    </row>
    <row r="366" s="1" customFormat="true" ht="15" hidden="false" customHeight="false" outlineLevel="0" collapsed="false">
      <c r="A366" s="1" t="n">
        <v>110</v>
      </c>
      <c r="B366" s="1" t="n">
        <v>4021</v>
      </c>
      <c r="C36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DAEWOO LS50U1   8B/4L/3v</v>
      </c>
      <c r="D366" s="75" t="n">
        <v>46051</v>
      </c>
      <c r="E36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36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25</v>
      </c>
      <c r="G366" s="1" t="n">
        <v>1</v>
      </c>
      <c r="I366" s="1" t="n">
        <f aca="false">(salidas26[[#This Row],[CANT JUEGOS ]]*salidas26[[#This Row],[PRECIO JUEGO]])</f>
        <v>200</v>
      </c>
      <c r="J366" s="1" t="n">
        <f aca="false">(salidas26[[#This Row],[CANT BARRAS]]*salidas26[[#This Row],[PRECIO BARRA]])</f>
        <v>0</v>
      </c>
      <c r="K366" s="1" t="n">
        <v>200</v>
      </c>
      <c r="L366" s="1" t="s">
        <v>533</v>
      </c>
      <c r="M366" s="1" t="s">
        <v>527</v>
      </c>
    </row>
    <row r="367" customFormat="false" ht="15" hidden="false" customHeight="false" outlineLevel="0" collapsed="false">
      <c r="A367" s="1" t="n">
        <v>111</v>
      </c>
      <c r="B367" s="1" t="n">
        <v>2097</v>
      </c>
      <c r="C36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UN65AU8000-65BU8000/2B</v>
      </c>
      <c r="D367" s="75" t="n">
        <v>46052</v>
      </c>
      <c r="E36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320</v>
      </c>
      <c r="F36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160</v>
      </c>
      <c r="G367" s="1" t="n">
        <v>1</v>
      </c>
      <c r="I367" s="1" t="n">
        <f aca="false">(salidas26[[#This Row],[CANT JUEGOS ]]*salidas26[[#This Row],[PRECIO JUEGO]])</f>
        <v>320</v>
      </c>
      <c r="J367" s="1" t="n">
        <f aca="false">(salidas26[[#This Row],[CANT BARRAS]]*salidas26[[#This Row],[PRECIO BARRA]])</f>
        <v>0</v>
      </c>
      <c r="K367" s="1" t="n">
        <v>300</v>
      </c>
      <c r="L367" s="1" t="s">
        <v>502</v>
      </c>
      <c r="M367" s="1" t="s">
        <v>564</v>
      </c>
    </row>
    <row r="368" customFormat="false" ht="15" hidden="false" customHeight="false" outlineLevel="0" collapsed="false">
      <c r="A368" s="1" t="n">
        <v>112</v>
      </c>
      <c r="B368" s="1" t="n">
        <v>8123</v>
      </c>
      <c r="C36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3V/2W S/C  DIF. 180º</v>
      </c>
      <c r="D368" s="75" t="n">
        <v>46052</v>
      </c>
      <c r="E36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36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368" s="1" t="n">
        <v>40</v>
      </c>
      <c r="I368" s="1" t="n">
        <f aca="false">(salidas26[[#This Row],[CANT JUEGOS ]]*salidas26[[#This Row],[PRECIO JUEGO]])</f>
        <v>0</v>
      </c>
      <c r="J368" s="1" t="n">
        <f aca="false">(salidas26[[#This Row],[CANT BARRAS]]*salidas26[[#This Row],[PRECIO BARRA]])</f>
        <v>140</v>
      </c>
      <c r="K368" s="1" t="n">
        <v>128</v>
      </c>
      <c r="L368" s="1" t="s">
        <v>502</v>
      </c>
      <c r="M368" s="1" t="s">
        <v>564</v>
      </c>
    </row>
    <row r="369" customFormat="false" ht="15" hidden="false" customHeight="false" outlineLevel="0" collapsed="false">
      <c r="A369" s="1" t="n">
        <v>113</v>
      </c>
      <c r="B369" s="1" t="n">
        <v>6022</v>
      </c>
      <c r="C36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SKYWORTH SUC9350Pro /10L</v>
      </c>
      <c r="E36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36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70</v>
      </c>
      <c r="G369" s="1" t="n">
        <v>1</v>
      </c>
      <c r="I369" s="1" t="n">
        <f aca="false">(salidas26[[#This Row],[CANT JUEGOS ]]*salidas26[[#This Row],[PRECIO JUEGO]])</f>
        <v>350</v>
      </c>
      <c r="J369" s="1" t="n">
        <f aca="false">(salidas26[[#This Row],[CANT BARRAS]]*salidas26[[#This Row],[PRECIO BARRA]])</f>
        <v>0</v>
      </c>
      <c r="K369" s="1" t="n">
        <v>280</v>
      </c>
      <c r="L369" s="1" t="s">
        <v>533</v>
      </c>
      <c r="M369" s="1" t="s">
        <v>527</v>
      </c>
    </row>
    <row r="370" customFormat="false" ht="15" hidden="false" customHeight="false" outlineLevel="0" collapsed="false">
      <c r="A370" s="1" t="n">
        <v>114</v>
      </c>
      <c r="B370" s="1" t="n">
        <v>8095</v>
      </c>
      <c r="C37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 PREMIER 5L/3V 10B</v>
      </c>
      <c r="E37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37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70" s="1" t="n">
        <v>1</v>
      </c>
      <c r="I370" s="1" t="n">
        <f aca="false">(salidas26[[#This Row],[CANT JUEGOS ]]*salidas26[[#This Row],[PRECIO JUEGO]])</f>
        <v>300</v>
      </c>
      <c r="J370" s="1" t="n">
        <f aca="false">(salidas26[[#This Row],[CANT BARRAS]]*salidas26[[#This Row],[PRECIO BARRA]])</f>
        <v>0</v>
      </c>
      <c r="K370" s="1" t="n">
        <v>380</v>
      </c>
      <c r="L370" s="1" t="s">
        <v>502</v>
      </c>
      <c r="M370" s="1" t="s">
        <v>526</v>
      </c>
    </row>
    <row r="371" customFormat="false" ht="15" hidden="false" customHeight="false" outlineLevel="0" collapsed="false">
      <c r="A371" s="1" t="n">
        <v>115</v>
      </c>
      <c r="B371" s="1" t="n">
        <v>8098</v>
      </c>
      <c r="C37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PREMIER 11B/6L </v>
      </c>
      <c r="E37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420</v>
      </c>
      <c r="F37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371" s="1" t="n">
        <v>1</v>
      </c>
      <c r="I371" s="1" t="n">
        <f aca="false">(salidas26[[#This Row],[CANT JUEGOS ]]*salidas26[[#This Row],[PRECIO JUEGO]])</f>
        <v>420</v>
      </c>
      <c r="J371" s="1" t="n">
        <f aca="false">(salidas26[[#This Row],[CANT BARRAS]]*salidas26[[#This Row],[PRECIO BARRA]])</f>
        <v>0</v>
      </c>
      <c r="K371" s="1" t="n">
        <v>380</v>
      </c>
      <c r="L371" s="1" t="s">
        <v>502</v>
      </c>
      <c r="M371" s="1" t="s">
        <v>581</v>
      </c>
    </row>
    <row r="372" customFormat="false" ht="15" hidden="false" customHeight="false" outlineLevel="0" collapsed="false">
      <c r="A372" s="1" t="n">
        <v>116</v>
      </c>
      <c r="B372" s="1" t="n">
        <v>8124</v>
      </c>
      <c r="C37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LUPA NORMAL 3V/2W S/C </v>
      </c>
      <c r="E37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37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372" s="1" t="n">
        <v>10</v>
      </c>
      <c r="I372" s="1" t="n">
        <f aca="false">(salidas26[[#This Row],[CANT JUEGOS ]]*salidas26[[#This Row],[PRECIO JUEGO]])</f>
        <v>0</v>
      </c>
      <c r="J372" s="1" t="n">
        <f aca="false">(salidas26[[#This Row],[CANT BARRAS]]*salidas26[[#This Row],[PRECIO BARRA]])</f>
        <v>35</v>
      </c>
      <c r="K372" s="1" t="n">
        <v>35</v>
      </c>
      <c r="L372" s="1" t="s">
        <v>502</v>
      </c>
      <c r="M372" s="1" t="s">
        <v>624</v>
      </c>
    </row>
    <row r="373" customFormat="false" ht="15" hidden="false" customHeight="false" outlineLevel="0" collapsed="false">
      <c r="A373" s="1" t="n">
        <v>117</v>
      </c>
      <c r="B373" s="1" t="n">
        <v>8015</v>
      </c>
      <c r="C37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E37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37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73" s="1" t="n">
        <v>2</v>
      </c>
      <c r="I373" s="1" t="n">
        <f aca="false">(salidas26[[#This Row],[CANT JUEGOS ]]*salidas26[[#This Row],[PRECIO JUEGO]])</f>
        <v>120</v>
      </c>
      <c r="J373" s="1" t="n">
        <f aca="false">(salidas26[[#This Row],[CANT BARRAS]]*salidas26[[#This Row],[PRECIO BARRA]])</f>
        <v>0</v>
      </c>
      <c r="K373" s="1" t="n">
        <v>100</v>
      </c>
      <c r="L373" s="1" t="s">
        <v>533</v>
      </c>
      <c r="M373" s="1" t="s">
        <v>511</v>
      </c>
    </row>
    <row r="374" customFormat="false" ht="15" hidden="false" customHeight="false" outlineLevel="0" collapsed="false">
      <c r="A374" s="1" t="n">
        <v>118</v>
      </c>
      <c r="B374" s="1" t="n">
        <v>8123</v>
      </c>
      <c r="C37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3V/2W S/C  DIF. 180º</v>
      </c>
      <c r="E37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37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374" s="1" t="n">
        <v>10</v>
      </c>
      <c r="I374" s="1" t="n">
        <f aca="false">(salidas26[[#This Row],[CANT JUEGOS ]]*salidas26[[#This Row],[PRECIO JUEGO]])</f>
        <v>0</v>
      </c>
      <c r="J374" s="1" t="n">
        <f aca="false">(salidas26[[#This Row],[CANT BARRAS]]*salidas26[[#This Row],[PRECIO BARRA]])</f>
        <v>35</v>
      </c>
      <c r="K374" s="1" t="n">
        <v>35</v>
      </c>
      <c r="L374" s="1" t="s">
        <v>533</v>
      </c>
      <c r="M374" s="1" t="s">
        <v>511</v>
      </c>
    </row>
    <row r="375" customFormat="false" ht="31.3" hidden="false" customHeight="false" outlineLevel="0" collapsed="false">
      <c r="A375" s="1" t="n">
        <v>119</v>
      </c>
      <c r="B375" s="1" t="n">
        <v>4000</v>
      </c>
      <c r="C375" s="76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 V780-TCL 5L/6V -2B
MI L32M5-5ASP</v>
      </c>
      <c r="E37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37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75" s="1" t="n">
        <v>2</v>
      </c>
      <c r="I375" s="1" t="n">
        <f aca="false">(salidas26[[#This Row],[CANT JUEGOS ]]*salidas26[[#This Row],[PRECIO JUEGO]])</f>
        <v>120</v>
      </c>
      <c r="J375" s="1" t="n">
        <f aca="false">(salidas26[[#This Row],[CANT BARRAS]]*salidas26[[#This Row],[PRECIO BARRA]])</f>
        <v>0</v>
      </c>
      <c r="K375" s="1" t="n">
        <v>96</v>
      </c>
      <c r="L375" s="1" t="s">
        <v>502</v>
      </c>
      <c r="M375" s="1" t="s">
        <v>534</v>
      </c>
    </row>
    <row r="376" customFormat="false" ht="15" hidden="false" customHeight="false" outlineLevel="0" collapsed="false">
      <c r="A376" s="1" t="n">
        <v>120</v>
      </c>
      <c r="B376" s="1" t="n">
        <v>1018</v>
      </c>
      <c r="C37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LH 5100-2B/5L</v>
      </c>
      <c r="E37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37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376" s="1" t="n">
        <v>1</v>
      </c>
      <c r="I376" s="1" t="n">
        <f aca="false">(salidas26[[#This Row],[CANT JUEGOS ]]*salidas26[[#This Row],[PRECIO JUEGO]])</f>
        <v>80</v>
      </c>
      <c r="J376" s="1" t="n">
        <f aca="false">(salidas26[[#This Row],[CANT BARRAS]]*salidas26[[#This Row],[PRECIO BARRA]])</f>
        <v>0</v>
      </c>
      <c r="K376" s="1" t="n">
        <v>64</v>
      </c>
      <c r="L376" s="1" t="s">
        <v>502</v>
      </c>
      <c r="M376" s="1" t="s">
        <v>534</v>
      </c>
    </row>
    <row r="377" customFormat="false" ht="15" hidden="false" customHeight="false" outlineLevel="0" collapsed="false">
      <c r="A377" s="1" t="n">
        <v>121</v>
      </c>
      <c r="B377" s="1" t="n">
        <v>1076</v>
      </c>
      <c r="C37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 UJ6500 /8B</v>
      </c>
      <c r="E37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37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31.25</v>
      </c>
      <c r="G377" s="1" t="n">
        <v>1</v>
      </c>
      <c r="I377" s="1" t="n">
        <f aca="false">(salidas26[[#This Row],[CANT JUEGOS ]]*salidas26[[#This Row],[PRECIO JUEGO]])</f>
        <v>250</v>
      </c>
      <c r="J377" s="1" t="n">
        <f aca="false">(salidas26[[#This Row],[CANT BARRAS]]*salidas26[[#This Row],[PRECIO BARRA]])</f>
        <v>0</v>
      </c>
      <c r="K377" s="1" t="n">
        <v>200</v>
      </c>
      <c r="L377" s="1" t="s">
        <v>502</v>
      </c>
      <c r="M377" s="1" t="s">
        <v>534</v>
      </c>
    </row>
    <row r="378" customFormat="false" ht="16.4" hidden="false" customHeight="false" outlineLevel="0" collapsed="false">
      <c r="A378" s="1" t="n">
        <v>122</v>
      </c>
      <c r="B378" s="1" t="n">
        <v>2003</v>
      </c>
      <c r="C37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UN32F5000-SAMSUNG 5B</v>
      </c>
      <c r="E37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130</v>
      </c>
      <c r="F37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</v>
      </c>
      <c r="H378" s="1" t="n">
        <v>2</v>
      </c>
      <c r="I378" s="1" t="n">
        <f aca="false">(salidas26[[#This Row],[CANT JUEGOS ]]*salidas26[[#This Row],[PRECIO JUEGO]])</f>
        <v>0</v>
      </c>
      <c r="J378" s="1" t="n">
        <f aca="false">(salidas26[[#This Row],[CANT BARRAS]]*salidas26[[#This Row],[PRECIO BARRA]])</f>
        <v>52</v>
      </c>
      <c r="K378" s="1" t="n">
        <v>50</v>
      </c>
      <c r="L378" s="1" t="s">
        <v>502</v>
      </c>
      <c r="M378" s="52" t="s">
        <v>625</v>
      </c>
    </row>
    <row r="379" customFormat="false" ht="15" hidden="false" customHeight="false" outlineLevel="0" collapsed="false">
      <c r="A379" s="1" t="n">
        <v>123</v>
      </c>
      <c r="B379" s="1" t="n">
        <v>2001</v>
      </c>
      <c r="C37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UN32EH4000 4B/3V</v>
      </c>
      <c r="E37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37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37.5</v>
      </c>
      <c r="G379" s="1" t="n">
        <v>1</v>
      </c>
      <c r="I379" s="1" t="n">
        <f aca="false">(salidas26[[#This Row],[CANT JUEGOS ]]*salidas26[[#This Row],[PRECIO JUEGO]])</f>
        <v>150</v>
      </c>
      <c r="J379" s="1" t="n">
        <f aca="false">(salidas26[[#This Row],[CANT BARRAS]]*salidas26[[#This Row],[PRECIO BARRA]])</f>
        <v>0</v>
      </c>
      <c r="K379" s="1" t="n">
        <v>150</v>
      </c>
      <c r="L379" s="1" t="s">
        <v>502</v>
      </c>
      <c r="M379" s="1" t="s">
        <v>626</v>
      </c>
    </row>
    <row r="380" customFormat="false" ht="15" hidden="false" customHeight="false" outlineLevel="0" collapsed="false">
      <c r="B380" s="1" t="n">
        <v>8000</v>
      </c>
      <c r="C38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19 PULG</v>
      </c>
      <c r="E38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38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80" s="1" t="n">
        <v>1</v>
      </c>
      <c r="I380" s="1" t="n">
        <f aca="false">(salidas26[[#This Row],[CANT JUEGOS ]]*salidas26[[#This Row],[PRECIO JUEGO]])</f>
        <v>60</v>
      </c>
      <c r="J380" s="1" t="n">
        <f aca="false">(salidas26[[#This Row],[CANT BARRAS]]*salidas26[[#This Row],[PRECIO BARRA]])</f>
        <v>0</v>
      </c>
      <c r="M380" s="1" t="s">
        <v>541</v>
      </c>
    </row>
    <row r="381" customFormat="false" ht="15" hidden="false" customHeight="false" outlineLevel="0" collapsed="false">
      <c r="A381" s="1" t="n">
        <v>124</v>
      </c>
      <c r="B381" s="1" t="n">
        <v>8000</v>
      </c>
      <c r="C38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19 PULG</v>
      </c>
      <c r="E38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38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H381" s="1" t="n">
        <v>1</v>
      </c>
      <c r="I381" s="1" t="n">
        <f aca="false">(salidas26[[#This Row],[CANT JUEGOS ]]*salidas26[[#This Row],[PRECIO JUEGO]])</f>
        <v>0</v>
      </c>
      <c r="J381" s="1" t="n">
        <f aca="false">(salidas26[[#This Row],[CANT BARRAS]]*salidas26[[#This Row],[PRECIO BARRA]])</f>
        <v>30</v>
      </c>
      <c r="K381" s="1" t="n">
        <v>40</v>
      </c>
      <c r="L381" s="1" t="s">
        <v>502</v>
      </c>
      <c r="M381" s="1" t="s">
        <v>627</v>
      </c>
    </row>
    <row r="382" customFormat="false" ht="15" hidden="false" customHeight="false" outlineLevel="0" collapsed="false">
      <c r="A382" s="1" t="n">
        <v>125</v>
      </c>
      <c r="B382" s="1" t="n">
        <v>8095</v>
      </c>
      <c r="C38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 PREMIER 5L/3V 10B</v>
      </c>
      <c r="E38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38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82" s="1" t="n">
        <v>1</v>
      </c>
      <c r="I382" s="1" t="n">
        <f aca="false">(salidas26[[#This Row],[CANT JUEGOS ]]*salidas26[[#This Row],[PRECIO JUEGO]])</f>
        <v>300</v>
      </c>
      <c r="J382" s="1" t="n">
        <f aca="false">(salidas26[[#This Row],[CANT BARRAS]]*salidas26[[#This Row],[PRECIO BARRA]])</f>
        <v>0</v>
      </c>
      <c r="K382" s="1" t="n">
        <v>300</v>
      </c>
      <c r="L382" s="1" t="s">
        <v>533</v>
      </c>
      <c r="M382" s="1" t="s">
        <v>628</v>
      </c>
    </row>
    <row r="383" customFormat="false" ht="15" hidden="false" customHeight="false" outlineLevel="0" collapsed="false">
      <c r="A383" s="1" t="n">
        <v>126</v>
      </c>
      <c r="B383" s="1" t="n">
        <v>8015</v>
      </c>
      <c r="C38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E38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38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83" s="1" t="n">
        <v>1</v>
      </c>
      <c r="I383" s="1" t="n">
        <f aca="false">(salidas26[[#This Row],[CANT JUEGOS ]]*salidas26[[#This Row],[PRECIO JUEGO]])</f>
        <v>60</v>
      </c>
      <c r="J383" s="1" t="n">
        <f aca="false">(salidas26[[#This Row],[CANT BARRAS]]*salidas26[[#This Row],[PRECIO BARRA]])</f>
        <v>0</v>
      </c>
      <c r="K383" s="1" t="n">
        <v>60</v>
      </c>
      <c r="L383" s="1" t="s">
        <v>533</v>
      </c>
      <c r="M383" s="1" t="s">
        <v>513</v>
      </c>
    </row>
    <row r="384" s="1" customFormat="true" ht="15" hidden="false" customHeight="false" outlineLevel="0" collapsed="false">
      <c r="A384" s="1" t="n">
        <v>128</v>
      </c>
      <c r="B384" s="1" t="n">
        <v>5029</v>
      </c>
      <c r="C38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47 PANASONIC EDGE</v>
      </c>
      <c r="E38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38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200</v>
      </c>
      <c r="G384" s="1" t="n">
        <v>1</v>
      </c>
      <c r="I384" s="1" t="n">
        <f aca="false">(salidas26[[#This Row],[CANT JUEGOS ]]*salidas26[[#This Row],[PRECIO JUEGO]])</f>
        <v>200</v>
      </c>
      <c r="J384" s="1" t="n">
        <f aca="false">(salidas26[[#This Row],[CANT BARRAS]]*salidas26[[#This Row],[PRECIO BARRA]])</f>
        <v>0</v>
      </c>
      <c r="K384" s="1" t="n">
        <v>120</v>
      </c>
      <c r="L384" s="1" t="s">
        <v>533</v>
      </c>
      <c r="M384" s="1" t="s">
        <v>527</v>
      </c>
    </row>
    <row r="385" s="1" customFormat="true" ht="15" hidden="false" customHeight="false" outlineLevel="0" collapsed="false">
      <c r="A385" s="1" t="n">
        <v>129</v>
      </c>
      <c r="B385" s="1" t="n">
        <v>1063</v>
      </c>
      <c r="C38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43LH5000/5B</v>
      </c>
      <c r="E38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38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36</v>
      </c>
      <c r="G385" s="1" t="n">
        <v>1</v>
      </c>
      <c r="I385" s="1" t="n">
        <f aca="false">(salidas26[[#This Row],[CANT JUEGOS ]]*salidas26[[#This Row],[PRECIO JUEGO]])</f>
        <v>180</v>
      </c>
      <c r="J385" s="1" t="n">
        <f aca="false">(salidas26[[#This Row],[CANT BARRAS]]*salidas26[[#This Row],[PRECIO BARRA]])</f>
        <v>0</v>
      </c>
      <c r="K385" s="1" t="n">
        <v>180</v>
      </c>
      <c r="L385" s="1" t="s">
        <v>502</v>
      </c>
      <c r="M385" s="1" t="s">
        <v>629</v>
      </c>
    </row>
    <row r="386" customFormat="false" ht="15" hidden="false" customHeight="false" outlineLevel="0" collapsed="false">
      <c r="A386" s="1" t="n">
        <v>130</v>
      </c>
      <c r="B386" s="1" t="n">
        <v>8129</v>
      </c>
      <c r="C38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6V/2W S/C DIF. 180º</v>
      </c>
      <c r="E38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38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386" s="1" t="n">
        <v>5</v>
      </c>
      <c r="I386" s="1" t="n">
        <f aca="false">(salidas26[[#This Row],[CANT JUEGOS ]]*salidas26[[#This Row],[PRECIO JUEGO]])</f>
        <v>0</v>
      </c>
      <c r="J386" s="1" t="n">
        <f aca="false">(salidas26[[#This Row],[CANT BARRAS]]*salidas26[[#This Row],[PRECIO BARRA]])</f>
        <v>17.5</v>
      </c>
      <c r="K386" s="1" t="n">
        <v>17.5</v>
      </c>
      <c r="L386" s="1" t="s">
        <v>533</v>
      </c>
      <c r="M386" s="1" t="s">
        <v>506</v>
      </c>
    </row>
    <row r="387" customFormat="false" ht="15" hidden="false" customHeight="false" outlineLevel="0" collapsed="false">
      <c r="A387" s="1" t="n">
        <v>131</v>
      </c>
      <c r="B387" s="1" t="n">
        <v>8015</v>
      </c>
      <c r="C38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E38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38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87" s="1" t="n">
        <v>1</v>
      </c>
      <c r="I387" s="1" t="n">
        <f aca="false">(salidas26[[#This Row],[CANT JUEGOS ]]*salidas26[[#This Row],[PRECIO JUEGO]])</f>
        <v>60</v>
      </c>
      <c r="J387" s="1" t="n">
        <f aca="false">(salidas26[[#This Row],[CANT BARRAS]]*salidas26[[#This Row],[PRECIO BARRA]])</f>
        <v>0</v>
      </c>
      <c r="K387" s="1" t="n">
        <v>60</v>
      </c>
      <c r="L387" s="1" t="s">
        <v>533</v>
      </c>
      <c r="M387" s="1" t="s">
        <v>506</v>
      </c>
    </row>
    <row r="388" customFormat="false" ht="15" hidden="false" customHeight="false" outlineLevel="0" collapsed="false">
      <c r="A388" s="1" t="n">
        <v>132</v>
      </c>
      <c r="B388" s="1" t="n">
        <v>3012</v>
      </c>
      <c r="C38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48M600 10B/6-7LEDS Y 4 -8LEDS/3V </v>
      </c>
      <c r="E38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38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</v>
      </c>
      <c r="H388" s="1" t="n">
        <v>2</v>
      </c>
      <c r="I388" s="1" t="n">
        <f aca="false">(salidas26[[#This Row],[CANT JUEGOS ]]*salidas26[[#This Row],[PRECIO JUEGO]])</f>
        <v>0</v>
      </c>
      <c r="J388" s="1" t="n">
        <f aca="false">(salidas26[[#This Row],[CANT BARRAS]]*salidas26[[#This Row],[PRECIO BARRA]])</f>
        <v>52</v>
      </c>
      <c r="K388" s="1" t="n">
        <v>50</v>
      </c>
      <c r="L388" s="1" t="s">
        <v>502</v>
      </c>
      <c r="M388" s="1" t="s">
        <v>518</v>
      </c>
    </row>
    <row r="389" customFormat="false" ht="15" hidden="false" customHeight="false" outlineLevel="0" collapsed="false">
      <c r="A389" s="1" t="n">
        <v>135</v>
      </c>
      <c r="B389" s="1" t="n">
        <v>8013</v>
      </c>
      <c r="C38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CHANCHONG CD2000 6L/3V/3B</v>
      </c>
      <c r="E38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100</v>
      </c>
      <c r="F38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389" s="1" t="n">
        <v>1</v>
      </c>
      <c r="I389" s="1" t="n">
        <f aca="false">(salidas26[[#This Row],[CANT JUEGOS ]]*salidas26[[#This Row],[PRECIO JUEGO]])</f>
        <v>100</v>
      </c>
      <c r="J389" s="1" t="n">
        <f aca="false">(salidas26[[#This Row],[CANT BARRAS]]*salidas26[[#This Row],[PRECIO BARRA]])</f>
        <v>0</v>
      </c>
      <c r="K389" s="1" t="n">
        <v>100</v>
      </c>
      <c r="L389" s="1" t="s">
        <v>502</v>
      </c>
      <c r="M389" s="1" t="s">
        <v>518</v>
      </c>
    </row>
    <row r="390" customFormat="false" ht="15" hidden="false" customHeight="false" outlineLevel="0" collapsed="false">
      <c r="A390" s="1" t="n">
        <v>136</v>
      </c>
      <c r="B390" s="1" t="n">
        <v>7000</v>
      </c>
      <c r="C39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IRT/6L/2B/6V</v>
      </c>
      <c r="E39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39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90" s="1" t="n">
        <v>1</v>
      </c>
      <c r="I390" s="1" t="n">
        <f aca="false">(salidas26[[#This Row],[CANT JUEGOS ]]*salidas26[[#This Row],[PRECIO JUEGO]])</f>
        <v>60</v>
      </c>
      <c r="J390" s="1" t="n">
        <f aca="false">(salidas26[[#This Row],[CANT BARRAS]]*salidas26[[#This Row],[PRECIO BARRA]])</f>
        <v>0</v>
      </c>
      <c r="K390" s="1" t="n">
        <v>60</v>
      </c>
      <c r="L390" s="1" t="s">
        <v>533</v>
      </c>
      <c r="M390" s="1" t="s">
        <v>518</v>
      </c>
    </row>
    <row r="391" customFormat="false" ht="15" hidden="false" customHeight="false" outlineLevel="0" collapsed="false">
      <c r="A391" s="1" t="n">
        <v>137</v>
      </c>
      <c r="B391" s="1" t="n">
        <v>1033</v>
      </c>
      <c r="C39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E39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39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391" s="1" t="n">
        <v>1</v>
      </c>
      <c r="I391" s="1" t="n">
        <f aca="false">(salidas26[[#This Row],[CANT JUEGOS ]]*salidas26[[#This Row],[PRECIO JUEGO]])</f>
        <v>180</v>
      </c>
      <c r="J391" s="1" t="n">
        <f aca="false">(salidas26[[#This Row],[CANT BARRAS]]*salidas26[[#This Row],[PRECIO BARRA]])</f>
        <v>0</v>
      </c>
      <c r="K391" s="1" t="n">
        <v>180</v>
      </c>
      <c r="L391" s="1" t="s">
        <v>533</v>
      </c>
      <c r="M391" s="1" t="s">
        <v>503</v>
      </c>
    </row>
    <row r="392" customFormat="false" ht="15" hidden="false" customHeight="false" outlineLevel="0" collapsed="false">
      <c r="A392" s="1" t="n">
        <v>139</v>
      </c>
      <c r="B392" s="67" t="n">
        <v>6022</v>
      </c>
      <c r="C39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SKYWORTH SUC9350Pro /10L</v>
      </c>
      <c r="E39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39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70</v>
      </c>
      <c r="G392" s="1" t="n">
        <v>1</v>
      </c>
      <c r="I392" s="1" t="n">
        <f aca="false">(salidas26[[#This Row],[CANT JUEGOS ]]*salidas26[[#This Row],[PRECIO JUEGO]])</f>
        <v>350</v>
      </c>
      <c r="J392" s="1" t="n">
        <f aca="false">(salidas26[[#This Row],[CANT BARRAS]]*salidas26[[#This Row],[PRECIO BARRA]])</f>
        <v>0</v>
      </c>
      <c r="K392" s="1" t="n">
        <v>350</v>
      </c>
      <c r="L392" s="1" t="s">
        <v>533</v>
      </c>
      <c r="M392" s="1" t="s">
        <v>529</v>
      </c>
    </row>
    <row r="393" customFormat="false" ht="15" hidden="false" customHeight="false" outlineLevel="0" collapsed="false">
      <c r="A393" s="1" t="n">
        <v>140</v>
      </c>
      <c r="B393" s="1" t="n">
        <v>8015</v>
      </c>
      <c r="C39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E39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39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93" s="1" t="n">
        <v>1</v>
      </c>
      <c r="I393" s="1" t="n">
        <f aca="false">(salidas26[[#This Row],[CANT JUEGOS ]]*salidas26[[#This Row],[PRECIO JUEGO]])</f>
        <v>60</v>
      </c>
      <c r="J393" s="1" t="n">
        <f aca="false">(salidas26[[#This Row],[CANT BARRAS]]*salidas26[[#This Row],[PRECIO BARRA]])</f>
        <v>0</v>
      </c>
      <c r="K393" s="1" t="n">
        <v>50</v>
      </c>
      <c r="L393" s="1" t="s">
        <v>533</v>
      </c>
      <c r="M393" s="1" t="s">
        <v>529</v>
      </c>
    </row>
    <row r="394" customFormat="false" ht="15" hidden="false" customHeight="false" outlineLevel="0" collapsed="false">
      <c r="A394" s="1" t="n">
        <v>141</v>
      </c>
      <c r="B394" s="1" t="n">
        <v>8095</v>
      </c>
      <c r="C39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 PREMIER 5L/3V 10B</v>
      </c>
      <c r="E39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39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394" s="1" t="n">
        <v>1</v>
      </c>
      <c r="I394" s="1" t="n">
        <f aca="false">(salidas26[[#This Row],[CANT JUEGOS ]]*salidas26[[#This Row],[PRECIO JUEGO]])</f>
        <v>300</v>
      </c>
      <c r="J394" s="1" t="n">
        <f aca="false">(salidas26[[#This Row],[CANT BARRAS]]*salidas26[[#This Row],[PRECIO BARRA]])</f>
        <v>0</v>
      </c>
      <c r="K394" s="1" t="n">
        <v>290</v>
      </c>
      <c r="L394" s="1" t="s">
        <v>502</v>
      </c>
      <c r="M394" s="1" t="s">
        <v>630</v>
      </c>
    </row>
    <row r="395" customFormat="false" ht="15" hidden="false" customHeight="false" outlineLevel="0" collapsed="false">
      <c r="A395" s="1" t="n">
        <v>142</v>
      </c>
      <c r="B395" s="1" t="n">
        <v>2003</v>
      </c>
      <c r="C39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UN32F5000-SAMSUNG 5B</v>
      </c>
      <c r="E39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130</v>
      </c>
      <c r="F39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</v>
      </c>
      <c r="G395" s="1" t="n">
        <v>1</v>
      </c>
      <c r="I395" s="1" t="n">
        <f aca="false">(salidas26[[#This Row],[CANT JUEGOS ]]*salidas26[[#This Row],[PRECIO JUEGO]])</f>
        <v>130</v>
      </c>
      <c r="J395" s="1" t="n">
        <f aca="false">(salidas26[[#This Row],[CANT BARRAS]]*salidas26[[#This Row],[PRECIO BARRA]])</f>
        <v>0</v>
      </c>
      <c r="K395" s="1" t="n">
        <v>130</v>
      </c>
      <c r="L395" s="1" t="s">
        <v>533</v>
      </c>
      <c r="M395" s="1" t="s">
        <v>510</v>
      </c>
    </row>
    <row r="396" customFormat="false" ht="15" hidden="false" customHeight="false" outlineLevel="0" collapsed="false">
      <c r="A396" s="1" t="n">
        <v>144</v>
      </c>
      <c r="B396" s="1" t="n">
        <v>9002</v>
      </c>
      <c r="C39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75 JVC  KB527 14B/7L</v>
      </c>
      <c r="E39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450</v>
      </c>
      <c r="F39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32.1428571428571</v>
      </c>
      <c r="G396" s="1" t="n">
        <v>1</v>
      </c>
      <c r="I396" s="1" t="n">
        <f aca="false">(salidas26[[#This Row],[CANT JUEGOS ]]*salidas26[[#This Row],[PRECIO JUEGO]])</f>
        <v>450</v>
      </c>
      <c r="J396" s="1" t="n">
        <f aca="false">(salidas26[[#This Row],[CANT BARRAS]]*salidas26[[#This Row],[PRECIO BARRA]])</f>
        <v>0</v>
      </c>
      <c r="K396" s="1" t="n">
        <v>450</v>
      </c>
      <c r="L396" s="1" t="s">
        <v>502</v>
      </c>
      <c r="M396" s="1" t="s">
        <v>625</v>
      </c>
    </row>
    <row r="397" customFormat="false" ht="15" hidden="false" customHeight="false" outlineLevel="0" collapsed="false">
      <c r="A397" s="1" t="n">
        <v>145</v>
      </c>
      <c r="B397" s="1" t="n">
        <v>6006</v>
      </c>
      <c r="C39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SKYWORTH TOSHIBA /3B</v>
      </c>
      <c r="E39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140</v>
      </c>
      <c r="F39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46.6666666666667</v>
      </c>
      <c r="G397" s="1" t="n">
        <v>1</v>
      </c>
      <c r="I397" s="1" t="n">
        <f aca="false">(salidas26[[#This Row],[CANT JUEGOS ]]*salidas26[[#This Row],[PRECIO JUEGO]])</f>
        <v>140</v>
      </c>
      <c r="J397" s="1" t="n">
        <f aca="false">(salidas26[[#This Row],[CANT BARRAS]]*salidas26[[#This Row],[PRECIO BARRA]])</f>
        <v>0</v>
      </c>
      <c r="K397" s="1" t="n">
        <v>144</v>
      </c>
      <c r="L397" s="1" t="s">
        <v>533</v>
      </c>
      <c r="M397" s="1" t="s">
        <v>546</v>
      </c>
    </row>
    <row r="398" s="77" customFormat="true" ht="15" hidden="false" customHeight="false" outlineLevel="0" collapsed="false">
      <c r="A398" s="77" t="n">
        <v>146</v>
      </c>
      <c r="B398" s="77" t="n">
        <v>8057</v>
      </c>
      <c r="C398" s="77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45 PREMIER 7L/4B</v>
      </c>
      <c r="E398" s="77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398" s="77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398" s="77" t="n">
        <v>1</v>
      </c>
      <c r="I398" s="77" t="n">
        <f aca="false">(salidas26[[#This Row],[CANT JUEGOS ]]*salidas26[[#This Row],[PRECIO JUEGO]])</f>
        <v>200</v>
      </c>
      <c r="J398" s="77" t="n">
        <f aca="false">(salidas26[[#This Row],[CANT BARRAS]]*salidas26[[#This Row],[PRECIO BARRA]])</f>
        <v>0</v>
      </c>
      <c r="K398" s="77" t="n">
        <v>200</v>
      </c>
      <c r="L398" s="77" t="s">
        <v>631</v>
      </c>
      <c r="M398" s="77" t="s">
        <v>532</v>
      </c>
    </row>
    <row r="399" customFormat="false" ht="15" hidden="false" customHeight="false" outlineLevel="0" collapsed="false">
      <c r="A399" s="1" t="n">
        <v>147</v>
      </c>
      <c r="B399" s="1" t="n">
        <v>1015</v>
      </c>
      <c r="C39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32LH500B-32LK500 3B/7L/3V</v>
      </c>
      <c r="E39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39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399" s="1" t="n">
        <v>2</v>
      </c>
      <c r="I399" s="1" t="n">
        <f aca="false">(salidas26[[#This Row],[CANT JUEGOS ]]*salidas26[[#This Row],[PRECIO JUEGO]])</f>
        <v>160</v>
      </c>
      <c r="J399" s="1" t="n">
        <f aca="false">(salidas26[[#This Row],[CANT BARRAS]]*salidas26[[#This Row],[PRECIO BARRA]])</f>
        <v>0</v>
      </c>
      <c r="K399" s="1" t="n">
        <v>180</v>
      </c>
      <c r="L399" s="1" t="s">
        <v>533</v>
      </c>
      <c r="M399" s="1" t="s">
        <v>546</v>
      </c>
    </row>
    <row r="400" customFormat="false" ht="15" hidden="false" customHeight="false" outlineLevel="0" collapsed="false">
      <c r="A400" s="1" t="n">
        <v>148</v>
      </c>
      <c r="B400" s="1" t="n">
        <v>1033</v>
      </c>
      <c r="C40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E40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40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400" s="1" t="n">
        <v>1</v>
      </c>
      <c r="I400" s="1" t="n">
        <f aca="false">(salidas26[[#This Row],[CANT JUEGOS ]]*salidas26[[#This Row],[PRECIO JUEGO]])</f>
        <v>180</v>
      </c>
      <c r="J400" s="1" t="n">
        <f aca="false">(salidas26[[#This Row],[CANT BARRAS]]*salidas26[[#This Row],[PRECIO BARRA]])</f>
        <v>0</v>
      </c>
      <c r="K400" s="1" t="n">
        <v>180</v>
      </c>
      <c r="L400" s="1" t="s">
        <v>502</v>
      </c>
      <c r="M400" s="1" t="s">
        <v>612</v>
      </c>
    </row>
    <row r="401" customFormat="false" ht="15" hidden="false" customHeight="false" outlineLevel="0" collapsed="false">
      <c r="A401" s="1" t="n">
        <v>149</v>
      </c>
      <c r="B401" s="1" t="n">
        <v>1060</v>
      </c>
      <c r="C40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43LH-LF 5100/6B</v>
      </c>
      <c r="E40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40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01" s="1" t="n">
        <v>1</v>
      </c>
      <c r="I401" s="1" t="n">
        <f aca="false">(salidas26[[#This Row],[CANT JUEGOS ]]*salidas26[[#This Row],[PRECIO JUEGO]])</f>
        <v>180</v>
      </c>
      <c r="J401" s="1" t="n">
        <f aca="false">(salidas26[[#This Row],[CANT BARRAS]]*salidas26[[#This Row],[PRECIO BARRA]])</f>
        <v>0</v>
      </c>
      <c r="K401" s="1" t="n">
        <v>220</v>
      </c>
      <c r="L401" s="1" t="s">
        <v>502</v>
      </c>
      <c r="M401" s="1" t="s">
        <v>506</v>
      </c>
    </row>
    <row r="402" customFormat="false" ht="15" hidden="false" customHeight="false" outlineLevel="0" collapsed="false">
      <c r="A402" s="1" t="n">
        <v>150</v>
      </c>
      <c r="B402" s="1" t="n">
        <v>6001</v>
      </c>
      <c r="C40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MASTER G MGHF32WB 6L/3V/2B</v>
      </c>
      <c r="E40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40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402" s="1" t="n">
        <v>1</v>
      </c>
      <c r="I402" s="1" t="n">
        <f aca="false">(salidas26[[#This Row],[CANT JUEGOS ]]*salidas26[[#This Row],[PRECIO JUEGO]])</f>
        <v>80</v>
      </c>
      <c r="J402" s="1" t="n">
        <f aca="false">(salidas26[[#This Row],[CANT BARRAS]]*salidas26[[#This Row],[PRECIO BARRA]])</f>
        <v>0</v>
      </c>
      <c r="K402" s="1" t="n">
        <v>70</v>
      </c>
      <c r="L402" s="1" t="s">
        <v>502</v>
      </c>
      <c r="M402" s="1" t="s">
        <v>506</v>
      </c>
    </row>
    <row r="403" customFormat="false" ht="15" hidden="false" customHeight="false" outlineLevel="0" collapsed="false">
      <c r="A403" s="1" t="n">
        <v>151</v>
      </c>
      <c r="B403" s="1" t="n">
        <v>2003</v>
      </c>
      <c r="C40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UN32F5000-SAMSUNG 5B</v>
      </c>
      <c r="E40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130</v>
      </c>
      <c r="F40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</v>
      </c>
      <c r="G403" s="1" t="n">
        <v>1</v>
      </c>
      <c r="I403" s="1" t="n">
        <f aca="false">(salidas26[[#This Row],[CANT JUEGOS ]]*salidas26[[#This Row],[PRECIO JUEGO]])</f>
        <v>130</v>
      </c>
      <c r="J403" s="1" t="n">
        <f aca="false">(salidas26[[#This Row],[CANT BARRAS]]*salidas26[[#This Row],[PRECIO BARRA]])</f>
        <v>0</v>
      </c>
      <c r="K403" s="1" t="n">
        <v>120</v>
      </c>
      <c r="L403" s="1" t="s">
        <v>502</v>
      </c>
      <c r="M403" s="1" t="s">
        <v>632</v>
      </c>
    </row>
    <row r="404" customFormat="false" ht="15" hidden="false" customHeight="false" outlineLevel="0" collapsed="false">
      <c r="A404" s="1" t="n">
        <v>152</v>
      </c>
      <c r="B404" s="1" t="n">
        <v>8015</v>
      </c>
      <c r="C40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E40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40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04" s="1" t="n">
        <v>1</v>
      </c>
      <c r="I404" s="1" t="n">
        <f aca="false">(salidas26[[#This Row],[CANT JUEGOS ]]*salidas26[[#This Row],[PRECIO JUEGO]])</f>
        <v>60</v>
      </c>
      <c r="J404" s="1" t="n">
        <f aca="false">(salidas26[[#This Row],[CANT BARRAS]]*salidas26[[#This Row],[PRECIO BARRA]])</f>
        <v>0</v>
      </c>
      <c r="K404" s="1" t="n">
        <v>60</v>
      </c>
      <c r="L404" s="1" t="s">
        <v>502</v>
      </c>
      <c r="M404" s="1" t="s">
        <v>632</v>
      </c>
    </row>
    <row r="405" customFormat="false" ht="15" hidden="false" customHeight="false" outlineLevel="0" collapsed="false">
      <c r="A405" s="1" t="n">
        <v>153</v>
      </c>
      <c r="B405" s="1" t="n">
        <v>7003</v>
      </c>
      <c r="C40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IRT 8L/6V/3B</v>
      </c>
      <c r="E40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40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405" s="1" t="n">
        <v>1</v>
      </c>
      <c r="I405" s="1" t="n">
        <f aca="false">(salidas26[[#This Row],[CANT JUEGOS ]]*salidas26[[#This Row],[PRECIO JUEGO]])</f>
        <v>150</v>
      </c>
      <c r="J405" s="1" t="n">
        <f aca="false">(salidas26[[#This Row],[CANT BARRAS]]*salidas26[[#This Row],[PRECIO BARRA]])</f>
        <v>0</v>
      </c>
      <c r="K405" s="1" t="n">
        <v>140</v>
      </c>
      <c r="L405" s="1" t="s">
        <v>502</v>
      </c>
      <c r="M405" s="1" t="s">
        <v>633</v>
      </c>
    </row>
    <row r="406" s="77" customFormat="true" ht="15" hidden="false" customHeight="false" outlineLevel="0" collapsed="false">
      <c r="A406" s="77" t="n">
        <v>155</v>
      </c>
      <c r="B406" s="77" t="n">
        <v>6015</v>
      </c>
      <c r="C406" s="77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49L4700 TOSHIBA 4B/8L</v>
      </c>
      <c r="E406" s="77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406" s="77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406" s="77" t="n">
        <v>1</v>
      </c>
      <c r="I406" s="77" t="n">
        <f aca="false">(salidas26[[#This Row],[CANT JUEGOS ]]*salidas26[[#This Row],[PRECIO JUEGO]])</f>
        <v>220</v>
      </c>
      <c r="J406" s="77" t="n">
        <f aca="false">(salidas26[[#This Row],[CANT BARRAS]]*salidas26[[#This Row],[PRECIO BARRA]])</f>
        <v>0</v>
      </c>
      <c r="K406" s="77" t="n">
        <v>220</v>
      </c>
      <c r="L406" s="77" t="s">
        <v>631</v>
      </c>
      <c r="M406" s="77" t="s">
        <v>532</v>
      </c>
    </row>
    <row r="407" customFormat="false" ht="15" hidden="false" customHeight="false" outlineLevel="0" collapsed="false">
      <c r="A407" s="1" t="n">
        <v>156</v>
      </c>
      <c r="B407" s="1" t="n">
        <v>8069</v>
      </c>
      <c r="C40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10L/6V/4B -50 WESTPOINT TEJ -EN SERIE</v>
      </c>
      <c r="E40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40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407" s="1" t="n">
        <v>1</v>
      </c>
      <c r="I407" s="1" t="n">
        <f aca="false">(salidas26[[#This Row],[CANT JUEGOS ]]*salidas26[[#This Row],[PRECIO JUEGO]])</f>
        <v>220</v>
      </c>
      <c r="J407" s="1" t="n">
        <f aca="false">(salidas26[[#This Row],[CANT BARRAS]]*salidas26[[#This Row],[PRECIO BARRA]])</f>
        <v>0</v>
      </c>
      <c r="K407" s="1" t="n">
        <v>200</v>
      </c>
      <c r="L407" s="1" t="s">
        <v>502</v>
      </c>
      <c r="M407" s="1" t="s">
        <v>513</v>
      </c>
    </row>
    <row r="408" customFormat="false" ht="15" hidden="false" customHeight="false" outlineLevel="0" collapsed="false">
      <c r="A408" s="1" t="n">
        <v>157</v>
      </c>
      <c r="B408" s="1" t="n">
        <v>6023</v>
      </c>
      <c r="C40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TOSHIBA C350KB / 10L/4B</v>
      </c>
      <c r="E40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40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75</v>
      </c>
      <c r="G408" s="1" t="n">
        <v>1</v>
      </c>
      <c r="I408" s="1" t="n">
        <f aca="false">(salidas26[[#This Row],[CANT JUEGOS ]]*salidas26[[#This Row],[PRECIO JUEGO]])</f>
        <v>300</v>
      </c>
      <c r="J408" s="1" t="n">
        <f aca="false">(salidas26[[#This Row],[CANT BARRAS]]*salidas26[[#This Row],[PRECIO BARRA]])</f>
        <v>0</v>
      </c>
      <c r="K408" s="1" t="n">
        <v>280</v>
      </c>
      <c r="L408" s="1" t="s">
        <v>502</v>
      </c>
      <c r="M408" s="1" t="s">
        <v>503</v>
      </c>
    </row>
    <row r="409" customFormat="false" ht="15" hidden="false" customHeight="false" outlineLevel="0" collapsed="false">
      <c r="A409" s="1" t="n">
        <v>158</v>
      </c>
      <c r="B409" s="1" t="n">
        <v>2000</v>
      </c>
      <c r="C40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E40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40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409" s="1" t="n">
        <v>1</v>
      </c>
      <c r="I409" s="1" t="n">
        <f aca="false">(salidas26[[#This Row],[CANT JUEGOS ]]*salidas26[[#This Row],[PRECIO JUEGO]])</f>
        <v>80</v>
      </c>
      <c r="J409" s="1" t="n">
        <f aca="false">(salidas26[[#This Row],[CANT BARRAS]]*salidas26[[#This Row],[PRECIO BARRA]])</f>
        <v>0</v>
      </c>
      <c r="K409" s="1" t="n">
        <v>81</v>
      </c>
      <c r="L409" s="1" t="s">
        <v>533</v>
      </c>
      <c r="M409" s="1" t="s">
        <v>546</v>
      </c>
    </row>
    <row r="410" customFormat="false" ht="15" hidden="false" customHeight="false" outlineLevel="0" collapsed="false">
      <c r="A410" s="1" t="n">
        <v>159</v>
      </c>
      <c r="B410" s="1" t="n">
        <v>1033</v>
      </c>
      <c r="C41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E41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41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410" s="1" t="n">
        <v>1</v>
      </c>
      <c r="I410" s="1" t="n">
        <f aca="false">(salidas26[[#This Row],[CANT JUEGOS ]]*salidas26[[#This Row],[PRECIO JUEGO]])</f>
        <v>180</v>
      </c>
      <c r="J410" s="1" t="n">
        <f aca="false">(salidas26[[#This Row],[CANT BARRAS]]*salidas26[[#This Row],[PRECIO BARRA]])</f>
        <v>0</v>
      </c>
      <c r="K410" s="1" t="n">
        <v>198</v>
      </c>
      <c r="L410" s="1" t="s">
        <v>533</v>
      </c>
      <c r="M410" s="1" t="s">
        <v>546</v>
      </c>
    </row>
    <row r="411" customFormat="false" ht="15" hidden="false" customHeight="false" outlineLevel="0" collapsed="false">
      <c r="A411" s="1" t="n">
        <v>160</v>
      </c>
      <c r="B411" s="1" t="n">
        <v>8076</v>
      </c>
      <c r="C41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XIAOMI L55M6A</v>
      </c>
      <c r="E41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41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37.5</v>
      </c>
      <c r="G411" s="1" t="n">
        <v>1</v>
      </c>
      <c r="I411" s="1" t="n">
        <f aca="false">(salidas26[[#This Row],[CANT JUEGOS ]]*salidas26[[#This Row],[PRECIO JUEGO]])</f>
        <v>300</v>
      </c>
      <c r="J411" s="1" t="n">
        <f aca="false">(salidas26[[#This Row],[CANT BARRAS]]*salidas26[[#This Row],[PRECIO BARRA]])</f>
        <v>0</v>
      </c>
      <c r="K411" s="1" t="n">
        <v>250</v>
      </c>
      <c r="L411" s="1" t="s">
        <v>502</v>
      </c>
      <c r="M411" s="1" t="s">
        <v>527</v>
      </c>
    </row>
    <row r="412" customFormat="false" ht="15" hidden="false" customHeight="false" outlineLevel="0" collapsed="false">
      <c r="A412" s="1" t="n">
        <v>161</v>
      </c>
      <c r="B412" s="1" t="n">
        <v>7000</v>
      </c>
      <c r="C41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IRT/6L/2B/6V</v>
      </c>
      <c r="E41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41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12" s="1" t="n">
        <v>1</v>
      </c>
      <c r="I412" s="1" t="n">
        <f aca="false">(salidas26[[#This Row],[CANT JUEGOS ]]*salidas26[[#This Row],[PRECIO JUEGO]])</f>
        <v>60</v>
      </c>
      <c r="J412" s="1" t="n">
        <f aca="false">(salidas26[[#This Row],[CANT BARRAS]]*salidas26[[#This Row],[PRECIO BARRA]])</f>
        <v>0</v>
      </c>
      <c r="K412" s="1" t="n">
        <v>50</v>
      </c>
      <c r="L412" s="1" t="s">
        <v>502</v>
      </c>
      <c r="M412" s="1" t="s">
        <v>505</v>
      </c>
    </row>
    <row r="413" customFormat="false" ht="15" hidden="false" customHeight="false" outlineLevel="0" collapsed="false">
      <c r="A413" s="1" t="n">
        <v>162</v>
      </c>
      <c r="B413" s="1" t="n">
        <v>2003</v>
      </c>
      <c r="C41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UN32F5000-SAMSUNG 5B</v>
      </c>
      <c r="E41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130</v>
      </c>
      <c r="F41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</v>
      </c>
      <c r="H413" s="1" t="n">
        <v>2</v>
      </c>
      <c r="I413" s="1" t="n">
        <f aca="false">(salidas26[[#This Row],[CANT JUEGOS ]]*salidas26[[#This Row],[PRECIO JUEGO]])</f>
        <v>0</v>
      </c>
      <c r="J413" s="1" t="n">
        <f aca="false">(salidas26[[#This Row],[CANT BARRAS]]*salidas26[[#This Row],[PRECIO BARRA]])</f>
        <v>52</v>
      </c>
      <c r="K413" s="1" t="n">
        <v>50</v>
      </c>
      <c r="L413" s="1" t="s">
        <v>502</v>
      </c>
      <c r="M413" s="1" t="s">
        <v>505</v>
      </c>
    </row>
    <row r="414" customFormat="false" ht="15" hidden="false" customHeight="false" outlineLevel="0" collapsed="false">
      <c r="A414" s="1" t="n">
        <v>163</v>
      </c>
      <c r="B414" s="1" t="n">
        <v>4010</v>
      </c>
      <c r="C41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DAEWO S780 3B/8LED/3V</v>
      </c>
      <c r="E41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41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414" s="1" t="n">
        <v>1</v>
      </c>
      <c r="I414" s="1" t="n">
        <f aca="false">(salidas26[[#This Row],[CANT JUEGOS ]]*salidas26[[#This Row],[PRECIO JUEGO]])</f>
        <v>160</v>
      </c>
      <c r="J414" s="1" t="n">
        <f aca="false">(salidas26[[#This Row],[CANT BARRAS]]*salidas26[[#This Row],[PRECIO BARRA]])</f>
        <v>0</v>
      </c>
      <c r="K414" s="1" t="n">
        <v>150</v>
      </c>
      <c r="L414" s="1" t="s">
        <v>631</v>
      </c>
      <c r="M414" s="1" t="s">
        <v>505</v>
      </c>
    </row>
    <row r="415" customFormat="false" ht="15" hidden="false" customHeight="false" outlineLevel="0" collapsed="false">
      <c r="A415" s="1" t="n">
        <v>164</v>
      </c>
      <c r="B415" s="1" t="n">
        <v>6006</v>
      </c>
      <c r="C41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SKYWORTH TOSHIBA /3B</v>
      </c>
      <c r="E41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140</v>
      </c>
      <c r="F41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46.6666666666667</v>
      </c>
      <c r="G415" s="1" t="n">
        <v>1</v>
      </c>
      <c r="I415" s="1" t="n">
        <f aca="false">(salidas26[[#This Row],[CANT JUEGOS ]]*salidas26[[#This Row],[PRECIO JUEGO]])</f>
        <v>140</v>
      </c>
      <c r="J415" s="1" t="n">
        <f aca="false">(salidas26[[#This Row],[CANT BARRAS]]*salidas26[[#This Row],[PRECIO BARRA]])</f>
        <v>0</v>
      </c>
      <c r="K415" s="1" t="n">
        <v>140</v>
      </c>
      <c r="L415" s="1" t="s">
        <v>533</v>
      </c>
      <c r="M415" s="1" t="s">
        <v>511</v>
      </c>
    </row>
    <row r="416" customFormat="false" ht="15" hidden="false" customHeight="false" outlineLevel="0" collapsed="false">
      <c r="A416" s="1" t="n">
        <v>165</v>
      </c>
      <c r="B416" s="1" t="n">
        <v>1102</v>
      </c>
      <c r="C41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50LA6200/12B/3V</v>
      </c>
      <c r="E41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41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23.3333333333333</v>
      </c>
      <c r="G416" s="1" t="n">
        <v>1</v>
      </c>
      <c r="I416" s="1" t="n">
        <f aca="false">(salidas26[[#This Row],[CANT JUEGOS ]]*salidas26[[#This Row],[PRECIO JUEGO]])</f>
        <v>280</v>
      </c>
      <c r="J416" s="1" t="n">
        <f aca="false">(salidas26[[#This Row],[CANT BARRAS]]*salidas26[[#This Row],[PRECIO BARRA]])</f>
        <v>0</v>
      </c>
      <c r="K416" s="1" t="n">
        <v>250</v>
      </c>
      <c r="L416" s="1" t="s">
        <v>533</v>
      </c>
      <c r="M416" s="1" t="s">
        <v>511</v>
      </c>
    </row>
    <row r="417" customFormat="false" ht="15" hidden="false" customHeight="false" outlineLevel="0" collapsed="false">
      <c r="A417" s="1" t="n">
        <v>166</v>
      </c>
      <c r="B417" s="1" t="n">
        <v>8033</v>
      </c>
      <c r="C41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E41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41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417" s="1" t="n">
        <v>1</v>
      </c>
      <c r="I417" s="1" t="n">
        <f aca="false">(salidas26[[#This Row],[CANT JUEGOS ]]*salidas26[[#This Row],[PRECIO JUEGO]])</f>
        <v>150</v>
      </c>
      <c r="J417" s="1" t="n">
        <f aca="false">(salidas26[[#This Row],[CANT BARRAS]]*salidas26[[#This Row],[PRECIO BARRA]])</f>
        <v>0</v>
      </c>
      <c r="K417" s="1" t="n">
        <v>140</v>
      </c>
      <c r="L417" s="1" t="s">
        <v>533</v>
      </c>
      <c r="M417" s="1" t="s">
        <v>503</v>
      </c>
    </row>
    <row r="418" customFormat="false" ht="15" hidden="false" customHeight="false" outlineLevel="0" collapsed="false">
      <c r="A418" s="1" t="n">
        <v>167</v>
      </c>
      <c r="B418" s="1" t="n">
        <v>1036</v>
      </c>
      <c r="C41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42LA6130-42LN5400  10B/3V</v>
      </c>
      <c r="E41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41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18</v>
      </c>
      <c r="G418" s="1" t="n">
        <v>1</v>
      </c>
      <c r="I418" s="1" t="n">
        <f aca="false">(salidas26[[#This Row],[CANT JUEGOS ]]*salidas26[[#This Row],[PRECIO JUEGO]])</f>
        <v>180</v>
      </c>
      <c r="J418" s="1" t="n">
        <f aca="false">(salidas26[[#This Row],[CANT BARRAS]]*salidas26[[#This Row],[PRECIO BARRA]])</f>
        <v>0</v>
      </c>
      <c r="K418" s="1" t="n">
        <v>180</v>
      </c>
      <c r="L418" s="1" t="s">
        <v>631</v>
      </c>
      <c r="M418" s="1" t="s">
        <v>507</v>
      </c>
    </row>
    <row r="419" customFormat="false" ht="15" hidden="false" customHeight="false" outlineLevel="0" collapsed="false">
      <c r="A419" s="1" t="n">
        <v>168</v>
      </c>
      <c r="B419" s="1" t="n">
        <v>8015</v>
      </c>
      <c r="C41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E41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41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19" s="1" t="n">
        <v>1</v>
      </c>
      <c r="I419" s="1" t="n">
        <f aca="false">(salidas26[[#This Row],[CANT JUEGOS ]]*salidas26[[#This Row],[PRECIO JUEGO]])</f>
        <v>60</v>
      </c>
      <c r="J419" s="1" t="n">
        <f aca="false">(salidas26[[#This Row],[CANT BARRAS]]*salidas26[[#This Row],[PRECIO BARRA]])</f>
        <v>0</v>
      </c>
      <c r="K419" s="1" t="n">
        <v>50</v>
      </c>
      <c r="L419" s="1" t="s">
        <v>631</v>
      </c>
      <c r="M419" s="1" t="s">
        <v>579</v>
      </c>
    </row>
    <row r="420" customFormat="false" ht="15" hidden="false" customHeight="false" outlineLevel="0" collapsed="false">
      <c r="A420" s="1" t="n">
        <v>169</v>
      </c>
      <c r="B420" s="1" t="n">
        <v>8123</v>
      </c>
      <c r="C42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3V/2W S/C  DIF. 180º</v>
      </c>
      <c r="E42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42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420" s="1" t="n">
        <v>42</v>
      </c>
      <c r="I420" s="1" t="n">
        <f aca="false">(salidas26[[#This Row],[CANT JUEGOS ]]*salidas26[[#This Row],[PRECIO JUEGO]])</f>
        <v>0</v>
      </c>
      <c r="J420" s="1" t="n">
        <f aca="false">(salidas26[[#This Row],[CANT BARRAS]]*salidas26[[#This Row],[PRECIO BARRA]])</f>
        <v>147</v>
      </c>
      <c r="K420" s="1" t="n">
        <v>150</v>
      </c>
      <c r="L420" s="1" t="s">
        <v>631</v>
      </c>
      <c r="M420" s="1" t="s">
        <v>579</v>
      </c>
    </row>
    <row r="421" customFormat="false" ht="15" hidden="false" customHeight="false" outlineLevel="0" collapsed="false">
      <c r="B421" s="1" t="n">
        <v>8013</v>
      </c>
      <c r="C42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CHANCHONG CD2000 6L/3V/3B</v>
      </c>
      <c r="E42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100</v>
      </c>
      <c r="F42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421" s="1" t="n">
        <v>1</v>
      </c>
      <c r="I421" s="1" t="n">
        <f aca="false">(salidas26[[#This Row],[CANT JUEGOS ]]*salidas26[[#This Row],[PRECIO JUEGO]])</f>
        <v>100</v>
      </c>
      <c r="J421" s="1" t="n">
        <f aca="false">(salidas26[[#This Row],[CANT BARRAS]]*salidas26[[#This Row],[PRECIO BARRA]])</f>
        <v>0</v>
      </c>
      <c r="M421" s="1" t="s">
        <v>541</v>
      </c>
    </row>
    <row r="422" customFormat="false" ht="15" hidden="false" customHeight="false" outlineLevel="0" collapsed="false">
      <c r="A422" s="1" t="n">
        <v>171</v>
      </c>
      <c r="B422" s="1" t="n">
        <v>8013</v>
      </c>
      <c r="C42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CHANCHONG CD2000 6L/3V/3B</v>
      </c>
      <c r="E42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100</v>
      </c>
      <c r="F42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422" s="1" t="n">
        <v>1</v>
      </c>
      <c r="H422" s="1" t="n">
        <v>1</v>
      </c>
      <c r="I422" s="1" t="n">
        <f aca="false">(salidas26[[#This Row],[CANT JUEGOS ]]*salidas26[[#This Row],[PRECIO JUEGO]])</f>
        <v>100</v>
      </c>
      <c r="J422" s="1" t="n">
        <f aca="false">(salidas26[[#This Row],[CANT BARRAS]]*salidas26[[#This Row],[PRECIO BARRA]])</f>
        <v>33.3333333333333</v>
      </c>
      <c r="K422" s="1" t="n">
        <v>120</v>
      </c>
      <c r="L422" s="1" t="s">
        <v>631</v>
      </c>
      <c r="M422" s="1" t="s">
        <v>612</v>
      </c>
    </row>
    <row r="423" customFormat="false" ht="15" hidden="false" customHeight="false" outlineLevel="0" collapsed="false">
      <c r="A423" s="1" t="n">
        <v>172</v>
      </c>
      <c r="B423" s="1" t="n">
        <v>3001</v>
      </c>
      <c r="C42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32B7000 3B/10LED/3V DOBLE CONECTOR</v>
      </c>
      <c r="E42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100</v>
      </c>
      <c r="F42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423" s="1" t="n">
        <v>2</v>
      </c>
      <c r="I423" s="1" t="n">
        <f aca="false">(salidas26[[#This Row],[CANT JUEGOS ]]*salidas26[[#This Row],[PRECIO JUEGO]])</f>
        <v>200</v>
      </c>
      <c r="J423" s="1" t="n">
        <f aca="false">(salidas26[[#This Row],[CANT BARRAS]]*salidas26[[#This Row],[PRECIO BARRA]])</f>
        <v>0</v>
      </c>
      <c r="K423" s="1" t="n">
        <v>160</v>
      </c>
      <c r="L423" s="1" t="s">
        <v>631</v>
      </c>
      <c r="M423" s="1" t="s">
        <v>534</v>
      </c>
    </row>
    <row r="424" customFormat="false" ht="15" hidden="false" customHeight="false" outlineLevel="0" collapsed="false">
      <c r="A424" s="1" t="n">
        <v>173</v>
      </c>
      <c r="B424" s="1" t="n">
        <v>6022</v>
      </c>
      <c r="C42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SKYWORTH SUC9350Pro /10L</v>
      </c>
      <c r="E42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42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70</v>
      </c>
      <c r="G424" s="1" t="n">
        <v>1</v>
      </c>
      <c r="I424" s="1" t="n">
        <f aca="false">(salidas26[[#This Row],[CANT JUEGOS ]]*salidas26[[#This Row],[PRECIO JUEGO]])</f>
        <v>350</v>
      </c>
      <c r="J424" s="1" t="n">
        <f aca="false">(salidas26[[#This Row],[CANT BARRAS]]*salidas26[[#This Row],[PRECIO BARRA]])</f>
        <v>0</v>
      </c>
      <c r="K424" s="1" t="n">
        <v>280</v>
      </c>
      <c r="L424" s="1" t="s">
        <v>631</v>
      </c>
      <c r="M424" s="1" t="s">
        <v>534</v>
      </c>
    </row>
    <row r="425" customFormat="false" ht="15" hidden="false" customHeight="false" outlineLevel="0" collapsed="false">
      <c r="A425" s="1" t="n">
        <v>174</v>
      </c>
      <c r="B425" s="1" t="n">
        <v>7002</v>
      </c>
      <c r="C42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F1000 KONKA 6L/LED3250HDD/CRONW TV3277D IRT</v>
      </c>
      <c r="E42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42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425" s="1" t="n">
        <v>1</v>
      </c>
      <c r="I425" s="1" t="n">
        <f aca="false">(salidas26[[#This Row],[CANT JUEGOS ]]*salidas26[[#This Row],[PRECIO JUEGO]])</f>
        <v>70</v>
      </c>
      <c r="J425" s="1" t="n">
        <f aca="false">(salidas26[[#This Row],[CANT BARRAS]]*salidas26[[#This Row],[PRECIO BARRA]])</f>
        <v>0</v>
      </c>
      <c r="K425" s="1" t="n">
        <v>54</v>
      </c>
      <c r="L425" s="1" t="s">
        <v>631</v>
      </c>
      <c r="M425" s="1" t="s">
        <v>534</v>
      </c>
    </row>
    <row r="426" customFormat="false" ht="15" hidden="false" customHeight="false" outlineLevel="0" collapsed="false">
      <c r="A426" s="1" t="n">
        <v>175</v>
      </c>
      <c r="B426" s="1" t="n">
        <v>2045</v>
      </c>
      <c r="C42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UN49KU6500-UN49MU6500/2B</v>
      </c>
      <c r="E42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42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200</v>
      </c>
      <c r="G426" s="1" t="n">
        <v>1</v>
      </c>
      <c r="I426" s="1" t="n">
        <f aca="false">(salidas26[[#This Row],[CANT JUEGOS ]]*salidas26[[#This Row],[PRECIO JUEGO]])</f>
        <v>400</v>
      </c>
      <c r="J426" s="1" t="n">
        <f aca="false">(salidas26[[#This Row],[CANT BARRAS]]*salidas26[[#This Row],[PRECIO BARRA]])</f>
        <v>0</v>
      </c>
      <c r="K426" s="1" t="n">
        <v>350</v>
      </c>
      <c r="L426" s="1" t="s">
        <v>533</v>
      </c>
      <c r="M426" s="1" t="s">
        <v>526</v>
      </c>
    </row>
    <row r="427" customFormat="false" ht="15" hidden="false" customHeight="false" outlineLevel="0" collapsed="false">
      <c r="A427" s="1" t="n">
        <v>176</v>
      </c>
      <c r="B427" s="1" t="n">
        <v>8015</v>
      </c>
      <c r="C42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E42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42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27" s="1" t="n">
        <v>1</v>
      </c>
      <c r="I427" s="1" t="n">
        <f aca="false">(salidas26[[#This Row],[CANT JUEGOS ]]*salidas26[[#This Row],[PRECIO JUEGO]])</f>
        <v>60</v>
      </c>
      <c r="J427" s="1" t="n">
        <f aca="false">(salidas26[[#This Row],[CANT BARRAS]]*salidas26[[#This Row],[PRECIO BARRA]])</f>
        <v>0</v>
      </c>
      <c r="K427" s="1" t="n">
        <v>60</v>
      </c>
      <c r="L427" s="1" t="s">
        <v>533</v>
      </c>
      <c r="M427" s="1" t="s">
        <v>513</v>
      </c>
    </row>
    <row r="428" customFormat="false" ht="15" hidden="false" customHeight="false" outlineLevel="0" collapsed="false">
      <c r="A428" s="1" t="n">
        <v>177</v>
      </c>
      <c r="B428" s="1" t="n">
        <v>6000</v>
      </c>
      <c r="C42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SKYWORTH 2B/6LED/3V </v>
      </c>
      <c r="E42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42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28" s="1" t="n">
        <v>1</v>
      </c>
      <c r="I428" s="1" t="n">
        <f aca="false">(salidas26[[#This Row],[CANT JUEGOS ]]*salidas26[[#This Row],[PRECIO JUEGO]])</f>
        <v>60</v>
      </c>
      <c r="J428" s="1" t="n">
        <f aca="false">(salidas26[[#This Row],[CANT BARRAS]]*salidas26[[#This Row],[PRECIO BARRA]])</f>
        <v>0</v>
      </c>
      <c r="K428" s="1" t="n">
        <v>60</v>
      </c>
      <c r="L428" s="1" t="s">
        <v>533</v>
      </c>
      <c r="M428" s="1" t="s">
        <v>519</v>
      </c>
    </row>
    <row r="429" customFormat="false" ht="15" hidden="false" customHeight="false" outlineLevel="0" collapsed="false">
      <c r="A429" s="1" t="n">
        <v>178</v>
      </c>
      <c r="B429" s="1" t="n">
        <v>8033</v>
      </c>
      <c r="C42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E42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42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429" s="1" t="n">
        <v>1</v>
      </c>
      <c r="I429" s="1" t="n">
        <f aca="false">(salidas26[[#This Row],[CANT JUEGOS ]]*salidas26[[#This Row],[PRECIO JUEGO]])</f>
        <v>150</v>
      </c>
      <c r="J429" s="1" t="n">
        <f aca="false">(salidas26[[#This Row],[CANT BARRAS]]*salidas26[[#This Row],[PRECIO BARRA]])</f>
        <v>0</v>
      </c>
      <c r="K429" s="1" t="n">
        <v>140</v>
      </c>
      <c r="L429" s="1" t="s">
        <v>533</v>
      </c>
      <c r="M429" s="1" t="s">
        <v>519</v>
      </c>
    </row>
    <row r="430" customFormat="false" ht="15" hidden="false" customHeight="false" outlineLevel="0" collapsed="false">
      <c r="A430" s="1" t="n">
        <v>179</v>
      </c>
      <c r="B430" s="1" t="n">
        <v>1033</v>
      </c>
      <c r="C43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E43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43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430" s="1" t="n">
        <v>1</v>
      </c>
      <c r="I430" s="1" t="n">
        <f aca="false">(salidas26[[#This Row],[CANT JUEGOS ]]*salidas26[[#This Row],[PRECIO JUEGO]])</f>
        <v>180</v>
      </c>
      <c r="J430" s="1" t="n">
        <f aca="false">(salidas26[[#This Row],[CANT BARRAS]]*salidas26[[#This Row],[PRECIO BARRA]])</f>
        <v>0</v>
      </c>
      <c r="K430" s="1" t="n">
        <v>170</v>
      </c>
      <c r="L430" s="1" t="s">
        <v>631</v>
      </c>
      <c r="M430" s="1" t="s">
        <v>612</v>
      </c>
    </row>
    <row r="431" customFormat="false" ht="15" hidden="false" customHeight="false" outlineLevel="0" collapsed="false">
      <c r="A431" s="1" t="n">
        <v>180</v>
      </c>
      <c r="B431" s="1" t="n">
        <v>7000</v>
      </c>
      <c r="C43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IRT/6L/2B/6V</v>
      </c>
      <c r="E43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43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31" s="1" t="n">
        <v>1</v>
      </c>
      <c r="I431" s="1" t="n">
        <f aca="false">(salidas26[[#This Row],[CANT JUEGOS ]]*salidas26[[#This Row],[PRECIO JUEGO]])</f>
        <v>60</v>
      </c>
      <c r="J431" s="1" t="n">
        <f aca="false">(salidas26[[#This Row],[CANT BARRAS]]*salidas26[[#This Row],[PRECIO BARRA]])</f>
        <v>0</v>
      </c>
      <c r="K431" s="1" t="n">
        <v>66</v>
      </c>
      <c r="L431" s="1" t="s">
        <v>631</v>
      </c>
      <c r="M431" s="1" t="s">
        <v>634</v>
      </c>
    </row>
    <row r="432" customFormat="false" ht="15" hidden="false" customHeight="false" outlineLevel="0" collapsed="false">
      <c r="A432" s="1" t="n">
        <v>181</v>
      </c>
      <c r="B432" s="1" t="n">
        <v>8095</v>
      </c>
      <c r="C43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 PREMIER 5L/3V 10B</v>
      </c>
      <c r="E43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43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32" s="1" t="n">
        <v>1</v>
      </c>
      <c r="I432" s="1" t="n">
        <f aca="false">(salidas26[[#This Row],[CANT JUEGOS ]]*salidas26[[#This Row],[PRECIO JUEGO]])</f>
        <v>300</v>
      </c>
      <c r="J432" s="1" t="n">
        <f aca="false">(salidas26[[#This Row],[CANT BARRAS]]*salidas26[[#This Row],[PRECIO BARRA]])</f>
        <v>0</v>
      </c>
      <c r="K432" s="1" t="n">
        <v>300</v>
      </c>
      <c r="L432" s="1" t="s">
        <v>631</v>
      </c>
      <c r="M432" s="1" t="s">
        <v>635</v>
      </c>
    </row>
    <row r="433" customFormat="false" ht="15" hidden="false" customHeight="false" outlineLevel="0" collapsed="false">
      <c r="A433" s="1" t="n">
        <v>182</v>
      </c>
      <c r="B433" s="1" t="n">
        <v>2095</v>
      </c>
      <c r="C43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UN60AU8000G-60BU8000/2B</v>
      </c>
      <c r="E43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43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125</v>
      </c>
      <c r="G433" s="1" t="n">
        <v>1</v>
      </c>
      <c r="I433" s="1" t="n">
        <f aca="false">(salidas26[[#This Row],[CANT JUEGOS ]]*salidas26[[#This Row],[PRECIO JUEGO]])</f>
        <v>250</v>
      </c>
      <c r="J433" s="1" t="n">
        <f aca="false">(salidas26[[#This Row],[CANT BARRAS]]*salidas26[[#This Row],[PRECIO BARRA]])</f>
        <v>0</v>
      </c>
      <c r="K433" s="1" t="n">
        <v>250</v>
      </c>
      <c r="L433" s="1" t="s">
        <v>533</v>
      </c>
      <c r="M433" s="1" t="s">
        <v>506</v>
      </c>
    </row>
    <row r="434" customFormat="false" ht="15" hidden="false" customHeight="false" outlineLevel="0" collapsed="false">
      <c r="A434" s="1" t="n">
        <v>183</v>
      </c>
      <c r="B434" s="1" t="n">
        <v>8015</v>
      </c>
      <c r="C43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E43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43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34" s="1" t="n">
        <v>1</v>
      </c>
      <c r="I434" s="1" t="n">
        <f aca="false">(salidas26[[#This Row],[CANT JUEGOS ]]*salidas26[[#This Row],[PRECIO JUEGO]])</f>
        <v>60</v>
      </c>
      <c r="J434" s="1" t="n">
        <f aca="false">(salidas26[[#This Row],[CANT BARRAS]]*salidas26[[#This Row],[PRECIO BARRA]])</f>
        <v>0</v>
      </c>
      <c r="K434" s="1" t="n">
        <v>60</v>
      </c>
      <c r="L434" s="1" t="s">
        <v>631</v>
      </c>
      <c r="M434" s="1" t="s">
        <v>587</v>
      </c>
    </row>
    <row r="435" customFormat="false" ht="15" hidden="false" customHeight="false" outlineLevel="0" collapsed="false">
      <c r="A435" s="1" t="n">
        <v>184</v>
      </c>
      <c r="B435" s="1" t="n">
        <v>1000</v>
      </c>
      <c r="C43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LA -3B/3V/7-7L</v>
      </c>
      <c r="E43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43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435" s="1" t="n">
        <v>1</v>
      </c>
      <c r="I435" s="1" t="n">
        <f aca="false">(salidas26[[#This Row],[CANT JUEGOS ]]*salidas26[[#This Row],[PRECIO JUEGO]])</f>
        <v>80</v>
      </c>
      <c r="J435" s="1" t="n">
        <f aca="false">(salidas26[[#This Row],[CANT BARRAS]]*salidas26[[#This Row],[PRECIO BARRA]])</f>
        <v>0</v>
      </c>
      <c r="K435" s="1" t="n">
        <v>70</v>
      </c>
      <c r="L435" s="1" t="s">
        <v>533</v>
      </c>
      <c r="M435" s="1" t="s">
        <v>636</v>
      </c>
    </row>
    <row r="436" customFormat="false" ht="15" hidden="false" customHeight="false" outlineLevel="0" collapsed="false">
      <c r="A436" s="1" t="n">
        <v>184</v>
      </c>
      <c r="B436" s="1" t="n">
        <v>1003</v>
      </c>
      <c r="C43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LA -3B/3V/7-8-7L</v>
      </c>
      <c r="E43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43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436" s="1" t="n">
        <v>1</v>
      </c>
      <c r="I436" s="1" t="n">
        <f aca="false">(salidas26[[#This Row],[CANT JUEGOS ]]*salidas26[[#This Row],[PRECIO JUEGO]])</f>
        <v>80</v>
      </c>
      <c r="J436" s="1" t="n">
        <f aca="false">(salidas26[[#This Row],[CANT BARRAS]]*salidas26[[#This Row],[PRECIO BARRA]])</f>
        <v>0</v>
      </c>
      <c r="K436" s="1" t="n">
        <v>70</v>
      </c>
      <c r="L436" s="1" t="s">
        <v>533</v>
      </c>
      <c r="M436" s="1" t="s">
        <v>636</v>
      </c>
    </row>
    <row r="437" customFormat="false" ht="15" hidden="false" customHeight="false" outlineLevel="0" collapsed="false">
      <c r="A437" s="1" t="n">
        <v>184</v>
      </c>
      <c r="B437" s="1" t="n">
        <v>1006</v>
      </c>
      <c r="C43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LA -3B/3V/8-8-8</v>
      </c>
      <c r="E43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43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437" s="1" t="n">
        <v>1</v>
      </c>
      <c r="I437" s="1" t="n">
        <f aca="false">(salidas26[[#This Row],[CANT JUEGOS ]]*salidas26[[#This Row],[PRECIO JUEGO]])</f>
        <v>80</v>
      </c>
      <c r="J437" s="1" t="n">
        <f aca="false">(salidas26[[#This Row],[CANT BARRAS]]*salidas26[[#This Row],[PRECIO BARRA]])</f>
        <v>0</v>
      </c>
      <c r="K437" s="1" t="n">
        <v>70</v>
      </c>
      <c r="L437" s="1" t="s">
        <v>533</v>
      </c>
      <c r="M437" s="1" t="s">
        <v>636</v>
      </c>
    </row>
    <row r="438" customFormat="false" ht="15" hidden="false" customHeight="false" outlineLevel="0" collapsed="false">
      <c r="A438" s="1" t="n">
        <v>185</v>
      </c>
      <c r="B438" s="1" t="n">
        <v>4003</v>
      </c>
      <c r="C43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DAEWOO 8L/3V - 3B</v>
      </c>
      <c r="E43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43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38" s="1" t="n">
        <v>1</v>
      </c>
      <c r="I438" s="1" t="n">
        <f aca="false">(salidas26[[#This Row],[CANT JUEGOS ]]*salidas26[[#This Row],[PRECIO JUEGO]])</f>
        <v>90</v>
      </c>
      <c r="J438" s="1" t="n">
        <f aca="false">(salidas26[[#This Row],[CANT BARRAS]]*salidas26[[#This Row],[PRECIO BARRA]])</f>
        <v>0</v>
      </c>
      <c r="K438" s="1" t="n">
        <v>70</v>
      </c>
      <c r="L438" s="1" t="s">
        <v>533</v>
      </c>
      <c r="M438" s="1" t="s">
        <v>636</v>
      </c>
    </row>
    <row r="439" customFormat="false" ht="15" hidden="false" customHeight="false" outlineLevel="0" collapsed="false">
      <c r="A439" s="1" t="n">
        <v>186</v>
      </c>
      <c r="B439" s="1" t="n">
        <v>1033</v>
      </c>
      <c r="C43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E43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43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439" s="1" t="n">
        <v>1</v>
      </c>
      <c r="I439" s="1" t="n">
        <f aca="false">(salidas26[[#This Row],[CANT JUEGOS ]]*salidas26[[#This Row],[PRECIO JUEGO]])</f>
        <v>180</v>
      </c>
      <c r="J439" s="1" t="n">
        <f aca="false">(salidas26[[#This Row],[CANT BARRAS]]*salidas26[[#This Row],[PRECIO BARRA]])</f>
        <v>0</v>
      </c>
      <c r="K439" s="1" t="n">
        <v>160</v>
      </c>
      <c r="L439" s="1" t="s">
        <v>533</v>
      </c>
      <c r="M439" s="1" t="s">
        <v>636</v>
      </c>
    </row>
    <row r="440" customFormat="false" ht="15" hidden="false" customHeight="false" outlineLevel="0" collapsed="false">
      <c r="A440" s="1" t="n">
        <v>187</v>
      </c>
      <c r="B440" s="1" t="n">
        <v>8069</v>
      </c>
      <c r="C44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10L/6V/4B -50 WESTPOINT TEJ -EN SERIE</v>
      </c>
      <c r="E44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44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440" s="1" t="n">
        <v>1</v>
      </c>
      <c r="I440" s="1" t="n">
        <f aca="false">(salidas26[[#This Row],[CANT JUEGOS ]]*salidas26[[#This Row],[PRECIO JUEGO]])</f>
        <v>220</v>
      </c>
      <c r="J440" s="1" t="n">
        <f aca="false">(salidas26[[#This Row],[CANT BARRAS]]*salidas26[[#This Row],[PRECIO BARRA]])</f>
        <v>0</v>
      </c>
      <c r="K440" s="1" t="n">
        <v>200</v>
      </c>
      <c r="L440" s="1" t="s">
        <v>631</v>
      </c>
      <c r="M440" s="1" t="s">
        <v>513</v>
      </c>
    </row>
    <row r="441" customFormat="false" ht="15" hidden="false" customHeight="false" outlineLevel="0" collapsed="false">
      <c r="A441" s="1" t="n">
        <v>188</v>
      </c>
      <c r="B441" s="1" t="n">
        <v>8033</v>
      </c>
      <c r="C44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E44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44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441" s="1" t="n">
        <v>1</v>
      </c>
      <c r="I441" s="1" t="n">
        <f aca="false">(salidas26[[#This Row],[CANT JUEGOS ]]*salidas26[[#This Row],[PRECIO JUEGO]])</f>
        <v>150</v>
      </c>
      <c r="J441" s="1" t="n">
        <f aca="false">(salidas26[[#This Row],[CANT BARRAS]]*salidas26[[#This Row],[PRECIO BARRA]])</f>
        <v>0</v>
      </c>
      <c r="K441" s="1" t="n">
        <v>140</v>
      </c>
      <c r="L441" s="1" t="s">
        <v>533</v>
      </c>
      <c r="M441" s="1" t="s">
        <v>503</v>
      </c>
    </row>
    <row r="442" customFormat="false" ht="15" hidden="false" customHeight="false" outlineLevel="0" collapsed="false">
      <c r="A442" s="1" t="n">
        <v>189</v>
      </c>
      <c r="B442" s="1" t="n">
        <v>7003</v>
      </c>
      <c r="C44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IRT 8L/6V/3B</v>
      </c>
      <c r="E44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44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442" s="1" t="n">
        <v>1</v>
      </c>
      <c r="I442" s="1" t="n">
        <f aca="false">(salidas26[[#This Row],[CANT JUEGOS ]]*salidas26[[#This Row],[PRECIO JUEGO]])</f>
        <v>150</v>
      </c>
      <c r="J442" s="1" t="n">
        <f aca="false">(salidas26[[#This Row],[CANT BARRAS]]*salidas26[[#This Row],[PRECIO BARRA]])</f>
        <v>0</v>
      </c>
      <c r="K442" s="1" t="n">
        <v>150</v>
      </c>
      <c r="L442" s="1" t="s">
        <v>533</v>
      </c>
      <c r="M442" s="1" t="s">
        <v>637</v>
      </c>
    </row>
    <row r="443" s="1" customFormat="true" ht="15" hidden="false" customHeight="false" outlineLevel="0" collapsed="false">
      <c r="A443" s="1" t="n">
        <v>190</v>
      </c>
      <c r="B443" s="1" t="n">
        <v>4010</v>
      </c>
      <c r="C44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DAEWO S780 3B/8LED/3V</v>
      </c>
      <c r="E44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44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443" s="1" t="n">
        <v>1</v>
      </c>
      <c r="I443" s="1" t="n">
        <f aca="false">(salidas26[[#This Row],[CANT JUEGOS ]]*salidas26[[#This Row],[PRECIO JUEGO]])</f>
        <v>160</v>
      </c>
      <c r="J443" s="1" t="n">
        <f aca="false">(salidas26[[#This Row],[CANT BARRAS]]*salidas26[[#This Row],[PRECIO BARRA]])</f>
        <v>0</v>
      </c>
      <c r="K443" s="1" t="n">
        <v>144</v>
      </c>
      <c r="L443" s="1" t="s">
        <v>533</v>
      </c>
      <c r="M443" s="1" t="s">
        <v>546</v>
      </c>
    </row>
    <row r="444" s="1" customFormat="true" ht="15" hidden="false" customHeight="false" outlineLevel="0" collapsed="false">
      <c r="A444" s="1" t="n">
        <v>191</v>
      </c>
      <c r="B444" s="1" t="n">
        <v>1138</v>
      </c>
      <c r="C44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55UJ6300-55LJ5500/10B</v>
      </c>
      <c r="E44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44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28</v>
      </c>
      <c r="G444" s="1" t="n">
        <v>1</v>
      </c>
      <c r="I444" s="1" t="n">
        <f aca="false">(salidas26[[#This Row],[CANT JUEGOS ]]*salidas26[[#This Row],[PRECIO JUEGO]])</f>
        <v>280</v>
      </c>
      <c r="J444" s="1" t="n">
        <f aca="false">(salidas26[[#This Row],[CANT BARRAS]]*salidas26[[#This Row],[PRECIO BARRA]])</f>
        <v>0</v>
      </c>
      <c r="K444" s="1" t="n">
        <v>342</v>
      </c>
      <c r="L444" s="1" t="s">
        <v>533</v>
      </c>
      <c r="M444" s="1" t="s">
        <v>546</v>
      </c>
    </row>
    <row r="445" customFormat="false" ht="15" hidden="false" customHeight="false" outlineLevel="0" collapsed="false">
      <c r="A445" s="1" t="n">
        <v>192</v>
      </c>
      <c r="B445" s="1" t="n">
        <v>8021</v>
      </c>
      <c r="C44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JVC RECTO /2B</v>
      </c>
      <c r="E44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44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45" s="1" t="n">
        <v>1</v>
      </c>
      <c r="I445" s="1" t="n">
        <f aca="false">(salidas26[[#This Row],[CANT JUEGOS ]]*salidas26[[#This Row],[PRECIO JUEGO]])</f>
        <v>60</v>
      </c>
      <c r="J445" s="1" t="n">
        <f aca="false">(salidas26[[#This Row],[CANT BARRAS]]*salidas26[[#This Row],[PRECIO BARRA]])</f>
        <v>0</v>
      </c>
      <c r="K445" s="1" t="n">
        <v>48</v>
      </c>
      <c r="L445" s="1" t="s">
        <v>631</v>
      </c>
      <c r="M445" s="1" t="s">
        <v>534</v>
      </c>
    </row>
    <row r="446" customFormat="false" ht="15" hidden="false" customHeight="false" outlineLevel="0" collapsed="false">
      <c r="A446" s="1" t="n">
        <v>193</v>
      </c>
      <c r="B446" s="1" t="n">
        <v>1144</v>
      </c>
      <c r="C44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60 UJ6300/ 10B</v>
      </c>
      <c r="E44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44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446" s="1" t="n">
        <v>1</v>
      </c>
      <c r="I446" s="1" t="n">
        <f aca="false">(salidas26[[#This Row],[CANT JUEGOS ]]*salidas26[[#This Row],[PRECIO JUEGO]])</f>
        <v>400</v>
      </c>
      <c r="J446" s="1" t="n">
        <f aca="false">(salidas26[[#This Row],[CANT BARRAS]]*salidas26[[#This Row],[PRECIO BARRA]])</f>
        <v>0</v>
      </c>
      <c r="K446" s="1" t="n">
        <v>320</v>
      </c>
      <c r="L446" s="1" t="s">
        <v>631</v>
      </c>
      <c r="M446" s="1" t="s">
        <v>534</v>
      </c>
    </row>
    <row r="447" customFormat="false" ht="15" hidden="false" customHeight="false" outlineLevel="0" collapsed="false">
      <c r="A447" s="1" t="n">
        <v>194</v>
      </c>
      <c r="B447" s="1" t="n">
        <v>7000</v>
      </c>
      <c r="C44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IRT/6L/2B/6V</v>
      </c>
      <c r="E44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44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47" s="1" t="n">
        <v>1</v>
      </c>
      <c r="I447" s="1" t="n">
        <f aca="false">(salidas26[[#This Row],[CANT JUEGOS ]]*salidas26[[#This Row],[PRECIO JUEGO]])</f>
        <v>60</v>
      </c>
      <c r="J447" s="1" t="n">
        <f aca="false">(salidas26[[#This Row],[CANT BARRAS]]*salidas26[[#This Row],[PRECIO BARRA]])</f>
        <v>0</v>
      </c>
      <c r="K447" s="1" t="n">
        <v>48</v>
      </c>
      <c r="L447" s="1" t="s">
        <v>631</v>
      </c>
      <c r="M447" s="1" t="s">
        <v>534</v>
      </c>
    </row>
    <row r="448" customFormat="false" ht="15" hidden="false" customHeight="false" outlineLevel="0" collapsed="false">
      <c r="A448" s="1" t="n">
        <v>195</v>
      </c>
      <c r="B448" s="1" t="n">
        <v>4011</v>
      </c>
      <c r="C44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DAEWO L43V780BTS 3B/7LED/3V</v>
      </c>
      <c r="E44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44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448" s="1" t="n">
        <v>1</v>
      </c>
      <c r="H448" s="1" t="n">
        <v>1</v>
      </c>
      <c r="I448" s="1" t="n">
        <f aca="false">(salidas26[[#This Row],[CANT JUEGOS ]]*salidas26[[#This Row],[PRECIO JUEGO]])</f>
        <v>160</v>
      </c>
      <c r="J448" s="1" t="n">
        <f aca="false">(salidas26[[#This Row],[CANT BARRAS]]*salidas26[[#This Row],[PRECIO BARRA]])</f>
        <v>53.3333333333333</v>
      </c>
      <c r="K448" s="1" t="n">
        <v>200</v>
      </c>
      <c r="L448" s="1" t="s">
        <v>631</v>
      </c>
      <c r="M448" s="1" t="s">
        <v>625</v>
      </c>
    </row>
    <row r="449" customFormat="false" ht="15" hidden="false" customHeight="false" outlineLevel="0" collapsed="false">
      <c r="A449" s="1" t="n">
        <v>198</v>
      </c>
      <c r="B449" s="1" t="n">
        <v>8055</v>
      </c>
      <c r="C44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PREMIER 8L/3V/3B 8047SF43SF</v>
      </c>
      <c r="E44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44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449" s="1" t="n">
        <v>1</v>
      </c>
      <c r="I449" s="1" t="n">
        <f aca="false">(salidas26[[#This Row],[CANT JUEGOS ]]*salidas26[[#This Row],[PRECIO JUEGO]])</f>
        <v>180</v>
      </c>
      <c r="J449" s="1" t="n">
        <f aca="false">(salidas26[[#This Row],[CANT BARRAS]]*salidas26[[#This Row],[PRECIO BARRA]])</f>
        <v>0</v>
      </c>
      <c r="K449" s="1" t="n">
        <v>180</v>
      </c>
      <c r="L449" s="1" t="s">
        <v>533</v>
      </c>
      <c r="M449" s="1" t="s">
        <v>511</v>
      </c>
    </row>
    <row r="450" customFormat="false" ht="15" hidden="false" customHeight="false" outlineLevel="0" collapsed="false">
      <c r="A450" s="1" t="n">
        <v>199</v>
      </c>
      <c r="B450" s="1" t="n">
        <v>2042</v>
      </c>
      <c r="C45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UN48J5000AG/8B</v>
      </c>
      <c r="E45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45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32.5</v>
      </c>
      <c r="G450" s="1" t="n">
        <v>1</v>
      </c>
      <c r="I450" s="1" t="n">
        <f aca="false">(salidas26[[#This Row],[CANT JUEGOS ]]*salidas26[[#This Row],[PRECIO JUEGO]])</f>
        <v>260</v>
      </c>
      <c r="J450" s="1" t="n">
        <f aca="false">(salidas26[[#This Row],[CANT BARRAS]]*salidas26[[#This Row],[PRECIO BARRA]])</f>
        <v>0</v>
      </c>
      <c r="K450" s="1" t="n">
        <v>250</v>
      </c>
      <c r="L450" s="1" t="s">
        <v>631</v>
      </c>
      <c r="M450" s="1" t="s">
        <v>625</v>
      </c>
    </row>
    <row r="451" customFormat="false" ht="15" hidden="false" customHeight="false" outlineLevel="0" collapsed="false">
      <c r="B451" s="1" t="n">
        <v>2095</v>
      </c>
      <c r="C45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UN60AU8000G-60BU8000/2B</v>
      </c>
      <c r="E45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45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125</v>
      </c>
      <c r="G451" s="1" t="n">
        <v>1</v>
      </c>
      <c r="I451" s="1" t="n">
        <f aca="false">(salidas26[[#This Row],[CANT JUEGOS ]]*salidas26[[#This Row],[PRECIO JUEGO]])</f>
        <v>250</v>
      </c>
      <c r="J451" s="1" t="n">
        <f aca="false">(salidas26[[#This Row],[CANT BARRAS]]*salidas26[[#This Row],[PRECIO BARRA]])</f>
        <v>0</v>
      </c>
      <c r="M451" s="1" t="s">
        <v>541</v>
      </c>
    </row>
    <row r="452" customFormat="false" ht="15" hidden="false" customHeight="false" outlineLevel="0" collapsed="false">
      <c r="A452" s="1" t="n">
        <v>200</v>
      </c>
      <c r="B452" s="1" t="n">
        <v>2095</v>
      </c>
      <c r="C45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UN60AU8000G-60BU8000/2B</v>
      </c>
      <c r="E45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45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125</v>
      </c>
      <c r="H452" s="1" t="n">
        <v>1</v>
      </c>
      <c r="I452" s="1" t="n">
        <f aca="false">(salidas26[[#This Row],[CANT JUEGOS ]]*salidas26[[#This Row],[PRECIO JUEGO]])</f>
        <v>0</v>
      </c>
      <c r="J452" s="1" t="n">
        <f aca="false">(salidas26[[#This Row],[CANT BARRAS]]*salidas26[[#This Row],[PRECIO BARRA]])</f>
        <v>125</v>
      </c>
      <c r="M452" s="1" t="s">
        <v>638</v>
      </c>
    </row>
    <row r="453" customFormat="false" ht="15" hidden="false" customHeight="false" outlineLevel="0" collapsed="false">
      <c r="A453" s="1" t="n">
        <v>201</v>
      </c>
      <c r="B453" s="1" t="n">
        <v>7000</v>
      </c>
      <c r="C45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IRT/6L/2B/6V</v>
      </c>
      <c r="E45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45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53" s="1" t="n">
        <v>1</v>
      </c>
      <c r="H453" s="1" t="n">
        <v>1</v>
      </c>
      <c r="I453" s="1" t="n">
        <f aca="false">(salidas26[[#This Row],[CANT JUEGOS ]]*salidas26[[#This Row],[PRECIO JUEGO]])</f>
        <v>60</v>
      </c>
      <c r="J453" s="1" t="n">
        <f aca="false">(salidas26[[#This Row],[CANT BARRAS]]*salidas26[[#This Row],[PRECIO BARRA]])</f>
        <v>30</v>
      </c>
      <c r="K453" s="1" t="n">
        <v>90</v>
      </c>
      <c r="L453" s="1" t="s">
        <v>502</v>
      </c>
      <c r="M453" s="1" t="s">
        <v>639</v>
      </c>
    </row>
    <row r="454" customFormat="false" ht="15" hidden="false" customHeight="false" outlineLevel="0" collapsed="false">
      <c r="A454" s="1" t="n">
        <v>202</v>
      </c>
      <c r="B454" s="1" t="n">
        <v>8021</v>
      </c>
      <c r="C45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JVC RECTO /2B</v>
      </c>
      <c r="E45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45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54" s="1" t="n">
        <v>1</v>
      </c>
      <c r="I454" s="1" t="n">
        <f aca="false">(salidas26[[#This Row],[CANT JUEGOS ]]*salidas26[[#This Row],[PRECIO JUEGO]])</f>
        <v>60</v>
      </c>
      <c r="J454" s="1" t="n">
        <f aca="false">(salidas26[[#This Row],[CANT BARRAS]]*salidas26[[#This Row],[PRECIO BARRA]])</f>
        <v>0</v>
      </c>
      <c r="K454" s="1" t="n">
        <v>50</v>
      </c>
      <c r="L454" s="1" t="s">
        <v>502</v>
      </c>
      <c r="M454" s="1" t="s">
        <v>639</v>
      </c>
    </row>
    <row r="455" customFormat="false" ht="15" hidden="false" customHeight="false" outlineLevel="0" collapsed="false">
      <c r="A455" s="1" t="n">
        <v>204</v>
      </c>
      <c r="B455" s="1" t="n">
        <v>1003</v>
      </c>
      <c r="C45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LA -3B/3V/7-8-7L</v>
      </c>
      <c r="E45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45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455" s="1" t="n">
        <v>1</v>
      </c>
      <c r="I455" s="1" t="n">
        <f aca="false">(salidas26[[#This Row],[CANT JUEGOS ]]*salidas26[[#This Row],[PRECIO JUEGO]])</f>
        <v>80</v>
      </c>
      <c r="J455" s="1" t="n">
        <f aca="false">(salidas26[[#This Row],[CANT BARRAS]]*salidas26[[#This Row],[PRECIO BARRA]])</f>
        <v>0</v>
      </c>
      <c r="K455" s="1" t="n">
        <v>90</v>
      </c>
      <c r="L455" s="1" t="s">
        <v>502</v>
      </c>
      <c r="M455" s="1" t="s">
        <v>560</v>
      </c>
    </row>
    <row r="456" customFormat="false" ht="15" hidden="false" customHeight="false" outlineLevel="0" collapsed="false">
      <c r="A456" s="1" t="n">
        <v>205</v>
      </c>
      <c r="B456" s="1" t="n">
        <v>8033</v>
      </c>
      <c r="C45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E45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45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456" s="1" t="n">
        <v>1</v>
      </c>
      <c r="I456" s="1" t="n">
        <f aca="false">(salidas26[[#This Row],[CANT JUEGOS ]]*salidas26[[#This Row],[PRECIO JUEGO]])</f>
        <v>150</v>
      </c>
      <c r="J456" s="1" t="n">
        <f aca="false">(salidas26[[#This Row],[CANT BARRAS]]*salidas26[[#This Row],[PRECIO BARRA]])</f>
        <v>0</v>
      </c>
      <c r="K456" s="1" t="n">
        <v>140</v>
      </c>
      <c r="L456" s="1" t="s">
        <v>502</v>
      </c>
      <c r="M456" s="1" t="s">
        <v>560</v>
      </c>
    </row>
    <row r="457" customFormat="false" ht="15" hidden="false" customHeight="false" outlineLevel="0" collapsed="false">
      <c r="A457" s="1" t="n">
        <v>206</v>
      </c>
      <c r="B457" s="1" t="n">
        <v>1033</v>
      </c>
      <c r="C45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E45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45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457" s="1" t="n">
        <v>1</v>
      </c>
      <c r="I457" s="1" t="n">
        <f aca="false">(salidas26[[#This Row],[CANT JUEGOS ]]*salidas26[[#This Row],[PRECIO JUEGO]])</f>
        <v>180</v>
      </c>
      <c r="J457" s="1" t="n">
        <f aca="false">(salidas26[[#This Row],[CANT BARRAS]]*salidas26[[#This Row],[PRECIO BARRA]])</f>
        <v>0</v>
      </c>
      <c r="K457" s="1" t="n">
        <v>200</v>
      </c>
      <c r="L457" s="1" t="s">
        <v>502</v>
      </c>
      <c r="M457" s="1" t="s">
        <v>505</v>
      </c>
    </row>
    <row r="458" customFormat="false" ht="15" hidden="false" customHeight="false" outlineLevel="0" collapsed="false">
      <c r="A458" s="1" t="n">
        <v>207</v>
      </c>
      <c r="B458" s="1" t="n">
        <v>3033</v>
      </c>
      <c r="C45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55B8000 14B/2B DE 8L Y 12B DE 7L</v>
      </c>
      <c r="E45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320</v>
      </c>
      <c r="F45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22.8571428571429</v>
      </c>
      <c r="G458" s="1" t="n">
        <v>2</v>
      </c>
      <c r="I458" s="1" t="n">
        <f aca="false">(salidas26[[#This Row],[CANT JUEGOS ]]*salidas26[[#This Row],[PRECIO JUEGO]])</f>
        <v>640</v>
      </c>
      <c r="J458" s="1" t="n">
        <f aca="false">(salidas26[[#This Row],[CANT BARRAS]]*salidas26[[#This Row],[PRECIO BARRA]])</f>
        <v>0</v>
      </c>
      <c r="K458" s="1" t="n">
        <v>512</v>
      </c>
      <c r="L458" s="1" t="s">
        <v>502</v>
      </c>
      <c r="M458" s="1" t="s">
        <v>534</v>
      </c>
    </row>
    <row r="459" customFormat="false" ht="15" hidden="false" customHeight="false" outlineLevel="0" collapsed="false">
      <c r="A459" s="1" t="n">
        <v>208</v>
      </c>
      <c r="B459" s="1" t="n">
        <v>8073</v>
      </c>
      <c r="C45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DISMAC 4B/9L TV-6747SF50SFW (PREMIER)</v>
      </c>
      <c r="E45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45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459" s="1" t="n">
        <v>1</v>
      </c>
      <c r="I459" s="1" t="n">
        <f aca="false">(salidas26[[#This Row],[CANT JUEGOS ]]*salidas26[[#This Row],[PRECIO JUEGO]])</f>
        <v>220</v>
      </c>
      <c r="J459" s="1" t="n">
        <f aca="false">(salidas26[[#This Row],[CANT BARRAS]]*salidas26[[#This Row],[PRECIO BARRA]])</f>
        <v>0</v>
      </c>
      <c r="K459" s="1" t="n">
        <v>220</v>
      </c>
      <c r="L459" s="1" t="s">
        <v>533</v>
      </c>
      <c r="M459" s="1" t="s">
        <v>506</v>
      </c>
    </row>
    <row r="460" customFormat="false" ht="15" hidden="false" customHeight="false" outlineLevel="0" collapsed="false">
      <c r="A460" s="1" t="n">
        <v>209</v>
      </c>
      <c r="B460" s="1" t="n">
        <v>6010</v>
      </c>
      <c r="C46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48 HISENSE /1B</v>
      </c>
      <c r="E46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46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180</v>
      </c>
      <c r="G460" s="1" t="n">
        <v>1</v>
      </c>
      <c r="I460" s="1" t="n">
        <f aca="false">(salidas26[[#This Row],[CANT JUEGOS ]]*salidas26[[#This Row],[PRECIO JUEGO]])</f>
        <v>180</v>
      </c>
      <c r="J460" s="1" t="n">
        <f aca="false">(salidas26[[#This Row],[CANT BARRAS]]*salidas26[[#This Row],[PRECIO BARRA]])</f>
        <v>0</v>
      </c>
      <c r="K460" s="1" t="n">
        <v>180</v>
      </c>
      <c r="L460" s="1" t="s">
        <v>533</v>
      </c>
      <c r="M460" s="1" t="s">
        <v>640</v>
      </c>
    </row>
    <row r="461" customFormat="false" ht="15" hidden="false" customHeight="false" outlineLevel="0" collapsed="false">
      <c r="A461" s="1" t="n">
        <v>210</v>
      </c>
      <c r="B461" s="1" t="n">
        <v>8124</v>
      </c>
      <c r="C46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LUPA NORMAL 3V/2W S/C </v>
      </c>
      <c r="E46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46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461" s="1" t="n">
        <v>66</v>
      </c>
      <c r="I461" s="1" t="n">
        <f aca="false">(salidas26[[#This Row],[CANT JUEGOS ]]*salidas26[[#This Row],[PRECIO JUEGO]])</f>
        <v>0</v>
      </c>
      <c r="J461" s="1" t="n">
        <f aca="false">(salidas26[[#This Row],[CANT BARRAS]]*salidas26[[#This Row],[PRECIO BARRA]])</f>
        <v>231</v>
      </c>
      <c r="K461" s="1" t="n">
        <v>220</v>
      </c>
      <c r="L461" s="1" t="s">
        <v>502</v>
      </c>
      <c r="M461" s="1" t="s">
        <v>641</v>
      </c>
    </row>
    <row r="462" customFormat="false" ht="15" hidden="false" customHeight="false" outlineLevel="0" collapsed="false">
      <c r="A462" s="1" t="n">
        <v>211</v>
      </c>
      <c r="B462" s="1" t="n">
        <v>1015</v>
      </c>
      <c r="C46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32LH500B-32LK500 3B/7L/3V</v>
      </c>
      <c r="E46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46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462" s="1" t="n">
        <v>1</v>
      </c>
      <c r="H462" s="1" t="n">
        <v>2</v>
      </c>
      <c r="I462" s="1" t="n">
        <f aca="false">(salidas26[[#This Row],[CANT JUEGOS ]]*salidas26[[#This Row],[PRECIO JUEGO]])</f>
        <v>80</v>
      </c>
      <c r="J462" s="1" t="n">
        <f aca="false">(salidas26[[#This Row],[CANT BARRAS]]*salidas26[[#This Row],[PRECIO BARRA]])</f>
        <v>53.3333333333333</v>
      </c>
      <c r="K462" s="1" t="n">
        <v>60</v>
      </c>
      <c r="L462" s="1" t="s">
        <v>502</v>
      </c>
      <c r="M462" s="1" t="s">
        <v>518</v>
      </c>
    </row>
    <row r="463" customFormat="false" ht="15" hidden="false" customHeight="false" outlineLevel="0" collapsed="false">
      <c r="A463" s="1" t="n">
        <v>212</v>
      </c>
      <c r="B463" s="1" t="n">
        <v>8033</v>
      </c>
      <c r="C46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E46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46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463" s="1" t="n">
        <v>1</v>
      </c>
      <c r="I463" s="1" t="n">
        <f aca="false">(salidas26[[#This Row],[CANT JUEGOS ]]*salidas26[[#This Row],[PRECIO JUEGO]])</f>
        <v>150</v>
      </c>
      <c r="J463" s="1" t="n">
        <f aca="false">(salidas26[[#This Row],[CANT BARRAS]]*salidas26[[#This Row],[PRECIO BARRA]])</f>
        <v>0</v>
      </c>
      <c r="K463" s="1" t="n">
        <v>140</v>
      </c>
      <c r="L463" s="1" t="s">
        <v>502</v>
      </c>
      <c r="M463" s="1" t="s">
        <v>503</v>
      </c>
    </row>
    <row r="464" customFormat="false" ht="15" hidden="false" customHeight="false" outlineLevel="0" collapsed="false">
      <c r="A464" s="1" t="n">
        <v>213</v>
      </c>
      <c r="B464" s="1" t="n">
        <v>3012</v>
      </c>
      <c r="C46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48M600 10B/6-7LEDS Y 4 -8LEDS/3V </v>
      </c>
      <c r="E46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46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</v>
      </c>
      <c r="G464" s="1" t="n">
        <v>1</v>
      </c>
      <c r="I464" s="1" t="n">
        <f aca="false">(salidas26[[#This Row],[CANT JUEGOS ]]*salidas26[[#This Row],[PRECIO JUEGO]])</f>
        <v>260</v>
      </c>
      <c r="J464" s="1" t="n">
        <f aca="false">(salidas26[[#This Row],[CANT BARRAS]]*salidas26[[#This Row],[PRECIO BARRA]])</f>
        <v>0</v>
      </c>
      <c r="K464" s="1" t="n">
        <v>240</v>
      </c>
      <c r="L464" s="1" t="s">
        <v>502</v>
      </c>
      <c r="M464" s="1" t="s">
        <v>642</v>
      </c>
    </row>
    <row r="465" customFormat="false" ht="15" hidden="false" customHeight="false" outlineLevel="0" collapsed="false">
      <c r="A465" s="1" t="n">
        <v>214</v>
      </c>
      <c r="B465" s="1" t="n">
        <v>8055</v>
      </c>
      <c r="C46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PREMIER 8L/3V/3B 8047SF43SF</v>
      </c>
      <c r="E46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46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465" s="1" t="n">
        <v>1</v>
      </c>
      <c r="I465" s="1" t="n">
        <f aca="false">(salidas26[[#This Row],[CANT JUEGOS ]]*salidas26[[#This Row],[PRECIO JUEGO]])</f>
        <v>180</v>
      </c>
      <c r="J465" s="1" t="n">
        <f aca="false">(salidas26[[#This Row],[CANT BARRAS]]*salidas26[[#This Row],[PRECIO BARRA]])</f>
        <v>0</v>
      </c>
      <c r="K465" s="1" t="n">
        <v>190</v>
      </c>
      <c r="L465" s="1" t="s">
        <v>502</v>
      </c>
      <c r="M465" s="1" t="s">
        <v>643</v>
      </c>
    </row>
    <row r="466" customFormat="false" ht="15" hidden="false" customHeight="false" outlineLevel="0" collapsed="false">
      <c r="A466" s="1" t="n">
        <v>215</v>
      </c>
      <c r="B466" s="1" t="n">
        <v>2012</v>
      </c>
      <c r="C46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UN40J5000 -40J5200-40M5000 8L/3B</v>
      </c>
      <c r="E46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46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466" s="1" t="n">
        <v>1</v>
      </c>
      <c r="I466" s="1" t="n">
        <f aca="false">(salidas26[[#This Row],[CANT JUEGOS ]]*salidas26[[#This Row],[PRECIO JUEGO]])</f>
        <v>160</v>
      </c>
      <c r="J466" s="1" t="n">
        <f aca="false">(salidas26[[#This Row],[CANT BARRAS]]*salidas26[[#This Row],[PRECIO BARRA]])</f>
        <v>0</v>
      </c>
      <c r="K466" s="1" t="n">
        <v>150</v>
      </c>
      <c r="L466" s="1" t="s">
        <v>502</v>
      </c>
      <c r="M466" s="1" t="s">
        <v>511</v>
      </c>
    </row>
    <row r="467" customFormat="false" ht="15" hidden="false" customHeight="false" outlineLevel="0" collapsed="false">
      <c r="A467" s="1" t="n">
        <v>216</v>
      </c>
      <c r="B467" s="1" t="n">
        <v>8030</v>
      </c>
      <c r="C46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CHINO TCL 10L/6V/2B DIF 180º</v>
      </c>
      <c r="E46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46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467" s="1" t="n">
        <v>1</v>
      </c>
      <c r="I467" s="1" t="n">
        <f aca="false">(salidas26[[#This Row],[CANT JUEGOS ]]*salidas26[[#This Row],[PRECIO JUEGO]])</f>
        <v>150</v>
      </c>
      <c r="J467" s="1" t="n">
        <f aca="false">(salidas26[[#This Row],[CANT BARRAS]]*salidas26[[#This Row],[PRECIO BARRA]])</f>
        <v>0</v>
      </c>
      <c r="K467" s="1" t="n">
        <v>140</v>
      </c>
      <c r="L467" s="1" t="s">
        <v>533</v>
      </c>
      <c r="M467" s="1" t="s">
        <v>503</v>
      </c>
    </row>
    <row r="468" customFormat="false" ht="15" hidden="false" customHeight="false" outlineLevel="0" collapsed="false">
      <c r="A468" s="1" t="n">
        <v>217</v>
      </c>
      <c r="B468" s="1" t="n">
        <v>8033</v>
      </c>
      <c r="C46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E46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46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468" s="1" t="n">
        <v>1</v>
      </c>
      <c r="I468" s="1" t="n">
        <f aca="false">(salidas26[[#This Row],[CANT JUEGOS ]]*salidas26[[#This Row],[PRECIO JUEGO]])</f>
        <v>150</v>
      </c>
      <c r="J468" s="1" t="n">
        <f aca="false">(salidas26[[#This Row],[CANT BARRAS]]*salidas26[[#This Row],[PRECIO BARRA]])</f>
        <v>0</v>
      </c>
      <c r="K468" s="1" t="n">
        <v>140</v>
      </c>
      <c r="L468" s="1" t="s">
        <v>502</v>
      </c>
      <c r="M468" s="1" t="s">
        <v>564</v>
      </c>
    </row>
    <row r="469" customFormat="false" ht="15" hidden="false" customHeight="false" outlineLevel="0" collapsed="false">
      <c r="A469" s="1" t="n">
        <v>218</v>
      </c>
      <c r="B469" s="1" t="n">
        <v>1033</v>
      </c>
      <c r="C46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E46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46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469" s="1" t="n">
        <v>1</v>
      </c>
      <c r="I469" s="1" t="n">
        <f aca="false">(salidas26[[#This Row],[CANT JUEGOS ]]*salidas26[[#This Row],[PRECIO JUEGO]])</f>
        <v>180</v>
      </c>
      <c r="J469" s="1" t="n">
        <f aca="false">(salidas26[[#This Row],[CANT BARRAS]]*salidas26[[#This Row],[PRECIO BARRA]])</f>
        <v>0</v>
      </c>
      <c r="K469" s="1" t="n">
        <v>180</v>
      </c>
      <c r="L469" s="1" t="s">
        <v>502</v>
      </c>
      <c r="M469" s="1" t="s">
        <v>579</v>
      </c>
    </row>
    <row r="470" customFormat="false" ht="15" hidden="false" customHeight="false" outlineLevel="0" collapsed="false">
      <c r="A470" s="1" t="n">
        <v>219</v>
      </c>
      <c r="B470" s="1" t="n">
        <v>2012</v>
      </c>
      <c r="C47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UN40J5000 -40J5200-40M5000 8L/3B</v>
      </c>
      <c r="E47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47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470" s="1" t="n">
        <v>1</v>
      </c>
      <c r="I470" s="1" t="n">
        <f aca="false">(salidas26[[#This Row],[CANT JUEGOS ]]*salidas26[[#This Row],[PRECIO JUEGO]])</f>
        <v>160</v>
      </c>
      <c r="J470" s="1" t="n">
        <f aca="false">(salidas26[[#This Row],[CANT BARRAS]]*salidas26[[#This Row],[PRECIO BARRA]])</f>
        <v>0</v>
      </c>
      <c r="K470" s="1" t="n">
        <v>150</v>
      </c>
      <c r="L470" s="1" t="s">
        <v>502</v>
      </c>
      <c r="M470" s="1" t="s">
        <v>644</v>
      </c>
    </row>
    <row r="471" customFormat="false" ht="15" hidden="false" customHeight="false" outlineLevel="0" collapsed="false">
      <c r="A471" s="1" t="n">
        <v>220</v>
      </c>
      <c r="B471" s="1" t="n">
        <v>2099</v>
      </c>
      <c r="C47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UN65NU7100/2B</v>
      </c>
      <c r="E47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47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130</v>
      </c>
      <c r="G471" s="1" t="n">
        <v>1</v>
      </c>
      <c r="I471" s="1" t="n">
        <f aca="false">(salidas26[[#This Row],[CANT JUEGOS ]]*salidas26[[#This Row],[PRECIO JUEGO]])</f>
        <v>260</v>
      </c>
      <c r="J471" s="1" t="n">
        <f aca="false">(salidas26[[#This Row],[CANT BARRAS]]*salidas26[[#This Row],[PRECIO BARRA]])</f>
        <v>0</v>
      </c>
      <c r="K471" s="1" t="n">
        <v>250</v>
      </c>
      <c r="L471" s="1" t="s">
        <v>533</v>
      </c>
      <c r="M471" s="1" t="s">
        <v>563</v>
      </c>
    </row>
    <row r="472" customFormat="false" ht="15" hidden="false" customHeight="false" outlineLevel="0" collapsed="false">
      <c r="A472" s="1" t="n">
        <v>221</v>
      </c>
      <c r="B472" s="1" t="n">
        <v>2105</v>
      </c>
      <c r="C47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UN85AU8000G  4B EGDE</v>
      </c>
      <c r="E47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600</v>
      </c>
      <c r="F47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150</v>
      </c>
      <c r="G472" s="1" t="n">
        <v>1</v>
      </c>
      <c r="I472" s="1" t="n">
        <f aca="false">(salidas26[[#This Row],[CANT JUEGOS ]]*salidas26[[#This Row],[PRECIO JUEGO]])</f>
        <v>600</v>
      </c>
      <c r="J472" s="1" t="n">
        <f aca="false">(salidas26[[#This Row],[CANT BARRAS]]*salidas26[[#This Row],[PRECIO BARRA]])</f>
        <v>0</v>
      </c>
      <c r="K472" s="1" t="n">
        <v>500</v>
      </c>
      <c r="L472" s="1" t="s">
        <v>533</v>
      </c>
      <c r="M472" s="1" t="s">
        <v>645</v>
      </c>
    </row>
    <row r="473" customFormat="false" ht="15" hidden="false" customHeight="false" outlineLevel="0" collapsed="false">
      <c r="A473" s="1" t="n">
        <v>222</v>
      </c>
      <c r="B473" s="1" t="n">
        <v>2075</v>
      </c>
      <c r="C47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UN55NU7100-UN55RU7100/2B EDGE</v>
      </c>
      <c r="E47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47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100</v>
      </c>
      <c r="G473" s="1" t="n">
        <v>1</v>
      </c>
      <c r="I473" s="1" t="n">
        <f aca="false">(salidas26[[#This Row],[CANT JUEGOS ]]*salidas26[[#This Row],[PRECIO JUEGO]])</f>
        <v>200</v>
      </c>
      <c r="J473" s="1" t="n">
        <f aca="false">(salidas26[[#This Row],[CANT BARRAS]]*salidas26[[#This Row],[PRECIO BARRA]])</f>
        <v>0</v>
      </c>
      <c r="K473" s="1" t="n">
        <v>180</v>
      </c>
      <c r="L473" s="1" t="s">
        <v>533</v>
      </c>
      <c r="M473" s="1" t="s">
        <v>646</v>
      </c>
    </row>
    <row r="474" customFormat="false" ht="15" hidden="false" customHeight="false" outlineLevel="0" collapsed="false">
      <c r="A474" s="1" t="n">
        <v>224</v>
      </c>
      <c r="B474" s="1" t="n">
        <v>1036</v>
      </c>
      <c r="C47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42LA6130-42LN5400  10B/3V</v>
      </c>
      <c r="E47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47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18</v>
      </c>
      <c r="G474" s="1" t="n">
        <v>1</v>
      </c>
      <c r="I474" s="1" t="n">
        <f aca="false">(salidas26[[#This Row],[CANT JUEGOS ]]*salidas26[[#This Row],[PRECIO JUEGO]])</f>
        <v>180</v>
      </c>
      <c r="J474" s="1" t="n">
        <f aca="false">(salidas26[[#This Row],[CANT BARRAS]]*salidas26[[#This Row],[PRECIO BARRA]])</f>
        <v>0</v>
      </c>
      <c r="K474" s="1" t="n">
        <v>170</v>
      </c>
      <c r="L474" s="1" t="s">
        <v>533</v>
      </c>
      <c r="M474" s="1" t="s">
        <v>647</v>
      </c>
    </row>
    <row r="475" customFormat="false" ht="15" hidden="false" customHeight="false" outlineLevel="0" collapsed="false">
      <c r="A475" s="1" t="n">
        <v>225</v>
      </c>
      <c r="B475" s="1" t="n">
        <v>7000</v>
      </c>
      <c r="C47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IRT/6L/2B/6V</v>
      </c>
      <c r="E47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47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75" s="1" t="n">
        <v>1</v>
      </c>
      <c r="I475" s="1" t="n">
        <f aca="false">(salidas26[[#This Row],[CANT JUEGOS ]]*salidas26[[#This Row],[PRECIO JUEGO]])</f>
        <v>60</v>
      </c>
      <c r="J475" s="1" t="n">
        <f aca="false">(salidas26[[#This Row],[CANT BARRAS]]*salidas26[[#This Row],[PRECIO BARRA]])</f>
        <v>0</v>
      </c>
      <c r="K475" s="1" t="n">
        <v>60</v>
      </c>
      <c r="L475" s="1" t="s">
        <v>533</v>
      </c>
      <c r="M475" s="1" t="s">
        <v>510</v>
      </c>
    </row>
    <row r="476" customFormat="false" ht="15" hidden="false" customHeight="false" outlineLevel="0" collapsed="false">
      <c r="A476" s="1" t="n">
        <v>226</v>
      </c>
      <c r="B476" s="1" t="n">
        <v>4021</v>
      </c>
      <c r="C47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DAEWOO LS50U1   8B/4L/3v</v>
      </c>
      <c r="E47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47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25</v>
      </c>
      <c r="G476" s="1" t="n">
        <v>2</v>
      </c>
      <c r="H476" s="1" t="n">
        <v>9</v>
      </c>
      <c r="I476" s="1" t="n">
        <f aca="false">(salidas26[[#This Row],[CANT JUEGOS ]]*salidas26[[#This Row],[PRECIO JUEGO]])</f>
        <v>400</v>
      </c>
      <c r="J476" s="1" t="n">
        <f aca="false">(salidas26[[#This Row],[CANT BARRAS]]*salidas26[[#This Row],[PRECIO BARRA]])</f>
        <v>225</v>
      </c>
      <c r="K476" s="1" t="n">
        <v>200</v>
      </c>
      <c r="L476" s="1" t="s">
        <v>533</v>
      </c>
      <c r="M476" s="1" t="s">
        <v>503</v>
      </c>
    </row>
    <row r="477" customFormat="false" ht="15" hidden="false" customHeight="false" outlineLevel="0" collapsed="false">
      <c r="A477" s="1" t="n">
        <v>227</v>
      </c>
      <c r="B477" s="1" t="n">
        <v>8055</v>
      </c>
      <c r="C47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PREMIER 8L/3V/3B 8047SF43SF</v>
      </c>
      <c r="E47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47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477" s="1" t="n">
        <v>1</v>
      </c>
      <c r="I477" s="1" t="n">
        <f aca="false">(salidas26[[#This Row],[CANT JUEGOS ]]*salidas26[[#This Row],[PRECIO JUEGO]])</f>
        <v>180</v>
      </c>
      <c r="J477" s="1" t="n">
        <f aca="false">(salidas26[[#This Row],[CANT BARRAS]]*salidas26[[#This Row],[PRECIO BARRA]])</f>
        <v>0</v>
      </c>
      <c r="K477" s="1" t="n">
        <v>160</v>
      </c>
      <c r="L477" s="1" t="s">
        <v>533</v>
      </c>
      <c r="M477" s="1" t="s">
        <v>648</v>
      </c>
    </row>
    <row r="478" customFormat="false" ht="15" hidden="false" customHeight="false" outlineLevel="0" collapsed="false">
      <c r="A478" s="1" t="n">
        <v>228</v>
      </c>
      <c r="B478" s="1" t="n">
        <v>8033</v>
      </c>
      <c r="C47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E47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47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478" s="1" t="n">
        <v>1</v>
      </c>
      <c r="I478" s="1" t="n">
        <f aca="false">(salidas26[[#This Row],[CANT JUEGOS ]]*salidas26[[#This Row],[PRECIO JUEGO]])</f>
        <v>150</v>
      </c>
      <c r="J478" s="1" t="n">
        <f aca="false">(salidas26[[#This Row],[CANT BARRAS]]*salidas26[[#This Row],[PRECIO BARRA]])</f>
        <v>0</v>
      </c>
      <c r="K478" s="1" t="n">
        <v>135</v>
      </c>
      <c r="L478" s="1" t="s">
        <v>533</v>
      </c>
      <c r="M478" s="1" t="s">
        <v>546</v>
      </c>
    </row>
    <row r="479" customFormat="false" ht="15" hidden="false" customHeight="false" outlineLevel="0" collapsed="false">
      <c r="A479" s="1" t="n">
        <v>229</v>
      </c>
      <c r="B479" s="1" t="n">
        <v>6006</v>
      </c>
      <c r="C47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SKYWORTH TOSHIBA /3B</v>
      </c>
      <c r="E47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140</v>
      </c>
      <c r="F47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46.6666666666667</v>
      </c>
      <c r="G479" s="1" t="n">
        <v>1</v>
      </c>
      <c r="I479" s="1" t="n">
        <f aca="false">(salidas26[[#This Row],[CANT JUEGOS ]]*salidas26[[#This Row],[PRECIO JUEGO]])</f>
        <v>140</v>
      </c>
      <c r="J479" s="1" t="n">
        <f aca="false">(salidas26[[#This Row],[CANT BARRAS]]*salidas26[[#This Row],[PRECIO BARRA]])</f>
        <v>0</v>
      </c>
      <c r="K479" s="1" t="n">
        <v>140</v>
      </c>
      <c r="L479" s="1" t="s">
        <v>502</v>
      </c>
      <c r="M479" s="1" t="s">
        <v>518</v>
      </c>
    </row>
    <row r="480" customFormat="false" ht="15" hidden="false" customHeight="false" outlineLevel="0" collapsed="false">
      <c r="A480" s="1" t="n">
        <v>230</v>
      </c>
      <c r="B480" s="1" t="n">
        <v>2064</v>
      </c>
      <c r="C48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UN50AU7000G/6B</v>
      </c>
      <c r="E48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48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41.6666666666667</v>
      </c>
      <c r="G480" s="1" t="n">
        <v>1</v>
      </c>
      <c r="I480" s="1" t="n">
        <f aca="false">(salidas26[[#This Row],[CANT JUEGOS ]]*salidas26[[#This Row],[PRECIO JUEGO]])</f>
        <v>250</v>
      </c>
      <c r="J480" s="1" t="n">
        <f aca="false">(salidas26[[#This Row],[CANT BARRAS]]*salidas26[[#This Row],[PRECIO BARRA]])</f>
        <v>0</v>
      </c>
      <c r="K480" s="1" t="n">
        <v>220</v>
      </c>
      <c r="L480" s="1" t="s">
        <v>533</v>
      </c>
      <c r="M480" s="1" t="s">
        <v>649</v>
      </c>
    </row>
    <row r="481" customFormat="false" ht="15" hidden="false" customHeight="false" outlineLevel="0" collapsed="false">
      <c r="A481" s="1" t="n">
        <v>231</v>
      </c>
      <c r="B481" s="1" t="n">
        <v>1000</v>
      </c>
      <c r="C48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LA -3B/3V/7-7L</v>
      </c>
      <c r="E48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48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481" s="1" t="n">
        <v>1</v>
      </c>
      <c r="I481" s="1" t="n">
        <f aca="false">(salidas26[[#This Row],[CANT JUEGOS ]]*salidas26[[#This Row],[PRECIO JUEGO]])</f>
        <v>80</v>
      </c>
      <c r="J481" s="1" t="n">
        <f aca="false">(salidas26[[#This Row],[CANT BARRAS]]*salidas26[[#This Row],[PRECIO BARRA]])</f>
        <v>0</v>
      </c>
      <c r="K481" s="1" t="n">
        <v>90</v>
      </c>
      <c r="L481" s="1" t="s">
        <v>533</v>
      </c>
      <c r="M481" s="1" t="s">
        <v>650</v>
      </c>
    </row>
    <row r="482" customFormat="false" ht="15" hidden="false" customHeight="false" outlineLevel="0" collapsed="false">
      <c r="A482" s="1" t="n">
        <v>232</v>
      </c>
      <c r="B482" s="1" t="n">
        <v>2075</v>
      </c>
      <c r="C48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UN55NU7100-UN55RU7100/2B EDGE</v>
      </c>
      <c r="E48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48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100</v>
      </c>
      <c r="G482" s="1" t="n">
        <v>1</v>
      </c>
      <c r="I482" s="1" t="n">
        <f aca="false">(salidas26[[#This Row],[CANT JUEGOS ]]*salidas26[[#This Row],[PRECIO JUEGO]])</f>
        <v>200</v>
      </c>
      <c r="J482" s="1" t="n">
        <f aca="false">(salidas26[[#This Row],[CANT BARRAS]]*salidas26[[#This Row],[PRECIO BARRA]])</f>
        <v>0</v>
      </c>
      <c r="M482" s="1" t="s">
        <v>651</v>
      </c>
    </row>
    <row r="483" customFormat="false" ht="15" hidden="false" customHeight="false" outlineLevel="0" collapsed="false">
      <c r="A483" s="1" t="n">
        <v>233</v>
      </c>
      <c r="B483" s="1" t="n">
        <v>8033</v>
      </c>
      <c r="C48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E48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48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483" s="1" t="n">
        <v>1</v>
      </c>
      <c r="I483" s="1" t="n">
        <f aca="false">(salidas26[[#This Row],[CANT JUEGOS ]]*salidas26[[#This Row],[PRECIO JUEGO]])</f>
        <v>150</v>
      </c>
      <c r="J483" s="1" t="n">
        <f aca="false">(salidas26[[#This Row],[CANT BARRAS]]*salidas26[[#This Row],[PRECIO BARRA]])</f>
        <v>0</v>
      </c>
      <c r="K483" s="1" t="n">
        <v>140</v>
      </c>
      <c r="L483" s="1" t="s">
        <v>502</v>
      </c>
      <c r="M483" s="1" t="s">
        <v>560</v>
      </c>
    </row>
    <row r="484" customFormat="false" ht="15" hidden="false" customHeight="false" outlineLevel="0" collapsed="false">
      <c r="A484" s="1" t="n">
        <v>234</v>
      </c>
      <c r="B484" s="1" t="n">
        <v>6000</v>
      </c>
      <c r="C48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SKYWORTH 2B/6LED/3V </v>
      </c>
      <c r="E48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48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84" s="1" t="n">
        <v>1</v>
      </c>
      <c r="I484" s="1" t="n">
        <f aca="false">(salidas26[[#This Row],[CANT JUEGOS ]]*salidas26[[#This Row],[PRECIO JUEGO]])</f>
        <v>60</v>
      </c>
      <c r="J484" s="1" t="n">
        <f aca="false">(salidas26[[#This Row],[CANT BARRAS]]*salidas26[[#This Row],[PRECIO BARRA]])</f>
        <v>0</v>
      </c>
      <c r="K484" s="1" t="n">
        <v>60</v>
      </c>
      <c r="L484" s="1" t="s">
        <v>502</v>
      </c>
      <c r="M484" s="1" t="s">
        <v>560</v>
      </c>
    </row>
    <row r="485" customFormat="false" ht="15" hidden="false" customHeight="false" outlineLevel="0" collapsed="false">
      <c r="A485" s="1" t="n">
        <v>235</v>
      </c>
      <c r="B485" s="1" t="n">
        <v>6009</v>
      </c>
      <c r="C48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L4700 TOSHIBA/6B (180 Bs) -43UJ-6200/LG/8B (200 BS)</v>
      </c>
      <c r="E48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48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H485" s="1" t="n">
        <v>6</v>
      </c>
      <c r="I485" s="1" t="n">
        <f aca="false">(salidas26[[#This Row],[CANT JUEGOS ]]*salidas26[[#This Row],[PRECIO JUEGO]])</f>
        <v>0</v>
      </c>
      <c r="J485" s="1" t="n">
        <f aca="false">(salidas26[[#This Row],[CANT BARRAS]]*salidas26[[#This Row],[PRECIO BARRA]])</f>
        <v>135</v>
      </c>
      <c r="K485" s="1" t="n">
        <v>180</v>
      </c>
      <c r="L485" s="1" t="s">
        <v>502</v>
      </c>
      <c r="M485" s="1" t="s">
        <v>560</v>
      </c>
    </row>
    <row r="486" customFormat="false" ht="15" hidden="false" customHeight="false" outlineLevel="0" collapsed="false">
      <c r="A486" s="1" t="n">
        <v>236</v>
      </c>
      <c r="B486" s="1" t="n">
        <v>8015</v>
      </c>
      <c r="C48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E48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48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86" s="1" t="n">
        <v>1</v>
      </c>
      <c r="I486" s="1" t="n">
        <f aca="false">(salidas26[[#This Row],[CANT JUEGOS ]]*salidas26[[#This Row],[PRECIO JUEGO]])</f>
        <v>60</v>
      </c>
      <c r="J486" s="1" t="n">
        <f aca="false">(salidas26[[#This Row],[CANT BARRAS]]*salidas26[[#This Row],[PRECIO BARRA]])</f>
        <v>0</v>
      </c>
      <c r="K486" s="1" t="n">
        <v>60</v>
      </c>
      <c r="L486" s="1" t="s">
        <v>502</v>
      </c>
      <c r="M486" s="1" t="s">
        <v>564</v>
      </c>
    </row>
    <row r="487" customFormat="false" ht="15" hidden="false" customHeight="false" outlineLevel="0" collapsed="false">
      <c r="A487" s="1" t="n">
        <v>237</v>
      </c>
      <c r="B487" s="1" t="n">
        <v>1012</v>
      </c>
      <c r="C48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32LB620B-32LF620B -3B/6V/6L</v>
      </c>
      <c r="E48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48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87" s="1" t="n">
        <v>1</v>
      </c>
      <c r="I487" s="1" t="n">
        <f aca="false">(salidas26[[#This Row],[CANT JUEGOS ]]*salidas26[[#This Row],[PRECIO JUEGO]])</f>
        <v>90</v>
      </c>
      <c r="J487" s="1" t="n">
        <f aca="false">(salidas26[[#This Row],[CANT BARRAS]]*salidas26[[#This Row],[PRECIO BARRA]])</f>
        <v>0</v>
      </c>
      <c r="K487" s="1" t="n">
        <v>90</v>
      </c>
      <c r="L487" s="1" t="s">
        <v>502</v>
      </c>
      <c r="M487" s="1" t="s">
        <v>518</v>
      </c>
    </row>
    <row r="488" customFormat="false" ht="15" hidden="false" customHeight="false" outlineLevel="0" collapsed="false">
      <c r="A488" s="1" t="n">
        <v>238</v>
      </c>
      <c r="B488" s="1" t="n">
        <v>8068</v>
      </c>
      <c r="C48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3V/10L/4B</v>
      </c>
      <c r="E48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48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488" s="1" t="n">
        <v>1</v>
      </c>
      <c r="I488" s="1" t="n">
        <f aca="false">(salidas26[[#This Row],[CANT JUEGOS ]]*salidas26[[#This Row],[PRECIO JUEGO]])</f>
        <v>220</v>
      </c>
      <c r="J488" s="1" t="n">
        <f aca="false">(salidas26[[#This Row],[CANT BARRAS]]*salidas26[[#This Row],[PRECIO BARRA]])</f>
        <v>0</v>
      </c>
      <c r="K488" s="1" t="n">
        <v>176</v>
      </c>
      <c r="L488" s="1" t="s">
        <v>533</v>
      </c>
      <c r="M488" s="1" t="s">
        <v>508</v>
      </c>
    </row>
    <row r="489" customFormat="false" ht="15" hidden="false" customHeight="false" outlineLevel="0" collapsed="false">
      <c r="A489" s="1" t="n">
        <v>239</v>
      </c>
      <c r="B489" s="1" t="n">
        <v>1012</v>
      </c>
      <c r="C48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32LB620B-32LF620B -3B/6V/6L</v>
      </c>
      <c r="E48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48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89" s="1" t="n">
        <v>1</v>
      </c>
      <c r="I489" s="1" t="n">
        <f aca="false">(salidas26[[#This Row],[CANT JUEGOS ]]*salidas26[[#This Row],[PRECIO JUEGO]])</f>
        <v>90</v>
      </c>
      <c r="J489" s="1" t="n">
        <f aca="false">(salidas26[[#This Row],[CANT BARRAS]]*salidas26[[#This Row],[PRECIO BARRA]])</f>
        <v>0</v>
      </c>
      <c r="K489" s="1" t="n">
        <v>90</v>
      </c>
      <c r="L489" s="1" t="s">
        <v>502</v>
      </c>
      <c r="M489" s="1" t="s">
        <v>518</v>
      </c>
    </row>
    <row r="490" customFormat="false" ht="15" hidden="false" customHeight="false" outlineLevel="0" collapsed="false">
      <c r="A490" s="1" t="n">
        <v>240</v>
      </c>
      <c r="B490" s="1" t="n">
        <v>8130</v>
      </c>
      <c r="C49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LUPA NORMAL 6V/2W S/C</v>
      </c>
      <c r="E49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49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490" s="1" t="n">
        <v>8</v>
      </c>
      <c r="I490" s="1" t="n">
        <f aca="false">(salidas26[[#This Row],[CANT JUEGOS ]]*salidas26[[#This Row],[PRECIO JUEGO]])</f>
        <v>0</v>
      </c>
      <c r="J490" s="1" t="n">
        <f aca="false">(salidas26[[#This Row],[CANT BARRAS]]*salidas26[[#This Row],[PRECIO BARRA]])</f>
        <v>28</v>
      </c>
      <c r="K490" s="1" t="n">
        <v>28</v>
      </c>
      <c r="L490" s="1" t="s">
        <v>502</v>
      </c>
      <c r="M490" s="1" t="s">
        <v>518</v>
      </c>
    </row>
    <row r="491" customFormat="false" ht="15" hidden="false" customHeight="false" outlineLevel="0" collapsed="false">
      <c r="A491" s="1" t="n">
        <v>241</v>
      </c>
      <c r="B491" s="1" t="n">
        <v>8033</v>
      </c>
      <c r="C49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E49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49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491" s="1" t="n">
        <v>1</v>
      </c>
      <c r="I491" s="1" t="n">
        <f aca="false">(salidas26[[#This Row],[CANT JUEGOS ]]*salidas26[[#This Row],[PRECIO JUEGO]])</f>
        <v>150</v>
      </c>
      <c r="J491" s="1" t="n">
        <f aca="false">(salidas26[[#This Row],[CANT BARRAS]]*salidas26[[#This Row],[PRECIO BARRA]])</f>
        <v>0</v>
      </c>
      <c r="K491" s="1" t="n">
        <v>140</v>
      </c>
      <c r="L491" s="1" t="s">
        <v>533</v>
      </c>
      <c r="M491" s="1" t="s">
        <v>503</v>
      </c>
    </row>
    <row r="492" customFormat="false" ht="15" hidden="false" customHeight="false" outlineLevel="0" collapsed="false">
      <c r="A492" s="1" t="n">
        <v>242</v>
      </c>
      <c r="B492" s="1" t="n">
        <v>1139</v>
      </c>
      <c r="C49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UM 8L 4B EL JUEGO</v>
      </c>
      <c r="E49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320</v>
      </c>
      <c r="F49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80</v>
      </c>
      <c r="G492" s="1" t="n">
        <v>1</v>
      </c>
      <c r="I492" s="1" t="n">
        <f aca="false">(salidas26[[#This Row],[CANT JUEGOS ]]*salidas26[[#This Row],[PRECIO JUEGO]])</f>
        <v>320</v>
      </c>
      <c r="J492" s="1" t="n">
        <f aca="false">(salidas26[[#This Row],[CANT BARRAS]]*salidas26[[#This Row],[PRECIO BARRA]])</f>
        <v>0</v>
      </c>
      <c r="K492" s="1" t="n">
        <v>300</v>
      </c>
      <c r="L492" s="1" t="s">
        <v>533</v>
      </c>
      <c r="M492" s="1" t="s">
        <v>503</v>
      </c>
    </row>
    <row r="493" customFormat="false" ht="15" hidden="false" customHeight="false" outlineLevel="0" collapsed="false">
      <c r="A493" s="1" t="n">
        <v>243</v>
      </c>
      <c r="B493" s="1" t="n">
        <v>8098</v>
      </c>
      <c r="C49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PREMIER 11B/6L </v>
      </c>
      <c r="E49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420</v>
      </c>
      <c r="F49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493" s="1" t="n">
        <v>1</v>
      </c>
      <c r="I493" s="1" t="n">
        <f aca="false">(salidas26[[#This Row],[CANT JUEGOS ]]*salidas26[[#This Row],[PRECIO JUEGO]])</f>
        <v>420</v>
      </c>
      <c r="J493" s="1" t="n">
        <f aca="false">(salidas26[[#This Row],[CANT BARRAS]]*salidas26[[#This Row],[PRECIO BARRA]])</f>
        <v>0</v>
      </c>
      <c r="K493" s="1" t="n">
        <v>380</v>
      </c>
      <c r="L493" s="1" t="s">
        <v>502</v>
      </c>
      <c r="M493" s="1" t="s">
        <v>652</v>
      </c>
    </row>
    <row r="494" customFormat="false" ht="15" hidden="false" customHeight="false" outlineLevel="0" collapsed="false">
      <c r="A494" s="1" t="n">
        <v>244</v>
      </c>
      <c r="B494" s="1" t="n">
        <v>8033</v>
      </c>
      <c r="C49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E49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49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494" s="1" t="n">
        <v>1</v>
      </c>
      <c r="I494" s="1" t="n">
        <f aca="false">(salidas26[[#This Row],[CANT JUEGOS ]]*salidas26[[#This Row],[PRECIO JUEGO]])</f>
        <v>150</v>
      </c>
      <c r="J494" s="1" t="n">
        <f aca="false">(salidas26[[#This Row],[CANT BARRAS]]*salidas26[[#This Row],[PRECIO BARRA]])</f>
        <v>0</v>
      </c>
      <c r="K494" s="1" t="n">
        <v>140</v>
      </c>
      <c r="L494" s="1" t="s">
        <v>502</v>
      </c>
      <c r="M494" s="1" t="s">
        <v>653</v>
      </c>
    </row>
    <row r="495" customFormat="false" ht="15" hidden="false" customHeight="false" outlineLevel="0" collapsed="false">
      <c r="A495" s="1" t="n">
        <v>245</v>
      </c>
      <c r="B495" s="1" t="n">
        <v>1126</v>
      </c>
      <c r="C49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55UH6150/2B</v>
      </c>
      <c r="E49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49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130</v>
      </c>
      <c r="G495" s="1" t="n">
        <v>1</v>
      </c>
      <c r="I495" s="1" t="n">
        <f aca="false">(salidas26[[#This Row],[CANT JUEGOS ]]*salidas26[[#This Row],[PRECIO JUEGO]])</f>
        <v>260</v>
      </c>
      <c r="J495" s="1" t="n">
        <f aca="false">(salidas26[[#This Row],[CANT BARRAS]]*salidas26[[#This Row],[PRECIO BARRA]])</f>
        <v>0</v>
      </c>
      <c r="L495" s="85"/>
      <c r="M495" s="1" t="s">
        <v>654</v>
      </c>
    </row>
    <row r="496" customFormat="false" ht="15" hidden="false" customHeight="false" outlineLevel="0" collapsed="false">
      <c r="A496" s="1" t="n">
        <v>246</v>
      </c>
      <c r="B496" s="1" t="n">
        <v>6016</v>
      </c>
      <c r="C49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TOSHIBA C350KB /8B</v>
      </c>
      <c r="E49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49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96" s="1" t="n">
        <v>1</v>
      </c>
      <c r="I496" s="1" t="n">
        <f aca="false">(salidas26[[#This Row],[CANT JUEGOS ]]*salidas26[[#This Row],[PRECIO JUEGO]])</f>
        <v>240</v>
      </c>
      <c r="J496" s="1" t="n">
        <f aca="false">(salidas26[[#This Row],[CANT BARRAS]]*salidas26[[#This Row],[PRECIO BARRA]])</f>
        <v>0</v>
      </c>
      <c r="K496" s="1" t="n">
        <v>240</v>
      </c>
      <c r="L496" s="1" t="s">
        <v>533</v>
      </c>
      <c r="M496" s="1" t="s">
        <v>655</v>
      </c>
    </row>
    <row r="497" customFormat="false" ht="15" hidden="false" customHeight="false" outlineLevel="0" collapsed="false">
      <c r="A497" s="1" t="n">
        <v>247</v>
      </c>
      <c r="B497" s="1" t="n">
        <v>2078</v>
      </c>
      <c r="C49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UN55NU7095G/9L/4B</v>
      </c>
      <c r="E49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49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62.5</v>
      </c>
      <c r="G497" s="1" t="n">
        <v>1</v>
      </c>
      <c r="I497" s="1" t="n">
        <f aca="false">(salidas26[[#This Row],[CANT JUEGOS ]]*salidas26[[#This Row],[PRECIO JUEGO]])</f>
        <v>250</v>
      </c>
      <c r="J497" s="1" t="n">
        <f aca="false">(salidas26[[#This Row],[CANT BARRAS]]*salidas26[[#This Row],[PRECIO BARRA]])</f>
        <v>0</v>
      </c>
      <c r="K497" s="1" t="n">
        <v>270</v>
      </c>
      <c r="L497" s="1" t="s">
        <v>502</v>
      </c>
      <c r="M497" s="1" t="s">
        <v>557</v>
      </c>
    </row>
    <row r="498" customFormat="false" ht="15" hidden="false" customHeight="false" outlineLevel="0" collapsed="false">
      <c r="A498" s="1" t="n">
        <v>248</v>
      </c>
      <c r="B498" s="1" t="n">
        <v>8015</v>
      </c>
      <c r="C49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E49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49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498" s="1" t="n">
        <v>1</v>
      </c>
      <c r="I498" s="1" t="n">
        <f aca="false">(salidas26[[#This Row],[CANT JUEGOS ]]*salidas26[[#This Row],[PRECIO JUEGO]])</f>
        <v>60</v>
      </c>
      <c r="J498" s="1" t="n">
        <f aca="false">(salidas26[[#This Row],[CANT BARRAS]]*salidas26[[#This Row],[PRECIO BARRA]])</f>
        <v>0</v>
      </c>
      <c r="K498" s="1" t="n">
        <v>60</v>
      </c>
      <c r="L498" s="1" t="s">
        <v>502</v>
      </c>
      <c r="M498" s="1" t="s">
        <v>507</v>
      </c>
    </row>
    <row r="499" customFormat="false" ht="15" hidden="false" customHeight="false" outlineLevel="0" collapsed="false">
      <c r="A499" s="1" t="n">
        <v>249</v>
      </c>
      <c r="B499" s="1" t="n">
        <v>2000</v>
      </c>
      <c r="C49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E49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49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499" s="1" t="n">
        <v>1</v>
      </c>
      <c r="I499" s="1" t="n">
        <f aca="false">(salidas26[[#This Row],[CANT JUEGOS ]]*salidas26[[#This Row],[PRECIO JUEGO]])</f>
        <v>80</v>
      </c>
      <c r="J499" s="1" t="n">
        <f aca="false">(salidas26[[#This Row],[CANT BARRAS]]*salidas26[[#This Row],[PRECIO BARRA]])</f>
        <v>0</v>
      </c>
      <c r="K499" s="1" t="n">
        <v>80</v>
      </c>
      <c r="L499" s="1" t="s">
        <v>533</v>
      </c>
      <c r="M499" s="1" t="s">
        <v>584</v>
      </c>
    </row>
    <row r="500" customFormat="false" ht="15" hidden="false" customHeight="false" outlineLevel="0" collapsed="false">
      <c r="A500" s="1" t="n">
        <v>250</v>
      </c>
      <c r="B500" s="1" t="n">
        <v>6006</v>
      </c>
      <c r="C50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SKYWORTH TOSHIBA /3B</v>
      </c>
      <c r="E50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140</v>
      </c>
      <c r="F50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46.6666666666667</v>
      </c>
      <c r="G500" s="1" t="n">
        <v>1</v>
      </c>
      <c r="I500" s="1" t="n">
        <f aca="false">(salidas26[[#This Row],[CANT JUEGOS ]]*salidas26[[#This Row],[PRECIO JUEGO]])</f>
        <v>140</v>
      </c>
      <c r="J500" s="1" t="n">
        <f aca="false">(salidas26[[#This Row],[CANT BARRAS]]*salidas26[[#This Row],[PRECIO BARRA]])</f>
        <v>0</v>
      </c>
      <c r="K500" s="1" t="n">
        <v>150</v>
      </c>
      <c r="L500" s="1" t="s">
        <v>533</v>
      </c>
      <c r="M500" s="1" t="s">
        <v>656</v>
      </c>
    </row>
    <row r="501" customFormat="false" ht="15" hidden="false" customHeight="false" outlineLevel="0" collapsed="false">
      <c r="A501" s="1" t="n">
        <v>251</v>
      </c>
      <c r="B501" s="1" t="n">
        <v>1033</v>
      </c>
      <c r="C50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E50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50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501" s="1" t="n">
        <v>1</v>
      </c>
      <c r="I501" s="1" t="n">
        <f aca="false">(salidas26[[#This Row],[CANT JUEGOS ]]*salidas26[[#This Row],[PRECIO JUEGO]])</f>
        <v>180</v>
      </c>
      <c r="J501" s="1" t="n">
        <f aca="false">(salidas26[[#This Row],[CANT BARRAS]]*salidas26[[#This Row],[PRECIO BARRA]])</f>
        <v>0</v>
      </c>
      <c r="K501" s="1" t="n">
        <v>180</v>
      </c>
      <c r="L501" s="1" t="s">
        <v>502</v>
      </c>
      <c r="M501" s="1" t="s">
        <v>520</v>
      </c>
    </row>
    <row r="502" customFormat="false" ht="15" hidden="false" customHeight="false" outlineLevel="0" collapsed="false">
      <c r="A502" s="1" t="n">
        <v>252</v>
      </c>
      <c r="B502" s="1" t="n">
        <v>2078</v>
      </c>
      <c r="C50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UN55NU7095G/9L/4B</v>
      </c>
      <c r="E50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50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62.5</v>
      </c>
      <c r="G502" s="1" t="n">
        <v>1</v>
      </c>
      <c r="I502" s="1" t="n">
        <f aca="false">(salidas26[[#This Row],[CANT JUEGOS ]]*salidas26[[#This Row],[PRECIO JUEGO]])</f>
        <v>250</v>
      </c>
      <c r="J502" s="1" t="n">
        <f aca="false">(salidas26[[#This Row],[CANT BARRAS]]*salidas26[[#This Row],[PRECIO BARRA]])</f>
        <v>0</v>
      </c>
      <c r="K502" s="1" t="n">
        <v>250</v>
      </c>
      <c r="L502" s="1" t="s">
        <v>502</v>
      </c>
      <c r="M502" s="1" t="s">
        <v>503</v>
      </c>
    </row>
    <row r="503" customFormat="false" ht="15" hidden="false" customHeight="false" outlineLevel="0" collapsed="false">
      <c r="A503" s="1" t="n">
        <v>254</v>
      </c>
      <c r="B503" s="1" t="n">
        <v>5039</v>
      </c>
      <c r="C50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KDL-65W855C 8L/3V/16B</v>
      </c>
      <c r="E50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450</v>
      </c>
      <c r="F50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28.125</v>
      </c>
      <c r="G503" s="1" t="n">
        <v>1</v>
      </c>
      <c r="I503" s="1" t="n">
        <f aca="false">(salidas26[[#This Row],[CANT JUEGOS ]]*salidas26[[#This Row],[PRECIO JUEGO]])</f>
        <v>450</v>
      </c>
      <c r="J503" s="1" t="n">
        <f aca="false">(salidas26[[#This Row],[CANT BARRAS]]*salidas26[[#This Row],[PRECIO BARRA]])</f>
        <v>0</v>
      </c>
      <c r="K503" s="1" t="n">
        <v>420</v>
      </c>
      <c r="L503" s="1" t="s">
        <v>502</v>
      </c>
      <c r="M503" s="1" t="s">
        <v>518</v>
      </c>
    </row>
    <row r="504" customFormat="false" ht="15" hidden="false" customHeight="false" outlineLevel="0" collapsed="false">
      <c r="A504" s="1" t="n">
        <v>255</v>
      </c>
      <c r="B504" s="1" t="n">
        <v>7012</v>
      </c>
      <c r="C50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IRT 50604  9L/ 4B</v>
      </c>
      <c r="E50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50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504" s="1" t="n">
        <v>1</v>
      </c>
      <c r="I504" s="1" t="n">
        <f aca="false">(salidas26[[#This Row],[CANT JUEGOS ]]*salidas26[[#This Row],[PRECIO JUEGO]])</f>
        <v>200</v>
      </c>
      <c r="J504" s="1" t="n">
        <f aca="false">(salidas26[[#This Row],[CANT BARRAS]]*salidas26[[#This Row],[PRECIO BARRA]])</f>
        <v>0</v>
      </c>
      <c r="K504" s="1" t="n">
        <v>200</v>
      </c>
      <c r="L504" s="1" t="s">
        <v>502</v>
      </c>
      <c r="M504" s="1" t="s">
        <v>524</v>
      </c>
    </row>
    <row r="505" customFormat="false" ht="15" hidden="false" customHeight="false" outlineLevel="0" collapsed="false">
      <c r="A505" s="1" t="n">
        <v>256</v>
      </c>
      <c r="B505" s="1" t="n">
        <v>4020</v>
      </c>
      <c r="C50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 DAEWOO L49R770BNS 6L/10B</v>
      </c>
      <c r="E50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50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25</v>
      </c>
      <c r="G505" s="1" t="n">
        <v>1</v>
      </c>
      <c r="I505" s="1" t="n">
        <f aca="false">(salidas26[[#This Row],[CANT JUEGOS ]]*salidas26[[#This Row],[PRECIO JUEGO]])</f>
        <v>250</v>
      </c>
      <c r="J505" s="1" t="n">
        <f aca="false">(salidas26[[#This Row],[CANT BARRAS]]*salidas26[[#This Row],[PRECIO BARRA]])</f>
        <v>0</v>
      </c>
      <c r="K505" s="1" t="n">
        <v>200</v>
      </c>
      <c r="L505" s="1" t="s">
        <v>502</v>
      </c>
      <c r="M505" s="1" t="s">
        <v>511</v>
      </c>
    </row>
    <row r="506" customFormat="false" ht="15" hidden="false" customHeight="false" outlineLevel="0" collapsed="false">
      <c r="A506" s="1" t="n">
        <v>257</v>
      </c>
      <c r="B506" s="1" t="n">
        <v>2087</v>
      </c>
      <c r="C50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UN58NU7100 /2B EDGE</v>
      </c>
      <c r="E50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50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120</v>
      </c>
      <c r="G506" s="1" t="n">
        <v>1</v>
      </c>
      <c r="I506" s="1" t="n">
        <f aca="false">(salidas26[[#This Row],[CANT JUEGOS ]]*salidas26[[#This Row],[PRECIO JUEGO]])</f>
        <v>240</v>
      </c>
      <c r="J506" s="1" t="n">
        <f aca="false">(salidas26[[#This Row],[CANT BARRAS]]*salidas26[[#This Row],[PRECIO BARRA]])</f>
        <v>0</v>
      </c>
      <c r="K506" s="1" t="n">
        <v>220</v>
      </c>
      <c r="L506" s="1" t="s">
        <v>502</v>
      </c>
      <c r="M506" s="1" t="s">
        <v>511</v>
      </c>
    </row>
    <row r="507" customFormat="false" ht="15" hidden="false" customHeight="false" outlineLevel="0" collapsed="false">
      <c r="A507" s="1" t="n">
        <v>258</v>
      </c>
      <c r="B507" s="1" t="n">
        <v>4011</v>
      </c>
      <c r="C50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DAEWO L43V780BTS 3B/7LED/3V</v>
      </c>
      <c r="E50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50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507" s="1" t="n">
        <v>1</v>
      </c>
      <c r="I507" s="1" t="n">
        <f aca="false">(salidas26[[#This Row],[CANT JUEGOS ]]*salidas26[[#This Row],[PRECIO JUEGO]])</f>
        <v>160</v>
      </c>
      <c r="J507" s="1" t="n">
        <f aca="false">(salidas26[[#This Row],[CANT BARRAS]]*salidas26[[#This Row],[PRECIO BARRA]])</f>
        <v>0</v>
      </c>
      <c r="K507" s="1" t="n">
        <v>150</v>
      </c>
      <c r="L507" s="1" t="s">
        <v>502</v>
      </c>
      <c r="M507" s="1" t="s">
        <v>560</v>
      </c>
    </row>
    <row r="508" customFormat="false" ht="15" hidden="false" customHeight="false" outlineLevel="0" collapsed="false">
      <c r="A508" s="1" t="n">
        <v>259</v>
      </c>
      <c r="B508" s="1" t="n">
        <v>8068</v>
      </c>
      <c r="C50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3V/10L/4B</v>
      </c>
      <c r="E50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50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508" s="1" t="n">
        <v>1</v>
      </c>
      <c r="I508" s="1" t="n">
        <f aca="false">(salidas26[[#This Row],[CANT JUEGOS ]]*salidas26[[#This Row],[PRECIO JUEGO]])</f>
        <v>220</v>
      </c>
      <c r="J508" s="1" t="n">
        <f aca="false">(salidas26[[#This Row],[CANT BARRAS]]*salidas26[[#This Row],[PRECIO BARRA]])</f>
        <v>0</v>
      </c>
      <c r="K508" s="1" t="n">
        <v>200</v>
      </c>
      <c r="L508" s="1" t="s">
        <v>502</v>
      </c>
      <c r="M508" s="1" t="s">
        <v>560</v>
      </c>
    </row>
    <row r="509" customFormat="false" ht="15" hidden="false" customHeight="false" outlineLevel="0" collapsed="false">
      <c r="A509" s="1" t="n">
        <v>260</v>
      </c>
      <c r="B509" s="1" t="n">
        <v>5018</v>
      </c>
      <c r="C50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KDL-40R475 SONY/10B</v>
      </c>
      <c r="E50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50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509" s="1" t="n">
        <v>1</v>
      </c>
      <c r="I509" s="1" t="n">
        <f aca="false">(salidas26[[#This Row],[CANT JUEGOS ]]*salidas26[[#This Row],[PRECIO JUEGO]])</f>
        <v>200</v>
      </c>
      <c r="J509" s="1" t="n">
        <f aca="false">(salidas26[[#This Row],[CANT BARRAS]]*salidas26[[#This Row],[PRECIO BARRA]])</f>
        <v>0</v>
      </c>
      <c r="K509" s="1" t="n">
        <v>180</v>
      </c>
      <c r="L509" s="1" t="s">
        <v>502</v>
      </c>
      <c r="M509" s="1" t="s">
        <v>517</v>
      </c>
    </row>
    <row r="510" customFormat="false" ht="15" hidden="false" customHeight="false" outlineLevel="0" collapsed="false">
      <c r="A510" s="1" t="n">
        <v>261</v>
      </c>
      <c r="B510" s="1" t="n">
        <v>4010</v>
      </c>
      <c r="C51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DAEWO S780 3B/8LED/3V</v>
      </c>
      <c r="E51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51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510" s="1" t="n">
        <v>1</v>
      </c>
      <c r="I510" s="1" t="n">
        <f aca="false">(salidas26[[#This Row],[CANT JUEGOS ]]*salidas26[[#This Row],[PRECIO JUEGO]])</f>
        <v>160</v>
      </c>
      <c r="J510" s="1" t="n">
        <f aca="false">(salidas26[[#This Row],[CANT BARRAS]]*salidas26[[#This Row],[PRECIO BARRA]])</f>
        <v>0</v>
      </c>
      <c r="K510" s="1" t="n">
        <v>150</v>
      </c>
      <c r="L510" s="1" t="s">
        <v>502</v>
      </c>
      <c r="M510" s="1" t="s">
        <v>517</v>
      </c>
    </row>
    <row r="511" customFormat="false" ht="15" hidden="false" customHeight="false" outlineLevel="0" collapsed="false">
      <c r="A511" s="1" t="n">
        <v>262</v>
      </c>
      <c r="B511" s="1" t="n">
        <v>2079</v>
      </c>
      <c r="C51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UN55MU6100- 55KU 6000 12B/ 3V</v>
      </c>
      <c r="E51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450</v>
      </c>
      <c r="F51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37.5</v>
      </c>
      <c r="G511" s="1" t="n">
        <v>1</v>
      </c>
      <c r="I511" s="1" t="n">
        <f aca="false">(salidas26[[#This Row],[CANT JUEGOS ]]*salidas26[[#This Row],[PRECIO JUEGO]])</f>
        <v>450</v>
      </c>
      <c r="J511" s="1" t="n">
        <f aca="false">(salidas26[[#This Row],[CANT BARRAS]]*salidas26[[#This Row],[PRECIO BARRA]])</f>
        <v>0</v>
      </c>
      <c r="K511" s="1" t="n">
        <v>360</v>
      </c>
      <c r="L511" s="1" t="s">
        <v>533</v>
      </c>
      <c r="M511" s="1" t="s">
        <v>657</v>
      </c>
    </row>
    <row r="512" customFormat="false" ht="15" hidden="false" customHeight="false" outlineLevel="0" collapsed="false">
      <c r="A512" s="1" t="n">
        <v>263</v>
      </c>
      <c r="B512" s="1" t="n">
        <v>5025</v>
      </c>
      <c r="C51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KDL-42EX440/2B</v>
      </c>
      <c r="E51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51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75</v>
      </c>
      <c r="G512" s="1" t="n">
        <v>1</v>
      </c>
      <c r="I512" s="1" t="n">
        <f aca="false">(salidas26[[#This Row],[CANT JUEGOS ]]*salidas26[[#This Row],[PRECIO JUEGO]])</f>
        <v>150</v>
      </c>
      <c r="J512" s="1" t="n">
        <f aca="false">(salidas26[[#This Row],[CANT BARRAS]]*salidas26[[#This Row],[PRECIO BARRA]])</f>
        <v>0</v>
      </c>
      <c r="K512" s="1" t="n">
        <v>120</v>
      </c>
      <c r="L512" s="1" t="s">
        <v>533</v>
      </c>
      <c r="M512" s="1" t="s">
        <v>534</v>
      </c>
    </row>
    <row r="513" customFormat="false" ht="15" hidden="false" customHeight="false" outlineLevel="0" collapsed="false">
      <c r="A513" s="1" t="n">
        <v>264</v>
      </c>
      <c r="B513" s="1" t="n">
        <v>8095</v>
      </c>
      <c r="C51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 PREMIER 5L/3V 10B</v>
      </c>
      <c r="E51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51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513" s="1" t="n">
        <v>1</v>
      </c>
      <c r="I513" s="1" t="n">
        <f aca="false">(salidas26[[#This Row],[CANT JUEGOS ]]*salidas26[[#This Row],[PRECIO JUEGO]])</f>
        <v>300</v>
      </c>
      <c r="J513" s="1" t="n">
        <f aca="false">(salidas26[[#This Row],[CANT BARRAS]]*salidas26[[#This Row],[PRECIO BARRA]])</f>
        <v>0</v>
      </c>
      <c r="K513" s="1" t="n">
        <v>300</v>
      </c>
      <c r="L513" s="1" t="s">
        <v>502</v>
      </c>
      <c r="M513" s="1" t="s">
        <v>505</v>
      </c>
    </row>
    <row r="514" customFormat="false" ht="15" hidden="false" customHeight="false" outlineLevel="0" collapsed="false">
      <c r="A514" s="1" t="n">
        <v>265</v>
      </c>
      <c r="B514" s="1" t="n">
        <v>8068</v>
      </c>
      <c r="C51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3V/10L/4B</v>
      </c>
      <c r="E51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51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514" s="1" t="n">
        <v>1</v>
      </c>
      <c r="I514" s="1" t="n">
        <f aca="false">(salidas26[[#This Row],[CANT JUEGOS ]]*salidas26[[#This Row],[PRECIO JUEGO]])</f>
        <v>220</v>
      </c>
      <c r="J514" s="1" t="n">
        <f aca="false">(salidas26[[#This Row],[CANT BARRAS]]*salidas26[[#This Row],[PRECIO BARRA]])</f>
        <v>0</v>
      </c>
      <c r="K514" s="1" t="n">
        <v>160</v>
      </c>
      <c r="L514" s="1" t="s">
        <v>533</v>
      </c>
      <c r="M514" s="1" t="s">
        <v>603</v>
      </c>
    </row>
    <row r="515" customFormat="false" ht="15" hidden="false" customHeight="false" outlineLevel="0" collapsed="false">
      <c r="A515" s="1" t="n">
        <v>267</v>
      </c>
      <c r="B515" s="1" t="n">
        <v>8057</v>
      </c>
      <c r="C51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45 PREMIER 7L/4B</v>
      </c>
      <c r="E51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51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515" s="1" t="n">
        <v>1</v>
      </c>
      <c r="I515" s="1" t="n">
        <f aca="false">(salidas26[[#This Row],[CANT JUEGOS ]]*salidas26[[#This Row],[PRECIO JUEGO]])</f>
        <v>200</v>
      </c>
      <c r="J515" s="1" t="n">
        <f aca="false">(salidas26[[#This Row],[CANT BARRAS]]*salidas26[[#This Row],[PRECIO BARRA]])</f>
        <v>0</v>
      </c>
      <c r="K515" s="1" t="n">
        <v>200</v>
      </c>
      <c r="L515" s="1" t="s">
        <v>502</v>
      </c>
      <c r="M515" s="1" t="s">
        <v>511</v>
      </c>
    </row>
    <row r="516" customFormat="false" ht="15" hidden="false" customHeight="false" outlineLevel="0" collapsed="false">
      <c r="A516" s="1" t="n">
        <v>268</v>
      </c>
      <c r="B516" s="1" t="n">
        <v>8057</v>
      </c>
      <c r="C51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45 PREMIER 7L/4B</v>
      </c>
      <c r="E51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51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H516" s="1" t="n">
        <v>1</v>
      </c>
      <c r="I516" s="1" t="n">
        <f aca="false">(salidas26[[#This Row],[CANT JUEGOS ]]*salidas26[[#This Row],[PRECIO JUEGO]])</f>
        <v>0</v>
      </c>
      <c r="J516" s="1" t="n">
        <f aca="false">(salidas26[[#This Row],[CANT BARRAS]]*salidas26[[#This Row],[PRECIO BARRA]])</f>
        <v>50</v>
      </c>
      <c r="L516" s="1" t="s">
        <v>599</v>
      </c>
      <c r="M516" s="1" t="s">
        <v>658</v>
      </c>
    </row>
    <row r="517" customFormat="false" ht="15" hidden="false" customHeight="false" outlineLevel="0" collapsed="false">
      <c r="A517" s="1" t="n">
        <v>269</v>
      </c>
      <c r="B517" s="1" t="n">
        <v>8015</v>
      </c>
      <c r="C51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E51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51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517" s="1" t="n">
        <v>1</v>
      </c>
      <c r="I517" s="1" t="n">
        <f aca="false">(salidas26[[#This Row],[CANT JUEGOS ]]*salidas26[[#This Row],[PRECIO JUEGO]])</f>
        <v>60</v>
      </c>
      <c r="J517" s="1" t="n">
        <f aca="false">(salidas26[[#This Row],[CANT BARRAS]]*salidas26[[#This Row],[PRECIO BARRA]])</f>
        <v>0</v>
      </c>
      <c r="K517" s="1" t="n">
        <v>50</v>
      </c>
      <c r="L517" s="1" t="s">
        <v>533</v>
      </c>
      <c r="M517" s="1" t="s">
        <v>511</v>
      </c>
    </row>
    <row r="518" customFormat="false" ht="15" hidden="false" customHeight="false" outlineLevel="0" collapsed="false">
      <c r="A518" s="1" t="n">
        <v>270</v>
      </c>
      <c r="B518" s="1" t="n">
        <v>8104</v>
      </c>
      <c r="C51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LT65KB527 10 B</v>
      </c>
      <c r="E51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51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518" s="1" t="n">
        <v>1</v>
      </c>
      <c r="I518" s="1" t="n">
        <f aca="false">(salidas26[[#This Row],[CANT JUEGOS ]]*salidas26[[#This Row],[PRECIO JUEGO]])</f>
        <v>400</v>
      </c>
      <c r="J518" s="1" t="n">
        <f aca="false">(salidas26[[#This Row],[CANT BARRAS]]*salidas26[[#This Row],[PRECIO BARRA]])</f>
        <v>0</v>
      </c>
      <c r="K518" s="1" t="n">
        <v>380</v>
      </c>
      <c r="L518" s="1" t="s">
        <v>502</v>
      </c>
      <c r="M518" s="1" t="s">
        <v>659</v>
      </c>
    </row>
    <row r="519" customFormat="false" ht="15" hidden="false" customHeight="false" outlineLevel="0" collapsed="false">
      <c r="A519" s="1" t="n">
        <v>271</v>
      </c>
      <c r="B519" s="1" t="n">
        <v>1012</v>
      </c>
      <c r="C51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32LB620B-32LF620B -3B/6V/6L</v>
      </c>
      <c r="E51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51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519" s="1" t="n">
        <v>1</v>
      </c>
      <c r="I519" s="1" t="n">
        <f aca="false">(salidas26[[#This Row],[CANT JUEGOS ]]*salidas26[[#This Row],[PRECIO JUEGO]])</f>
        <v>90</v>
      </c>
      <c r="J519" s="1" t="n">
        <f aca="false">(salidas26[[#This Row],[CANT BARRAS]]*salidas26[[#This Row],[PRECIO BARRA]])</f>
        <v>0</v>
      </c>
      <c r="K519" s="1" t="n">
        <v>90</v>
      </c>
      <c r="L519" s="1" t="s">
        <v>502</v>
      </c>
      <c r="M519" s="1" t="s">
        <v>518</v>
      </c>
    </row>
    <row r="520" customFormat="false" ht="15" hidden="false" customHeight="false" outlineLevel="0" collapsed="false">
      <c r="A520" s="1" t="n">
        <v>272</v>
      </c>
      <c r="B520" s="1" t="n">
        <v>5012</v>
      </c>
      <c r="C52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KDL-40R455 SONY/10B</v>
      </c>
      <c r="E52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52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520" s="1" t="n">
        <v>1</v>
      </c>
      <c r="I520" s="1" t="n">
        <f aca="false">(salidas26[[#This Row],[CANT JUEGOS ]]*salidas26[[#This Row],[PRECIO JUEGO]])</f>
        <v>200</v>
      </c>
      <c r="J520" s="1" t="n">
        <f aca="false">(salidas26[[#This Row],[CANT BARRAS]]*salidas26[[#This Row],[PRECIO BARRA]])</f>
        <v>0</v>
      </c>
      <c r="K520" s="1" t="n">
        <v>200</v>
      </c>
      <c r="L520" s="1" t="s">
        <v>502</v>
      </c>
      <c r="M520" s="1" t="s">
        <v>660</v>
      </c>
    </row>
    <row r="521" customFormat="false" ht="15" hidden="false" customHeight="false" outlineLevel="0" collapsed="false">
      <c r="A521" s="1" t="n">
        <v>273</v>
      </c>
      <c r="B521" s="1" t="n">
        <v>2063</v>
      </c>
      <c r="C52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UN50NU7100./2B EDGE</v>
      </c>
      <c r="E52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52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90</v>
      </c>
      <c r="G521" s="1" t="n">
        <v>1</v>
      </c>
      <c r="I521" s="1" t="n">
        <f aca="false">(salidas26[[#This Row],[CANT JUEGOS ]]*salidas26[[#This Row],[PRECIO JUEGO]])</f>
        <v>180</v>
      </c>
      <c r="J521" s="1" t="n">
        <f aca="false">(salidas26[[#This Row],[CANT BARRAS]]*salidas26[[#This Row],[PRECIO BARRA]])</f>
        <v>0</v>
      </c>
      <c r="K521" s="1" t="n">
        <v>180</v>
      </c>
      <c r="L521" s="1" t="s">
        <v>502</v>
      </c>
      <c r="M521" s="1" t="s">
        <v>518</v>
      </c>
    </row>
    <row r="522" customFormat="false" ht="15" hidden="false" customHeight="false" outlineLevel="0" collapsed="false">
      <c r="A522" s="1" t="n">
        <v>274</v>
      </c>
      <c r="B522" s="1" t="n">
        <v>8033</v>
      </c>
      <c r="C52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E52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52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522" s="1" t="n">
        <v>1</v>
      </c>
      <c r="I522" s="1" t="n">
        <f aca="false">(salidas26[[#This Row],[CANT JUEGOS ]]*salidas26[[#This Row],[PRECIO JUEGO]])</f>
        <v>150</v>
      </c>
      <c r="J522" s="1" t="n">
        <f aca="false">(salidas26[[#This Row],[CANT BARRAS]]*salidas26[[#This Row],[PRECIO BARRA]])</f>
        <v>0</v>
      </c>
      <c r="K522" s="1" t="n">
        <v>140</v>
      </c>
      <c r="L522" s="1" t="s">
        <v>502</v>
      </c>
      <c r="M522" s="1" t="s">
        <v>518</v>
      </c>
    </row>
    <row r="523" customFormat="false" ht="15" hidden="false" customHeight="false" outlineLevel="0" collapsed="false">
      <c r="A523" s="1" t="n">
        <v>275</v>
      </c>
      <c r="B523" s="1" t="n">
        <v>1033</v>
      </c>
      <c r="C52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E52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52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523" s="1" t="n">
        <v>1</v>
      </c>
      <c r="I523" s="1" t="n">
        <f aca="false">(salidas26[[#This Row],[CANT JUEGOS ]]*salidas26[[#This Row],[PRECIO JUEGO]])</f>
        <v>180</v>
      </c>
      <c r="J523" s="1" t="n">
        <f aca="false">(salidas26[[#This Row],[CANT BARRAS]]*salidas26[[#This Row],[PRECIO BARRA]])</f>
        <v>0</v>
      </c>
      <c r="K523" s="1" t="n">
        <v>180</v>
      </c>
      <c r="L523" s="1" t="s">
        <v>502</v>
      </c>
      <c r="M523" s="1" t="s">
        <v>518</v>
      </c>
    </row>
    <row r="524" customFormat="false" ht="15" hidden="false" customHeight="false" outlineLevel="0" collapsed="false">
      <c r="A524" s="86" t="n">
        <v>277</v>
      </c>
      <c r="B524" s="1" t="n">
        <v>1033</v>
      </c>
      <c r="C52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E52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52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524" s="1" t="n">
        <v>1</v>
      </c>
      <c r="I524" s="1" t="n">
        <f aca="false">(salidas26[[#This Row],[CANT JUEGOS ]]*salidas26[[#This Row],[PRECIO JUEGO]])</f>
        <v>180</v>
      </c>
      <c r="J524" s="1" t="n">
        <f aca="false">(salidas26[[#This Row],[CANT BARRAS]]*salidas26[[#This Row],[PRECIO BARRA]])</f>
        <v>0</v>
      </c>
      <c r="K524" s="1" t="n">
        <v>180</v>
      </c>
      <c r="L524" s="1" t="s">
        <v>502</v>
      </c>
      <c r="M524" s="1" t="s">
        <v>518</v>
      </c>
    </row>
    <row r="525" customFormat="false" ht="15" hidden="false" customHeight="false" outlineLevel="0" collapsed="false">
      <c r="A525" s="1" t="n">
        <v>277</v>
      </c>
      <c r="B525" s="1" t="n">
        <v>1033</v>
      </c>
      <c r="C52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D525" s="75" t="n">
        <v>46066</v>
      </c>
      <c r="E52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52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525" s="1" t="n">
        <v>1</v>
      </c>
      <c r="I525" s="1" t="n">
        <f aca="false">(salidas26[[#This Row],[CANT JUEGOS ]]*salidas26[[#This Row],[PRECIO JUEGO]])</f>
        <v>180</v>
      </c>
      <c r="J525" s="1" t="n">
        <f aca="false">(salidas26[[#This Row],[CANT BARRAS]]*salidas26[[#This Row],[PRECIO BARRA]])</f>
        <v>0</v>
      </c>
      <c r="K525" s="1" t="n">
        <v>198</v>
      </c>
      <c r="L525" s="1" t="s">
        <v>533</v>
      </c>
      <c r="M525" s="1" t="s">
        <v>546</v>
      </c>
    </row>
    <row r="526" customFormat="false" ht="15" hidden="false" customHeight="false" outlineLevel="0" collapsed="false">
      <c r="A526" s="1" t="n">
        <v>278</v>
      </c>
      <c r="B526" s="1" t="n">
        <v>2063</v>
      </c>
      <c r="C52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UN50NU7100./2B EDGE</v>
      </c>
      <c r="D526" s="75" t="n">
        <v>46066</v>
      </c>
      <c r="E52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52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90</v>
      </c>
      <c r="G526" s="1" t="n">
        <v>1</v>
      </c>
      <c r="I526" s="1" t="n">
        <f aca="false">(salidas26[[#This Row],[CANT JUEGOS ]]*salidas26[[#This Row],[PRECIO JUEGO]])</f>
        <v>180</v>
      </c>
      <c r="J526" s="1" t="n">
        <f aca="false">(salidas26[[#This Row],[CANT BARRAS]]*salidas26[[#This Row],[PRECIO BARRA]])</f>
        <v>0</v>
      </c>
      <c r="K526" s="1" t="n">
        <v>180</v>
      </c>
      <c r="L526" s="1" t="s">
        <v>533</v>
      </c>
      <c r="M526" s="1" t="s">
        <v>503</v>
      </c>
    </row>
    <row r="527" customFormat="false" ht="15" hidden="false" customHeight="false" outlineLevel="0" collapsed="false">
      <c r="A527" s="1" t="n">
        <v>279</v>
      </c>
      <c r="B527" s="1" t="n">
        <v>2089</v>
      </c>
      <c r="C52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UN58TU7100 8B/6L 3V-58TU7000</v>
      </c>
      <c r="D527" s="75" t="n">
        <v>46066</v>
      </c>
      <c r="E52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320</v>
      </c>
      <c r="F52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527" s="1" t="n">
        <v>1</v>
      </c>
      <c r="I527" s="1" t="n">
        <f aca="false">(salidas26[[#This Row],[CANT JUEGOS ]]*salidas26[[#This Row],[PRECIO JUEGO]])</f>
        <v>320</v>
      </c>
      <c r="J527" s="1" t="n">
        <f aca="false">(salidas26[[#This Row],[CANT BARRAS]]*salidas26[[#This Row],[PRECIO BARRA]])</f>
        <v>0</v>
      </c>
      <c r="K527" s="1" t="n">
        <v>340</v>
      </c>
      <c r="L527" s="1" t="s">
        <v>533</v>
      </c>
      <c r="M527" s="1" t="s">
        <v>661</v>
      </c>
    </row>
    <row r="528" customFormat="false" ht="15" hidden="false" customHeight="false" outlineLevel="0" collapsed="false">
      <c r="A528" s="1" t="n">
        <v>280</v>
      </c>
      <c r="B528" s="1" t="n">
        <v>4009</v>
      </c>
      <c r="C52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43-DAEWO L43R630BKS/ 8B</v>
      </c>
      <c r="D528" s="75" t="n">
        <v>46067</v>
      </c>
      <c r="E52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52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528" s="1" t="n">
        <v>1</v>
      </c>
      <c r="I528" s="1" t="n">
        <f aca="false">(salidas26[[#This Row],[CANT JUEGOS ]]*salidas26[[#This Row],[PRECIO JUEGO]])</f>
        <v>160</v>
      </c>
      <c r="J528" s="1" t="n">
        <f aca="false">(salidas26[[#This Row],[CANT BARRAS]]*salidas26[[#This Row],[PRECIO BARRA]])</f>
        <v>0</v>
      </c>
      <c r="K528" s="1" t="n">
        <v>160</v>
      </c>
      <c r="L528" s="1" t="s">
        <v>533</v>
      </c>
      <c r="M528" s="1" t="s">
        <v>662</v>
      </c>
    </row>
    <row r="529" customFormat="false" ht="15" hidden="false" customHeight="false" outlineLevel="0" collapsed="false">
      <c r="A529" s="1" t="n">
        <v>278</v>
      </c>
      <c r="B529" s="1" t="n">
        <v>5018</v>
      </c>
      <c r="C52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KDL-40R475 SONY/10B</v>
      </c>
      <c r="D529" s="75" t="n">
        <v>46067</v>
      </c>
      <c r="E52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52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529" s="1" t="n">
        <v>1</v>
      </c>
      <c r="H529" s="1" t="n">
        <v>8</v>
      </c>
      <c r="I529" s="1" t="n">
        <f aca="false">(salidas26[[#This Row],[CANT JUEGOS ]]*salidas26[[#This Row],[PRECIO JUEGO]])</f>
        <v>200</v>
      </c>
      <c r="J529" s="1" t="n">
        <f aca="false">(salidas26[[#This Row],[CANT BARRAS]]*salidas26[[#This Row],[PRECIO BARRA]])</f>
        <v>160</v>
      </c>
      <c r="K529" s="1" t="n">
        <v>150</v>
      </c>
      <c r="L529" s="1" t="s">
        <v>502</v>
      </c>
      <c r="M529" s="1" t="s">
        <v>663</v>
      </c>
    </row>
    <row r="530" customFormat="false" ht="15" hidden="false" customHeight="false" outlineLevel="0" collapsed="false">
      <c r="A530" s="1" t="n">
        <v>279</v>
      </c>
      <c r="B530" s="1" t="n">
        <v>4003</v>
      </c>
      <c r="C53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DAEWOO 8L/3V - 3B</v>
      </c>
      <c r="D530" s="75" t="n">
        <v>46067</v>
      </c>
      <c r="E53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53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530" s="1" t="n">
        <v>1</v>
      </c>
      <c r="I530" s="1" t="n">
        <f aca="false">(salidas26[[#This Row],[CANT JUEGOS ]]*salidas26[[#This Row],[PRECIO JUEGO]])</f>
        <v>90</v>
      </c>
      <c r="J530" s="1" t="n">
        <f aca="false">(salidas26[[#This Row],[CANT BARRAS]]*salidas26[[#This Row],[PRECIO BARRA]])</f>
        <v>0</v>
      </c>
      <c r="K530" s="1" t="n">
        <v>90</v>
      </c>
      <c r="L530" s="1" t="s">
        <v>533</v>
      </c>
      <c r="M530" s="1" t="s">
        <v>503</v>
      </c>
    </row>
    <row r="531" customFormat="false" ht="15" hidden="false" customHeight="false" outlineLevel="0" collapsed="false">
      <c r="A531" s="1" t="n">
        <v>280</v>
      </c>
      <c r="B531" s="1" t="n">
        <v>3001</v>
      </c>
      <c r="C53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32B7000 3B/10LED/3V DOBLE CONECTOR</v>
      </c>
      <c r="D531" s="75" t="n">
        <v>46067</v>
      </c>
      <c r="E53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100</v>
      </c>
      <c r="F53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531" s="1" t="n">
        <v>1</v>
      </c>
      <c r="I531" s="1" t="n">
        <f aca="false">(salidas26[[#This Row],[CANT JUEGOS ]]*salidas26[[#This Row],[PRECIO JUEGO]])</f>
        <v>100</v>
      </c>
      <c r="J531" s="1" t="n">
        <f aca="false">(salidas26[[#This Row],[CANT BARRAS]]*salidas26[[#This Row],[PRECIO BARRA]])</f>
        <v>0</v>
      </c>
      <c r="K531" s="1" t="n">
        <v>100</v>
      </c>
      <c r="L531" s="1" t="s">
        <v>502</v>
      </c>
      <c r="M531" s="1" t="s">
        <v>511</v>
      </c>
    </row>
    <row r="532" customFormat="false" ht="15" hidden="false" customHeight="false" outlineLevel="0" collapsed="false">
      <c r="A532" s="1" t="n">
        <v>281</v>
      </c>
      <c r="B532" s="1" t="n">
        <v>1036</v>
      </c>
      <c r="C53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42LA6130-42LN5400  10B/3V</v>
      </c>
      <c r="D532" s="75" t="n">
        <v>46067</v>
      </c>
      <c r="E53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53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18</v>
      </c>
      <c r="G532" s="1" t="n">
        <v>1</v>
      </c>
      <c r="I532" s="1" t="n">
        <f aca="false">(salidas26[[#This Row],[CANT JUEGOS ]]*salidas26[[#This Row],[PRECIO JUEGO]])</f>
        <v>180</v>
      </c>
      <c r="J532" s="1" t="n">
        <f aca="false">(salidas26[[#This Row],[CANT BARRAS]]*salidas26[[#This Row],[PRECIO BARRA]])</f>
        <v>0</v>
      </c>
      <c r="K532" s="1" t="n">
        <v>180</v>
      </c>
      <c r="L532" s="1" t="s">
        <v>502</v>
      </c>
      <c r="M532" s="1" t="s">
        <v>511</v>
      </c>
    </row>
    <row r="533" customFormat="false" ht="15" hidden="false" customHeight="false" outlineLevel="0" collapsed="false">
      <c r="A533" s="1" t="n">
        <v>282</v>
      </c>
      <c r="B533" s="1" t="n">
        <v>2042</v>
      </c>
      <c r="C53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UN48J5000AG/8B</v>
      </c>
      <c r="D533" s="75" t="n">
        <v>46067</v>
      </c>
      <c r="E53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53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32.5</v>
      </c>
      <c r="G533" s="1" t="n">
        <v>1</v>
      </c>
      <c r="I533" s="1" t="n">
        <f aca="false">(salidas26[[#This Row],[CANT JUEGOS ]]*salidas26[[#This Row],[PRECIO JUEGO]])</f>
        <v>260</v>
      </c>
      <c r="J533" s="1" t="n">
        <f aca="false">(salidas26[[#This Row],[CANT BARRAS]]*salidas26[[#This Row],[PRECIO BARRA]])</f>
        <v>0</v>
      </c>
      <c r="K533" s="1" t="n">
        <v>250</v>
      </c>
      <c r="L533" s="1" t="s">
        <v>533</v>
      </c>
      <c r="M533" s="1" t="s">
        <v>511</v>
      </c>
    </row>
    <row r="534" customFormat="false" ht="15" hidden="false" customHeight="false" outlineLevel="0" collapsed="false">
      <c r="A534" s="1" t="n">
        <v>283</v>
      </c>
      <c r="B534" s="1" t="n">
        <v>4020</v>
      </c>
      <c r="C53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 DAEWOO L49R770BNS 6L/10B</v>
      </c>
      <c r="D534" s="75" t="n">
        <v>46067</v>
      </c>
      <c r="E53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53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25</v>
      </c>
      <c r="G534" s="1" t="n">
        <v>1</v>
      </c>
      <c r="H534" s="1" t="n">
        <v>2</v>
      </c>
      <c r="I534" s="1" t="n">
        <f aca="false">(salidas26[[#This Row],[CANT JUEGOS ]]*salidas26[[#This Row],[PRECIO JUEGO]])</f>
        <v>250</v>
      </c>
      <c r="J534" s="1" t="n">
        <f aca="false">(salidas26[[#This Row],[CANT BARRAS]]*salidas26[[#This Row],[PRECIO BARRA]])</f>
        <v>50</v>
      </c>
      <c r="K534" s="1" t="n">
        <v>40</v>
      </c>
      <c r="L534" s="1" t="s">
        <v>533</v>
      </c>
      <c r="M534" s="1" t="s">
        <v>511</v>
      </c>
    </row>
    <row r="535" customFormat="false" ht="15" hidden="false" customHeight="false" outlineLevel="0" collapsed="false">
      <c r="A535" s="1" t="n">
        <v>284</v>
      </c>
      <c r="B535" s="1" t="n">
        <v>6007</v>
      </c>
      <c r="C53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TB70000 SKYWORTH 3B</v>
      </c>
      <c r="D535" s="75" t="n">
        <v>46071</v>
      </c>
      <c r="E53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53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535" s="1" t="n">
        <v>1</v>
      </c>
      <c r="I535" s="1" t="n">
        <f aca="false">(salidas26[[#This Row],[CANT JUEGOS ]]*salidas26[[#This Row],[PRECIO JUEGO]])</f>
        <v>180</v>
      </c>
      <c r="J535" s="1" t="n">
        <f aca="false">(salidas26[[#This Row],[CANT BARRAS]]*salidas26[[#This Row],[PRECIO BARRA]])</f>
        <v>0</v>
      </c>
      <c r="K535" s="1" t="n">
        <v>144</v>
      </c>
      <c r="L535" s="1" t="s">
        <v>533</v>
      </c>
      <c r="M535" s="1" t="s">
        <v>534</v>
      </c>
    </row>
    <row r="536" customFormat="false" ht="15" hidden="false" customHeight="false" outlineLevel="0" collapsed="false">
      <c r="A536" s="1" t="n">
        <v>285</v>
      </c>
      <c r="B536" s="1" t="n">
        <v>5027</v>
      </c>
      <c r="C53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KDL-47R505A/1B</v>
      </c>
      <c r="D536" s="75" t="n">
        <v>46071</v>
      </c>
      <c r="E53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53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150</v>
      </c>
      <c r="G536" s="1" t="n">
        <v>1</v>
      </c>
      <c r="I536" s="1" t="n">
        <f aca="false">(salidas26[[#This Row],[CANT JUEGOS ]]*salidas26[[#This Row],[PRECIO JUEGO]])</f>
        <v>150</v>
      </c>
      <c r="J536" s="1" t="n">
        <f aca="false">(salidas26[[#This Row],[CANT BARRAS]]*salidas26[[#This Row],[PRECIO BARRA]])</f>
        <v>0</v>
      </c>
      <c r="K536" s="1" t="n">
        <v>120</v>
      </c>
      <c r="L536" s="1" t="s">
        <v>533</v>
      </c>
      <c r="M536" s="1" t="s">
        <v>534</v>
      </c>
    </row>
    <row r="537" customFormat="false" ht="15" hidden="false" customHeight="false" outlineLevel="0" collapsed="false">
      <c r="A537" s="1" t="n">
        <v>286</v>
      </c>
      <c r="B537" s="1" t="n">
        <v>6022</v>
      </c>
      <c r="C53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SKYWORTH SUC9350Pro /10L</v>
      </c>
      <c r="D537" s="75" t="n">
        <v>46071</v>
      </c>
      <c r="E53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53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70</v>
      </c>
      <c r="G537" s="1" t="n">
        <v>1</v>
      </c>
      <c r="I537" s="1" t="n">
        <f aca="false">(salidas26[[#This Row],[CANT JUEGOS ]]*salidas26[[#This Row],[PRECIO JUEGO]])</f>
        <v>350</v>
      </c>
      <c r="J537" s="1" t="n">
        <f aca="false">(salidas26[[#This Row],[CANT BARRAS]]*salidas26[[#This Row],[PRECIO BARRA]])</f>
        <v>0</v>
      </c>
      <c r="K537" s="1" t="n">
        <v>280</v>
      </c>
      <c r="L537" s="1" t="s">
        <v>533</v>
      </c>
      <c r="M537" s="1" t="s">
        <v>534</v>
      </c>
    </row>
    <row r="538" customFormat="false" ht="15" hidden="false" customHeight="false" outlineLevel="0" collapsed="false">
      <c r="A538" s="1" t="n">
        <v>287</v>
      </c>
      <c r="B538" s="1" t="n">
        <v>6027</v>
      </c>
      <c r="C53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HISENSE K321UW/10B reemplazo 55 6L/3V/10B</v>
      </c>
      <c r="D538" s="75" t="n">
        <v>46071</v>
      </c>
      <c r="E53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53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28</v>
      </c>
      <c r="H538" s="1" t="n">
        <v>3</v>
      </c>
      <c r="I538" s="1" t="n">
        <f aca="false">(salidas26[[#This Row],[CANT JUEGOS ]]*salidas26[[#This Row],[PRECIO JUEGO]])</f>
        <v>0</v>
      </c>
      <c r="J538" s="1" t="n">
        <f aca="false">(salidas26[[#This Row],[CANT BARRAS]]*salidas26[[#This Row],[PRECIO BARRA]])</f>
        <v>84</v>
      </c>
      <c r="K538" s="1" t="n">
        <v>90</v>
      </c>
      <c r="L538" s="1" t="s">
        <v>502</v>
      </c>
      <c r="M538" s="1" t="s">
        <v>579</v>
      </c>
    </row>
    <row r="539" customFormat="false" ht="15" hidden="false" customHeight="false" outlineLevel="0" collapsed="false">
      <c r="A539" s="1" t="n">
        <v>292</v>
      </c>
      <c r="B539" s="1" t="n">
        <v>6006</v>
      </c>
      <c r="C53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SKYWORTH TOSHIBA /3B</v>
      </c>
      <c r="D539" s="75" t="n">
        <v>46071</v>
      </c>
      <c r="E53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140</v>
      </c>
      <c r="F53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46.6666666666667</v>
      </c>
      <c r="G539" s="1" t="n">
        <v>1</v>
      </c>
      <c r="I539" s="1" t="n">
        <f aca="false">(salidas26[[#This Row],[CANT JUEGOS ]]*salidas26[[#This Row],[PRECIO JUEGO]])</f>
        <v>140</v>
      </c>
      <c r="J539" s="1" t="n">
        <f aca="false">(salidas26[[#This Row],[CANT BARRAS]]*salidas26[[#This Row],[PRECIO BARRA]])</f>
        <v>0</v>
      </c>
      <c r="K539" s="1" t="n">
        <v>112</v>
      </c>
      <c r="L539" s="1" t="s">
        <v>533</v>
      </c>
      <c r="M539" s="1" t="s">
        <v>664</v>
      </c>
    </row>
    <row r="540" customFormat="false" ht="15" hidden="false" customHeight="false" outlineLevel="0" collapsed="false">
      <c r="A540" s="1" t="n">
        <v>289</v>
      </c>
      <c r="B540" s="1" t="n">
        <v>8123</v>
      </c>
      <c r="C54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3V/2W S/C  DIF. 180º</v>
      </c>
      <c r="D540" s="75" t="n">
        <v>46071</v>
      </c>
      <c r="E54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54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540" s="1" t="n">
        <v>32</v>
      </c>
      <c r="I540" s="1" t="n">
        <f aca="false">(salidas26[[#This Row],[CANT JUEGOS ]]*salidas26[[#This Row],[PRECIO JUEGO]])</f>
        <v>0</v>
      </c>
      <c r="J540" s="1" t="n">
        <f aca="false">(salidas26[[#This Row],[CANT BARRAS]]*salidas26[[#This Row],[PRECIO BARRA]])</f>
        <v>112</v>
      </c>
      <c r="K540" s="1" t="n">
        <v>110</v>
      </c>
      <c r="L540" s="1" t="s">
        <v>502</v>
      </c>
      <c r="M540" s="1" t="s">
        <v>518</v>
      </c>
    </row>
    <row r="541" customFormat="false" ht="15" hidden="false" customHeight="false" outlineLevel="0" collapsed="false">
      <c r="A541" s="1" t="n">
        <v>290</v>
      </c>
      <c r="B541" s="1" t="n">
        <v>1012</v>
      </c>
      <c r="C54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32LB620B-32LF620B -3B/6V/6L</v>
      </c>
      <c r="D541" s="75" t="n">
        <v>46072</v>
      </c>
      <c r="E54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54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541" s="1" t="n">
        <v>2</v>
      </c>
      <c r="I541" s="1" t="n">
        <f aca="false">(salidas26[[#This Row],[CANT JUEGOS ]]*salidas26[[#This Row],[PRECIO JUEGO]])</f>
        <v>180</v>
      </c>
      <c r="J541" s="1" t="n">
        <f aca="false">(salidas26[[#This Row],[CANT BARRAS]]*salidas26[[#This Row],[PRECIO BARRA]])</f>
        <v>0</v>
      </c>
      <c r="K541" s="1" t="n">
        <v>144</v>
      </c>
      <c r="L541" s="1" t="s">
        <v>533</v>
      </c>
      <c r="M541" s="1" t="s">
        <v>657</v>
      </c>
    </row>
    <row r="542" customFormat="false" ht="15" hidden="false" customHeight="false" outlineLevel="0" collapsed="false">
      <c r="A542" s="1" t="n">
        <v>291</v>
      </c>
      <c r="B542" s="1" t="n">
        <v>7015</v>
      </c>
      <c r="C54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IRT 50604 9L  lupa 180 4B</v>
      </c>
      <c r="D542" s="75" t="n">
        <v>46072</v>
      </c>
      <c r="E54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54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542" s="1" t="n">
        <v>1</v>
      </c>
      <c r="I542" s="1" t="n">
        <f aca="false">(salidas26[[#This Row],[CANT JUEGOS ]]*salidas26[[#This Row],[PRECIO JUEGO]])</f>
        <v>200</v>
      </c>
      <c r="J542" s="1" t="n">
        <f aca="false">(salidas26[[#This Row],[CANT BARRAS]]*salidas26[[#This Row],[PRECIO BARRA]])</f>
        <v>0</v>
      </c>
      <c r="K542" s="1" t="n">
        <v>160</v>
      </c>
      <c r="L542" s="1" t="s">
        <v>533</v>
      </c>
      <c r="M542" s="1" t="s">
        <v>657</v>
      </c>
    </row>
    <row r="543" customFormat="false" ht="15" hidden="false" customHeight="false" outlineLevel="0" collapsed="false">
      <c r="A543" s="1" t="n">
        <v>292</v>
      </c>
      <c r="B543" s="1" t="n">
        <v>2000</v>
      </c>
      <c r="C54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D543" s="75" t="n">
        <v>46072</v>
      </c>
      <c r="E54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54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543" s="1" t="n">
        <v>1</v>
      </c>
      <c r="I543" s="1" t="n">
        <f aca="false">(salidas26[[#This Row],[CANT JUEGOS ]]*salidas26[[#This Row],[PRECIO JUEGO]])</f>
        <v>80</v>
      </c>
      <c r="J543" s="1" t="n">
        <f aca="false">(salidas26[[#This Row],[CANT BARRAS]]*salidas26[[#This Row],[PRECIO BARRA]])</f>
        <v>0</v>
      </c>
      <c r="K543" s="1" t="n">
        <v>70</v>
      </c>
      <c r="L543" s="1" t="s">
        <v>502</v>
      </c>
      <c r="M543" s="1" t="s">
        <v>517</v>
      </c>
    </row>
    <row r="544" customFormat="false" ht="15" hidden="false" customHeight="false" outlineLevel="0" collapsed="false">
      <c r="A544" s="1" t="n">
        <v>293</v>
      </c>
      <c r="B544" s="1" t="n">
        <v>8015</v>
      </c>
      <c r="C54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544" s="75" t="n">
        <v>46072</v>
      </c>
      <c r="E54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54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544" s="1" t="n">
        <v>1</v>
      </c>
      <c r="I544" s="1" t="n">
        <f aca="false">(salidas26[[#This Row],[CANT JUEGOS ]]*salidas26[[#This Row],[PRECIO JUEGO]])</f>
        <v>60</v>
      </c>
      <c r="J544" s="1" t="n">
        <f aca="false">(salidas26[[#This Row],[CANT BARRAS]]*salidas26[[#This Row],[PRECIO BARRA]])</f>
        <v>0</v>
      </c>
      <c r="K544" s="1" t="n">
        <v>60</v>
      </c>
      <c r="L544" s="1" t="s">
        <v>502</v>
      </c>
      <c r="M544" s="1" t="s">
        <v>517</v>
      </c>
    </row>
    <row r="545" customFormat="false" ht="15" hidden="false" customHeight="false" outlineLevel="0" collapsed="false">
      <c r="A545" s="1" t="n">
        <v>294</v>
      </c>
      <c r="B545" s="1" t="n">
        <v>6022</v>
      </c>
      <c r="C54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SKYWORTH SUC9350Pro /10L</v>
      </c>
      <c r="D545" s="75" t="n">
        <v>46072</v>
      </c>
      <c r="E54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54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70</v>
      </c>
      <c r="G545" s="1" t="n">
        <v>1</v>
      </c>
      <c r="I545" s="1" t="n">
        <f aca="false">(salidas26[[#This Row],[CANT JUEGOS ]]*salidas26[[#This Row],[PRECIO JUEGO]])</f>
        <v>350</v>
      </c>
      <c r="J545" s="1" t="n">
        <f aca="false">(salidas26[[#This Row],[CANT BARRAS]]*salidas26[[#This Row],[PRECIO BARRA]])</f>
        <v>0</v>
      </c>
      <c r="K545" s="1" t="n">
        <v>300</v>
      </c>
      <c r="L545" s="1" t="s">
        <v>533</v>
      </c>
      <c r="M545" s="1" t="s">
        <v>649</v>
      </c>
    </row>
    <row r="546" customFormat="false" ht="15" hidden="false" customHeight="false" outlineLevel="0" collapsed="false">
      <c r="A546" s="1" t="n">
        <v>295</v>
      </c>
      <c r="B546" s="1" t="n">
        <v>3001</v>
      </c>
      <c r="C54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32B7000 3B/10LED/3V DOBLE CONECTOR</v>
      </c>
      <c r="D546" s="75" t="n">
        <v>46072</v>
      </c>
      <c r="E54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100</v>
      </c>
      <c r="F54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546" s="1" t="n">
        <v>1</v>
      </c>
      <c r="I546" s="1" t="n">
        <f aca="false">(salidas26[[#This Row],[CANT JUEGOS ]]*salidas26[[#This Row],[PRECIO JUEGO]])</f>
        <v>100</v>
      </c>
      <c r="J546" s="1" t="n">
        <f aca="false">(salidas26[[#This Row],[CANT BARRAS]]*salidas26[[#This Row],[PRECIO BARRA]])</f>
        <v>0</v>
      </c>
      <c r="K546" s="1" t="n">
        <v>90</v>
      </c>
      <c r="L546" s="1" t="s">
        <v>502</v>
      </c>
      <c r="M546" s="1" t="s">
        <v>519</v>
      </c>
    </row>
    <row r="547" customFormat="false" ht="15" hidden="false" customHeight="false" outlineLevel="0" collapsed="false">
      <c r="A547" s="1" t="n">
        <v>296</v>
      </c>
      <c r="B547" s="1" t="n">
        <v>2029</v>
      </c>
      <c r="C54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UN43AU8000-43BU8000/2B</v>
      </c>
      <c r="D547" s="75" t="n">
        <v>46072</v>
      </c>
      <c r="E54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54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110</v>
      </c>
      <c r="G547" s="1" t="n">
        <v>1</v>
      </c>
      <c r="I547" s="1" t="n">
        <f aca="false">(salidas26[[#This Row],[CANT JUEGOS ]]*salidas26[[#This Row],[PRECIO JUEGO]])</f>
        <v>220</v>
      </c>
      <c r="J547" s="1" t="n">
        <f aca="false">(salidas26[[#This Row],[CANT BARRAS]]*salidas26[[#This Row],[PRECIO BARRA]])</f>
        <v>0</v>
      </c>
      <c r="K547" s="1" t="n">
        <v>200</v>
      </c>
      <c r="L547" s="1" t="s">
        <v>533</v>
      </c>
      <c r="M547" s="1" t="s">
        <v>659</v>
      </c>
    </row>
    <row r="548" customFormat="false" ht="15" hidden="false" customHeight="false" outlineLevel="0" collapsed="false">
      <c r="A548" s="1" t="n">
        <v>297</v>
      </c>
      <c r="B548" s="1" t="n">
        <v>6009</v>
      </c>
      <c r="C54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L4700 TOSHIBA/6B (180 Bs) -43UJ-6200/LG/8B (200 BS)</v>
      </c>
      <c r="D548" s="75" t="n">
        <v>46072</v>
      </c>
      <c r="E54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54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H548" s="1" t="n">
        <v>6</v>
      </c>
      <c r="I548" s="1" t="n">
        <f aca="false">(salidas26[[#This Row],[CANT JUEGOS ]]*salidas26[[#This Row],[PRECIO JUEGO]])</f>
        <v>0</v>
      </c>
      <c r="J548" s="1" t="n">
        <f aca="false">(salidas26[[#This Row],[CANT BARRAS]]*salidas26[[#This Row],[PRECIO BARRA]])</f>
        <v>135</v>
      </c>
      <c r="K548" s="1" t="n">
        <v>150</v>
      </c>
      <c r="L548" s="1" t="s">
        <v>502</v>
      </c>
      <c r="M548" s="1" t="s">
        <v>518</v>
      </c>
    </row>
    <row r="549" customFormat="false" ht="15" hidden="false" customHeight="false" outlineLevel="0" collapsed="false">
      <c r="A549" s="1" t="n">
        <v>298</v>
      </c>
      <c r="B549" s="1" t="n">
        <v>7015</v>
      </c>
      <c r="C54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IRT 50604 9L  lupa 180 4B</v>
      </c>
      <c r="D549" s="75" t="n">
        <v>46072</v>
      </c>
      <c r="E54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54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549" s="1" t="n">
        <v>1</v>
      </c>
      <c r="I549" s="1" t="n">
        <f aca="false">(salidas26[[#This Row],[CANT JUEGOS ]]*salidas26[[#This Row],[PRECIO JUEGO]])</f>
        <v>200</v>
      </c>
      <c r="J549" s="1" t="n">
        <f aca="false">(salidas26[[#This Row],[CANT BARRAS]]*salidas26[[#This Row],[PRECIO BARRA]])</f>
        <v>0</v>
      </c>
      <c r="K549" s="1" t="n">
        <v>160</v>
      </c>
      <c r="L549" s="1" t="s">
        <v>533</v>
      </c>
      <c r="M549" s="1" t="s">
        <v>534</v>
      </c>
    </row>
    <row r="550" customFormat="false" ht="15" hidden="false" customHeight="false" outlineLevel="0" collapsed="false">
      <c r="A550" s="1" t="n">
        <v>299</v>
      </c>
      <c r="B550" s="1" t="n">
        <v>6018</v>
      </c>
      <c r="C55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HISENSE K321VW  6L/11B</v>
      </c>
      <c r="D550" s="75" t="n">
        <v>46072</v>
      </c>
      <c r="E55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55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25.4545454545455</v>
      </c>
      <c r="G550" s="1" t="n">
        <v>1</v>
      </c>
      <c r="I550" s="1" t="n">
        <f aca="false">(salidas26[[#This Row],[CANT JUEGOS ]]*salidas26[[#This Row],[PRECIO JUEGO]])</f>
        <v>280</v>
      </c>
      <c r="J550" s="1" t="n">
        <f aca="false">(salidas26[[#This Row],[CANT BARRAS]]*salidas26[[#This Row],[PRECIO BARRA]])</f>
        <v>0</v>
      </c>
      <c r="K550" s="1" t="n">
        <v>220</v>
      </c>
      <c r="L550" s="1" t="s">
        <v>502</v>
      </c>
      <c r="M550" s="1" t="s">
        <v>642</v>
      </c>
    </row>
    <row r="551" customFormat="false" ht="15" hidden="false" customHeight="false" outlineLevel="0" collapsed="false">
      <c r="A551" s="1" t="n">
        <v>300</v>
      </c>
      <c r="B551" s="1" t="n">
        <v>8033</v>
      </c>
      <c r="C55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551" s="75" t="n">
        <v>46072</v>
      </c>
      <c r="E55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55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551" s="1" t="n">
        <v>1</v>
      </c>
      <c r="I551" s="1" t="n">
        <f aca="false">(salidas26[[#This Row],[CANT JUEGOS ]]*salidas26[[#This Row],[PRECIO JUEGO]])</f>
        <v>150</v>
      </c>
      <c r="J551" s="1" t="n">
        <f aca="false">(salidas26[[#This Row],[CANT BARRAS]]*salidas26[[#This Row],[PRECIO BARRA]])</f>
        <v>0</v>
      </c>
      <c r="K551" s="1" t="n">
        <v>150</v>
      </c>
      <c r="L551" s="1" t="s">
        <v>502</v>
      </c>
      <c r="M551" s="1" t="s">
        <v>665</v>
      </c>
    </row>
    <row r="552" customFormat="false" ht="15" hidden="false" customHeight="false" outlineLevel="0" collapsed="false">
      <c r="A552" s="1" t="n">
        <v>301</v>
      </c>
      <c r="B552" s="1" t="n">
        <v>8098</v>
      </c>
      <c r="C55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PREMIER 11B/6L </v>
      </c>
      <c r="D552" s="75" t="n">
        <v>46072</v>
      </c>
      <c r="E55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420</v>
      </c>
      <c r="F55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552" s="1" t="n">
        <v>1</v>
      </c>
      <c r="I552" s="1" t="n">
        <f aca="false">(salidas26[[#This Row],[CANT JUEGOS ]]*salidas26[[#This Row],[PRECIO JUEGO]])</f>
        <v>420</v>
      </c>
      <c r="J552" s="1" t="n">
        <f aca="false">(salidas26[[#This Row],[CANT BARRAS]]*salidas26[[#This Row],[PRECIO BARRA]])</f>
        <v>0</v>
      </c>
      <c r="K552" s="1" t="n">
        <v>350</v>
      </c>
      <c r="L552" s="1" t="s">
        <v>502</v>
      </c>
      <c r="M552" s="1" t="s">
        <v>503</v>
      </c>
    </row>
    <row r="553" customFormat="false" ht="31.3" hidden="false" customHeight="false" outlineLevel="0" collapsed="false">
      <c r="A553" s="1" t="n">
        <v>307</v>
      </c>
      <c r="B553" s="1" t="n">
        <v>4000</v>
      </c>
      <c r="C553" s="76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 V780-TCL 5L/6V -2B
MI L32M5-5ASP</v>
      </c>
      <c r="D553" s="75" t="n">
        <v>46072</v>
      </c>
      <c r="E55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55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553" s="1" t="n">
        <v>1</v>
      </c>
      <c r="I553" s="1" t="n">
        <f aca="false">(salidas26[[#This Row],[CANT JUEGOS ]]*salidas26[[#This Row],[PRECIO JUEGO]])</f>
        <v>60</v>
      </c>
      <c r="J553" s="1" t="n">
        <f aca="false">(salidas26[[#This Row],[CANT BARRAS]]*salidas26[[#This Row],[PRECIO BARRA]])</f>
        <v>0</v>
      </c>
      <c r="K553" s="1" t="n">
        <v>48</v>
      </c>
      <c r="L553" s="1" t="s">
        <v>533</v>
      </c>
      <c r="M553" s="1" t="s">
        <v>508</v>
      </c>
    </row>
    <row r="554" customFormat="false" ht="31.3" hidden="false" customHeight="false" outlineLevel="0" collapsed="false">
      <c r="A554" s="1" t="n">
        <v>302</v>
      </c>
      <c r="B554" s="1" t="n">
        <v>4000</v>
      </c>
      <c r="C554" s="76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 V780-TCL 5L/6V -2B
MI L32M5-5ASP</v>
      </c>
      <c r="D554" s="75" t="n">
        <v>46072</v>
      </c>
      <c r="E55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55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554" s="1" t="n">
        <v>1</v>
      </c>
      <c r="I554" s="1" t="n">
        <f aca="false">(salidas26[[#This Row],[CANT JUEGOS ]]*salidas26[[#This Row],[PRECIO JUEGO]])</f>
        <v>60</v>
      </c>
      <c r="J554" s="1" t="n">
        <f aca="false">(salidas26[[#This Row],[CANT BARRAS]]*salidas26[[#This Row],[PRECIO BARRA]])</f>
        <v>0</v>
      </c>
      <c r="K554" s="1" t="n">
        <v>60</v>
      </c>
      <c r="L554" s="1" t="s">
        <v>533</v>
      </c>
      <c r="M554" s="1" t="s">
        <v>666</v>
      </c>
    </row>
    <row r="555" customFormat="false" ht="15" hidden="false" customHeight="false" outlineLevel="0" collapsed="false">
      <c r="A555" s="1" t="n">
        <v>303</v>
      </c>
      <c r="B555" s="1" t="n">
        <v>3006</v>
      </c>
      <c r="C55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42B8000 4B/15LEDS/3V</v>
      </c>
      <c r="D555" s="75" t="n">
        <v>46072</v>
      </c>
      <c r="E55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55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45</v>
      </c>
      <c r="G555" s="1" t="n">
        <v>1</v>
      </c>
      <c r="I555" s="1" t="n">
        <f aca="false">(salidas26[[#This Row],[CANT JUEGOS ]]*salidas26[[#This Row],[PRECIO JUEGO]])</f>
        <v>180</v>
      </c>
      <c r="J555" s="1" t="n">
        <f aca="false">(salidas26[[#This Row],[CANT BARRAS]]*salidas26[[#This Row],[PRECIO BARRA]])</f>
        <v>0</v>
      </c>
      <c r="K555" s="1" t="n">
        <v>170</v>
      </c>
      <c r="L555" s="1" t="s">
        <v>502</v>
      </c>
      <c r="M555" s="1" t="s">
        <v>667</v>
      </c>
    </row>
    <row r="556" customFormat="false" ht="15" hidden="false" customHeight="false" outlineLevel="0" collapsed="false">
      <c r="A556" s="1" t="n">
        <v>304</v>
      </c>
      <c r="B556" s="1" t="n">
        <v>1003</v>
      </c>
      <c r="C55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LA -3B/3V/7-8-7L</v>
      </c>
      <c r="D556" s="75" t="n">
        <v>46072</v>
      </c>
      <c r="E55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55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556" s="1" t="n">
        <v>1</v>
      </c>
      <c r="I556" s="1" t="n">
        <f aca="false">(salidas26[[#This Row],[CANT JUEGOS ]]*salidas26[[#This Row],[PRECIO JUEGO]])</f>
        <v>80</v>
      </c>
      <c r="J556" s="1" t="n">
        <f aca="false">(salidas26[[#This Row],[CANT BARRAS]]*salidas26[[#This Row],[PRECIO BARRA]])</f>
        <v>0</v>
      </c>
      <c r="K556" s="1" t="n">
        <v>80</v>
      </c>
      <c r="L556" s="1" t="s">
        <v>601</v>
      </c>
      <c r="M556" s="1" t="s">
        <v>668</v>
      </c>
    </row>
    <row r="557" customFormat="false" ht="15" hidden="false" customHeight="false" outlineLevel="0" collapsed="false">
      <c r="A557" s="1" t="n">
        <v>305</v>
      </c>
      <c r="B557" s="1" t="n">
        <v>2015</v>
      </c>
      <c r="C55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UN40FH5005 3B/2C/1R/13-12-13</v>
      </c>
      <c r="D557" s="75" t="n">
        <v>46072</v>
      </c>
      <c r="E55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55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557" s="1" t="n">
        <v>1</v>
      </c>
      <c r="I557" s="1" t="n">
        <f aca="false">(salidas26[[#This Row],[CANT JUEGOS ]]*salidas26[[#This Row],[PRECIO JUEGO]])</f>
        <v>160</v>
      </c>
      <c r="J557" s="1" t="n">
        <f aca="false">(salidas26[[#This Row],[CANT BARRAS]]*salidas26[[#This Row],[PRECIO BARRA]])</f>
        <v>0</v>
      </c>
      <c r="K557" s="1" t="n">
        <v>150</v>
      </c>
      <c r="L557" s="1" t="s">
        <v>502</v>
      </c>
      <c r="M557" s="1" t="s">
        <v>518</v>
      </c>
    </row>
    <row r="558" customFormat="false" ht="15" hidden="false" customHeight="false" outlineLevel="0" collapsed="false">
      <c r="A558" s="1" t="n">
        <v>306</v>
      </c>
      <c r="B558" s="1" t="n">
        <v>6034</v>
      </c>
      <c r="C55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HISENSE A6GSA 6B/8L/3V</v>
      </c>
      <c r="D558" s="75" t="n">
        <v>46072</v>
      </c>
      <c r="E55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380</v>
      </c>
      <c r="F55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63.3333333333333</v>
      </c>
      <c r="G558" s="1" t="n">
        <v>1</v>
      </c>
      <c r="I558" s="1" t="n">
        <f aca="false">(salidas26[[#This Row],[CANT JUEGOS ]]*salidas26[[#This Row],[PRECIO JUEGO]])</f>
        <v>380</v>
      </c>
      <c r="J558" s="1" t="n">
        <f aca="false">(salidas26[[#This Row],[CANT BARRAS]]*salidas26[[#This Row],[PRECIO BARRA]])</f>
        <v>0</v>
      </c>
      <c r="K558" s="1" t="n">
        <v>350</v>
      </c>
      <c r="L558" s="1" t="s">
        <v>533</v>
      </c>
      <c r="M558" s="1" t="s">
        <v>669</v>
      </c>
    </row>
    <row r="559" customFormat="false" ht="15" hidden="false" customHeight="false" outlineLevel="0" collapsed="false">
      <c r="A559" s="1" t="n">
        <v>307</v>
      </c>
      <c r="B559" s="1" t="n">
        <v>2000</v>
      </c>
      <c r="C55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D559" s="75" t="n">
        <v>46072</v>
      </c>
      <c r="E55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55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559" s="1" t="n">
        <v>1</v>
      </c>
      <c r="I559" s="1" t="n">
        <f aca="false">(salidas26[[#This Row],[CANT JUEGOS ]]*salidas26[[#This Row],[PRECIO JUEGO]])</f>
        <v>80</v>
      </c>
      <c r="J559" s="1" t="n">
        <f aca="false">(salidas26[[#This Row],[CANT BARRAS]]*salidas26[[#This Row],[PRECIO BARRA]])</f>
        <v>0</v>
      </c>
      <c r="K559" s="1" t="n">
        <v>80</v>
      </c>
      <c r="L559" s="1" t="s">
        <v>533</v>
      </c>
      <c r="M559" s="1" t="s">
        <v>670</v>
      </c>
    </row>
    <row r="560" customFormat="false" ht="15" hidden="false" customHeight="false" outlineLevel="0" collapsed="false">
      <c r="A560" s="1" t="n">
        <v>308</v>
      </c>
      <c r="B560" s="1" t="n">
        <v>2063</v>
      </c>
      <c r="C56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UN50NU7100./2B EDGE</v>
      </c>
      <c r="D560" s="75" t="n">
        <v>46073</v>
      </c>
      <c r="E56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56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90</v>
      </c>
      <c r="G560" s="1" t="n">
        <v>1</v>
      </c>
      <c r="I560" s="1" t="n">
        <f aca="false">(salidas26[[#This Row],[CANT JUEGOS ]]*salidas26[[#This Row],[PRECIO JUEGO]])</f>
        <v>180</v>
      </c>
      <c r="J560" s="1" t="n">
        <f aca="false">(salidas26[[#This Row],[CANT BARRAS]]*salidas26[[#This Row],[PRECIO BARRA]])</f>
        <v>0</v>
      </c>
      <c r="K560" s="1" t="n">
        <v>160</v>
      </c>
      <c r="L560" s="1" t="s">
        <v>502</v>
      </c>
      <c r="M560" s="1" t="s">
        <v>671</v>
      </c>
    </row>
    <row r="561" customFormat="false" ht="15" hidden="false" customHeight="false" outlineLevel="0" collapsed="false">
      <c r="A561" s="1" t="n">
        <v>309</v>
      </c>
      <c r="B561" s="1" t="n">
        <v>6009</v>
      </c>
      <c r="C56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L4700 TOSHIBA/6B (180 Bs) -43UJ-6200/LG/8B (200 BS)</v>
      </c>
      <c r="D561" s="75" t="n">
        <v>46072</v>
      </c>
      <c r="E56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56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H561" s="1" t="n">
        <v>8</v>
      </c>
      <c r="I561" s="1" t="n">
        <f aca="false">(salidas26[[#This Row],[CANT JUEGOS ]]*salidas26[[#This Row],[PRECIO JUEGO]])</f>
        <v>0</v>
      </c>
      <c r="J561" s="1" t="n">
        <f aca="false">(salidas26[[#This Row],[CANT BARRAS]]*salidas26[[#This Row],[PRECIO BARRA]])</f>
        <v>180</v>
      </c>
      <c r="K561" s="1" t="n">
        <v>180</v>
      </c>
      <c r="L561" s="1" t="s">
        <v>533</v>
      </c>
      <c r="M561" s="1" t="s">
        <v>546</v>
      </c>
    </row>
    <row r="562" customFormat="false" ht="15" hidden="false" customHeight="false" outlineLevel="0" collapsed="false">
      <c r="A562" s="1" t="n">
        <v>310</v>
      </c>
      <c r="B562" s="1" t="n">
        <v>6009</v>
      </c>
      <c r="C56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L4700 TOSHIBA/6B (180 Bs) -43UJ-6200/LG/8B (200 BS)</v>
      </c>
      <c r="D562" s="75" t="n">
        <v>46072</v>
      </c>
      <c r="E56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56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H562" s="1" t="n">
        <v>7</v>
      </c>
      <c r="I562" s="1" t="n">
        <f aca="false">(salidas26[[#This Row],[CANT JUEGOS ]]*salidas26[[#This Row],[PRECIO JUEGO]])</f>
        <v>0</v>
      </c>
      <c r="J562" s="1" t="n">
        <f aca="false">(salidas26[[#This Row],[CANT BARRAS]]*salidas26[[#This Row],[PRECIO BARRA]])</f>
        <v>157.5</v>
      </c>
      <c r="M562" s="1" t="s">
        <v>672</v>
      </c>
    </row>
    <row r="563" customFormat="false" ht="15" hidden="false" customHeight="false" outlineLevel="0" collapsed="false">
      <c r="A563" s="1" t="n">
        <v>311</v>
      </c>
      <c r="B563" s="1" t="n">
        <v>2082</v>
      </c>
      <c r="C56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QN55Q60A</v>
      </c>
      <c r="D563" s="75" t="n">
        <v>46073</v>
      </c>
      <c r="E56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56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200</v>
      </c>
      <c r="G563" s="1" t="n">
        <v>1</v>
      </c>
      <c r="I563" s="1" t="n">
        <f aca="false">(salidas26[[#This Row],[CANT JUEGOS ]]*salidas26[[#This Row],[PRECIO JUEGO]])</f>
        <v>400</v>
      </c>
      <c r="J563" s="1" t="n">
        <f aca="false">(salidas26[[#This Row],[CANT BARRAS]]*salidas26[[#This Row],[PRECIO BARRA]])</f>
        <v>0</v>
      </c>
      <c r="K563" s="1" t="n">
        <v>350</v>
      </c>
      <c r="L563" s="1" t="s">
        <v>533</v>
      </c>
      <c r="M563" s="1" t="s">
        <v>673</v>
      </c>
    </row>
    <row r="564" customFormat="false" ht="15" hidden="false" customHeight="false" outlineLevel="0" collapsed="false">
      <c r="A564" s="1" t="n">
        <v>312</v>
      </c>
      <c r="B564" s="1" t="n">
        <v>7012</v>
      </c>
      <c r="C56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IRT 50604  9L/ 4B</v>
      </c>
      <c r="D564" s="75" t="n">
        <v>46073</v>
      </c>
      <c r="E56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56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564" s="1" t="n">
        <v>1</v>
      </c>
      <c r="I564" s="1" t="n">
        <f aca="false">(salidas26[[#This Row],[CANT JUEGOS ]]*salidas26[[#This Row],[PRECIO JUEGO]])</f>
        <v>200</v>
      </c>
      <c r="J564" s="1" t="n">
        <f aca="false">(salidas26[[#This Row],[CANT BARRAS]]*salidas26[[#This Row],[PRECIO BARRA]])</f>
        <v>0</v>
      </c>
      <c r="K564" s="1" t="n">
        <v>200</v>
      </c>
      <c r="L564" s="1" t="s">
        <v>533</v>
      </c>
      <c r="M564" s="1" t="s">
        <v>519</v>
      </c>
    </row>
    <row r="565" customFormat="false" ht="15" hidden="false" customHeight="false" outlineLevel="0" collapsed="false">
      <c r="A565" s="1" t="n">
        <v>313</v>
      </c>
      <c r="B565" s="1" t="n">
        <v>2003</v>
      </c>
      <c r="C56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UN32F5000-SAMSUNG 5B</v>
      </c>
      <c r="D565" s="75" t="n">
        <v>46073</v>
      </c>
      <c r="E56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130</v>
      </c>
      <c r="F56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</v>
      </c>
      <c r="G565" s="1" t="n">
        <v>1</v>
      </c>
      <c r="H565" s="1" t="n">
        <v>2</v>
      </c>
      <c r="I565" s="1" t="n">
        <f aca="false">(salidas26[[#This Row],[CANT JUEGOS ]]*salidas26[[#This Row],[PRECIO JUEGO]])</f>
        <v>130</v>
      </c>
      <c r="J565" s="1" t="n">
        <f aca="false">(salidas26[[#This Row],[CANT BARRAS]]*salidas26[[#This Row],[PRECIO BARRA]])</f>
        <v>52</v>
      </c>
      <c r="K565" s="1" t="n">
        <v>50</v>
      </c>
      <c r="L565" s="1" t="s">
        <v>502</v>
      </c>
      <c r="M565" s="1" t="s">
        <v>573</v>
      </c>
    </row>
    <row r="566" customFormat="false" ht="31.3" hidden="false" customHeight="false" outlineLevel="0" collapsed="false">
      <c r="A566" s="1" t="n">
        <v>314</v>
      </c>
      <c r="B566" s="1" t="n">
        <v>4000</v>
      </c>
      <c r="C566" s="76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 V780-TCL 5L/6V -2B
MI L32M5-5ASP</v>
      </c>
      <c r="D566" s="75" t="n">
        <v>46073</v>
      </c>
      <c r="E56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56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566" s="1" t="n">
        <v>2</v>
      </c>
      <c r="I566" s="1" t="n">
        <f aca="false">(salidas26[[#This Row],[CANT JUEGOS ]]*salidas26[[#This Row],[PRECIO JUEGO]])</f>
        <v>120</v>
      </c>
      <c r="J566" s="1" t="n">
        <f aca="false">(salidas26[[#This Row],[CANT BARRAS]]*salidas26[[#This Row],[PRECIO BARRA]])</f>
        <v>0</v>
      </c>
      <c r="K566" s="1" t="n">
        <v>96</v>
      </c>
      <c r="L566" s="1" t="s">
        <v>533</v>
      </c>
      <c r="M566" s="1" t="s">
        <v>534</v>
      </c>
    </row>
    <row r="567" customFormat="false" ht="15" hidden="false" customHeight="false" outlineLevel="0" collapsed="false">
      <c r="A567" s="1" t="n">
        <v>315</v>
      </c>
      <c r="B567" s="1" t="n">
        <v>4010</v>
      </c>
      <c r="C56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DAEWO S780 3B/8LED/3V</v>
      </c>
      <c r="D567" s="75" t="n">
        <v>46073</v>
      </c>
      <c r="E56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56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567" s="1" t="n">
        <v>1</v>
      </c>
      <c r="I567" s="1" t="n">
        <f aca="false">(salidas26[[#This Row],[CANT JUEGOS ]]*salidas26[[#This Row],[PRECIO JUEGO]])</f>
        <v>160</v>
      </c>
      <c r="J567" s="1" t="n">
        <f aca="false">(salidas26[[#This Row],[CANT BARRAS]]*salidas26[[#This Row],[PRECIO BARRA]])</f>
        <v>0</v>
      </c>
      <c r="K567" s="1" t="n">
        <v>128</v>
      </c>
      <c r="L567" s="1" t="s">
        <v>533</v>
      </c>
      <c r="M567" s="1" t="s">
        <v>534</v>
      </c>
    </row>
    <row r="568" customFormat="false" ht="15" hidden="false" customHeight="false" outlineLevel="0" collapsed="false">
      <c r="A568" s="1" t="n">
        <v>316</v>
      </c>
      <c r="B568" s="1" t="n">
        <v>1123</v>
      </c>
      <c r="C56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UB8300/2B</v>
      </c>
      <c r="D568" s="75" t="n">
        <v>46073</v>
      </c>
      <c r="E56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320</v>
      </c>
      <c r="F56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160</v>
      </c>
      <c r="G568" s="1" t="n">
        <v>1</v>
      </c>
      <c r="I568" s="1" t="n">
        <f aca="false">(salidas26[[#This Row],[CANT JUEGOS ]]*salidas26[[#This Row],[PRECIO JUEGO]])</f>
        <v>320</v>
      </c>
      <c r="J568" s="1" t="n">
        <f aca="false">(salidas26[[#This Row],[CANT BARRAS]]*salidas26[[#This Row],[PRECIO BARRA]])</f>
        <v>0</v>
      </c>
      <c r="K568" s="1" t="n">
        <v>255</v>
      </c>
      <c r="L568" s="1" t="s">
        <v>533</v>
      </c>
      <c r="M568" s="1" t="s">
        <v>534</v>
      </c>
    </row>
    <row r="569" customFormat="false" ht="15" hidden="false" customHeight="false" outlineLevel="0" collapsed="false">
      <c r="A569" s="1" t="n">
        <v>317</v>
      </c>
      <c r="B569" s="1" t="n">
        <v>1003</v>
      </c>
      <c r="C56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LA -3B/3V/7-8-7L</v>
      </c>
      <c r="D569" s="75" t="n">
        <v>46073</v>
      </c>
      <c r="E56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56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569" s="1" t="n">
        <v>1</v>
      </c>
      <c r="I569" s="1" t="n">
        <f aca="false">(salidas26[[#This Row],[CANT JUEGOS ]]*salidas26[[#This Row],[PRECIO JUEGO]])</f>
        <v>80</v>
      </c>
      <c r="J569" s="1" t="n">
        <f aca="false">(salidas26[[#This Row],[CANT BARRAS]]*salidas26[[#This Row],[PRECIO BARRA]])</f>
        <v>0</v>
      </c>
      <c r="K569" s="1" t="n">
        <v>90</v>
      </c>
      <c r="L569" s="1" t="s">
        <v>502</v>
      </c>
      <c r="M569" s="1" t="s">
        <v>557</v>
      </c>
    </row>
    <row r="570" customFormat="false" ht="15" hidden="false" customHeight="false" outlineLevel="0" collapsed="false">
      <c r="A570" s="1" t="n">
        <v>318</v>
      </c>
      <c r="B570" s="1" t="n">
        <v>1003</v>
      </c>
      <c r="C57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LA -3B/3V/7-8-7L</v>
      </c>
      <c r="D570" s="75" t="n">
        <v>46073</v>
      </c>
      <c r="E57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57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570" s="1" t="n">
        <v>1</v>
      </c>
      <c r="I570" s="1" t="n">
        <f aca="false">(salidas26[[#This Row],[CANT JUEGOS ]]*salidas26[[#This Row],[PRECIO JUEGO]])</f>
        <v>80</v>
      </c>
      <c r="J570" s="1" t="n">
        <f aca="false">(salidas26[[#This Row],[CANT BARRAS]]*salidas26[[#This Row],[PRECIO BARRA]])</f>
        <v>0</v>
      </c>
      <c r="K570" s="1" t="n">
        <v>90</v>
      </c>
      <c r="L570" s="1" t="s">
        <v>533</v>
      </c>
      <c r="M570" s="1" t="s">
        <v>510</v>
      </c>
    </row>
    <row r="571" customFormat="false" ht="15" hidden="false" customHeight="false" outlineLevel="0" collapsed="false">
      <c r="A571" s="1" t="n">
        <v>319</v>
      </c>
      <c r="B571" s="1" t="n">
        <v>1018</v>
      </c>
      <c r="C57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LH 5100-2B/5L</v>
      </c>
      <c r="D571" s="75" t="n">
        <v>46073</v>
      </c>
      <c r="E57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57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571" s="1" t="n">
        <v>1</v>
      </c>
      <c r="I571" s="1" t="n">
        <f aca="false">(salidas26[[#This Row],[CANT JUEGOS ]]*salidas26[[#This Row],[PRECIO JUEGO]])</f>
        <v>80</v>
      </c>
      <c r="J571" s="1" t="n">
        <f aca="false">(salidas26[[#This Row],[CANT BARRAS]]*salidas26[[#This Row],[PRECIO BARRA]])</f>
        <v>0</v>
      </c>
      <c r="K571" s="1" t="n">
        <v>80</v>
      </c>
      <c r="L571" s="1" t="s">
        <v>533</v>
      </c>
      <c r="M571" s="1" t="s">
        <v>524</v>
      </c>
    </row>
    <row r="572" customFormat="false" ht="15" hidden="false" customHeight="false" outlineLevel="0" collapsed="false">
      <c r="A572" s="1" t="n">
        <v>320</v>
      </c>
      <c r="B572" s="1" t="n">
        <v>5010</v>
      </c>
      <c r="C57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SONY/AOC LE40D3142 -4B/9L</v>
      </c>
      <c r="D572" s="75" t="n">
        <v>46073</v>
      </c>
      <c r="E57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57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45</v>
      </c>
      <c r="G572" s="1" t="n">
        <v>1</v>
      </c>
      <c r="I572" s="1" t="n">
        <f aca="false">(salidas26[[#This Row],[CANT JUEGOS ]]*salidas26[[#This Row],[PRECIO JUEGO]])</f>
        <v>180</v>
      </c>
      <c r="J572" s="1" t="n">
        <f aca="false">(salidas26[[#This Row],[CANT BARRAS]]*salidas26[[#This Row],[PRECIO BARRA]])</f>
        <v>0</v>
      </c>
      <c r="K572" s="1" t="n">
        <v>180</v>
      </c>
      <c r="L572" s="1" t="s">
        <v>502</v>
      </c>
      <c r="M572" s="1" t="s">
        <v>674</v>
      </c>
    </row>
    <row r="573" customFormat="false" ht="15" hidden="false" customHeight="false" outlineLevel="0" collapsed="false">
      <c r="A573" s="1" t="n">
        <v>321</v>
      </c>
      <c r="B573" s="1" t="n">
        <v>7002</v>
      </c>
      <c r="C57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F1000 KONKA 6L/LED3250HDD/CRONW TV3277D IRT</v>
      </c>
      <c r="D573" s="75" t="n">
        <v>46073</v>
      </c>
      <c r="E57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57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573" s="1" t="n">
        <v>1</v>
      </c>
      <c r="I573" s="1" t="n">
        <f aca="false">(salidas26[[#This Row],[CANT JUEGOS ]]*salidas26[[#This Row],[PRECIO JUEGO]])</f>
        <v>70</v>
      </c>
      <c r="J573" s="1" t="n">
        <f aca="false">(salidas26[[#This Row],[CANT BARRAS]]*salidas26[[#This Row],[PRECIO BARRA]])</f>
        <v>0</v>
      </c>
      <c r="K573" s="1" t="n">
        <v>60</v>
      </c>
      <c r="L573" s="1" t="s">
        <v>533</v>
      </c>
      <c r="M573" s="1" t="s">
        <v>675</v>
      </c>
    </row>
    <row r="574" customFormat="false" ht="15" hidden="false" customHeight="false" outlineLevel="0" collapsed="false">
      <c r="A574" s="1" t="n">
        <v>322</v>
      </c>
      <c r="B574" s="1" t="n">
        <v>8126</v>
      </c>
      <c r="C57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6V/2W C/C DIF. 180º</v>
      </c>
      <c r="D574" s="75" t="n">
        <v>46074</v>
      </c>
      <c r="E57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57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574" s="1" t="n">
        <v>12</v>
      </c>
      <c r="I574" s="1" t="n">
        <f aca="false">(salidas26[[#This Row],[CANT JUEGOS ]]*salidas26[[#This Row],[PRECIO JUEGO]])</f>
        <v>0</v>
      </c>
      <c r="J574" s="1" t="n">
        <f aca="false">(salidas26[[#This Row],[CANT BARRAS]]*salidas26[[#This Row],[PRECIO BARRA]])</f>
        <v>42</v>
      </c>
      <c r="K574" s="1" t="n">
        <v>42</v>
      </c>
      <c r="L574" s="1" t="s">
        <v>502</v>
      </c>
      <c r="M574" s="1" t="s">
        <v>518</v>
      </c>
    </row>
    <row r="575" customFormat="false" ht="15" hidden="false" customHeight="false" outlineLevel="0" collapsed="false">
      <c r="A575" s="1" t="n">
        <v>323</v>
      </c>
      <c r="B575" s="1" t="n">
        <v>2075</v>
      </c>
      <c r="C57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UN55NU7100-UN55RU7100/2B EDGE</v>
      </c>
      <c r="D575" s="75" t="n">
        <v>46074</v>
      </c>
      <c r="E57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57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100</v>
      </c>
      <c r="G575" s="1" t="n">
        <v>1</v>
      </c>
      <c r="I575" s="1" t="n">
        <f aca="false">(salidas26[[#This Row],[CANT JUEGOS ]]*salidas26[[#This Row],[PRECIO JUEGO]])</f>
        <v>200</v>
      </c>
      <c r="J575" s="1" t="n">
        <f aca="false">(salidas26[[#This Row],[CANT BARRAS]]*salidas26[[#This Row],[PRECIO BARRA]])</f>
        <v>0</v>
      </c>
      <c r="K575" s="1" t="n">
        <v>200</v>
      </c>
      <c r="L575" s="1" t="s">
        <v>502</v>
      </c>
      <c r="M575" s="1" t="s">
        <v>503</v>
      </c>
    </row>
    <row r="576" customFormat="false" ht="15" hidden="false" customHeight="false" outlineLevel="0" collapsed="false">
      <c r="A576" s="1" t="n">
        <v>324</v>
      </c>
      <c r="B576" s="1" t="n">
        <v>1063</v>
      </c>
      <c r="C57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43LH5000/5B</v>
      </c>
      <c r="D576" s="75" t="n">
        <v>46074</v>
      </c>
      <c r="E57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57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36</v>
      </c>
      <c r="G576" s="1" t="n">
        <v>1</v>
      </c>
      <c r="I576" s="1" t="n">
        <f aca="false">(salidas26[[#This Row],[CANT JUEGOS ]]*salidas26[[#This Row],[PRECIO JUEGO]])</f>
        <v>180</v>
      </c>
      <c r="J576" s="1" t="n">
        <f aca="false">(salidas26[[#This Row],[CANT BARRAS]]*salidas26[[#This Row],[PRECIO BARRA]])</f>
        <v>0</v>
      </c>
      <c r="K576" s="1" t="n">
        <v>180</v>
      </c>
      <c r="L576" s="1" t="s">
        <v>502</v>
      </c>
      <c r="M576" s="1" t="s">
        <v>642</v>
      </c>
    </row>
    <row r="577" customFormat="false" ht="15" hidden="false" customHeight="false" outlineLevel="0" collapsed="false">
      <c r="A577" s="1" t="n">
        <v>325</v>
      </c>
      <c r="B577" s="1" t="n">
        <v>8073</v>
      </c>
      <c r="C57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DISMAC 4B/9L TV-6747SF50SFW (PREMIER)</v>
      </c>
      <c r="D577" s="75" t="n">
        <v>46074</v>
      </c>
      <c r="E57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57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577" s="1" t="n">
        <v>1</v>
      </c>
      <c r="I577" s="1" t="n">
        <f aca="false">(salidas26[[#This Row],[CANT JUEGOS ]]*salidas26[[#This Row],[PRECIO JUEGO]])</f>
        <v>220</v>
      </c>
      <c r="J577" s="1" t="n">
        <f aca="false">(salidas26[[#This Row],[CANT BARRAS]]*salidas26[[#This Row],[PRECIO BARRA]])</f>
        <v>0</v>
      </c>
      <c r="K577" s="1" t="n">
        <v>220</v>
      </c>
      <c r="L577" s="1" t="s">
        <v>533</v>
      </c>
      <c r="M577" s="1" t="s">
        <v>511</v>
      </c>
    </row>
    <row r="578" customFormat="false" ht="15" hidden="false" customHeight="false" outlineLevel="0" collapsed="false">
      <c r="A578" s="1" t="n">
        <v>326</v>
      </c>
      <c r="B578" s="1" t="n">
        <v>2015</v>
      </c>
      <c r="C57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UN40FH5005 3B/2C/1R/13-12-13</v>
      </c>
      <c r="D578" s="75" t="n">
        <v>46074</v>
      </c>
      <c r="E57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57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578" s="1" t="n">
        <v>1</v>
      </c>
      <c r="I578" s="1" t="n">
        <f aca="false">(salidas26[[#This Row],[CANT JUEGOS ]]*salidas26[[#This Row],[PRECIO JUEGO]])</f>
        <v>160</v>
      </c>
      <c r="J578" s="1" t="n">
        <f aca="false">(salidas26[[#This Row],[CANT BARRAS]]*salidas26[[#This Row],[PRECIO BARRA]])</f>
        <v>0</v>
      </c>
      <c r="K578" s="1" t="n">
        <v>150</v>
      </c>
      <c r="L578" s="1" t="s">
        <v>533</v>
      </c>
      <c r="M578" s="1" t="s">
        <v>511</v>
      </c>
    </row>
    <row r="579" customFormat="false" ht="15" hidden="false" customHeight="false" outlineLevel="0" collapsed="false">
      <c r="A579" s="1" t="n">
        <v>327</v>
      </c>
      <c r="B579" s="1" t="n">
        <v>1132</v>
      </c>
      <c r="C57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55UH8500/2B</v>
      </c>
      <c r="D579" s="75" t="n">
        <v>46074</v>
      </c>
      <c r="E57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57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130</v>
      </c>
      <c r="G579" s="1" t="n">
        <v>1</v>
      </c>
      <c r="I579" s="1" t="n">
        <f aca="false">(salidas26[[#This Row],[CANT JUEGOS ]]*salidas26[[#This Row],[PRECIO JUEGO]])</f>
        <v>260</v>
      </c>
      <c r="J579" s="1" t="n">
        <f aca="false">(salidas26[[#This Row],[CANT BARRAS]]*salidas26[[#This Row],[PRECIO BARRA]])</f>
        <v>0</v>
      </c>
      <c r="K579" s="1" t="n">
        <v>260</v>
      </c>
      <c r="L579" s="1" t="s">
        <v>502</v>
      </c>
      <c r="M579" s="1" t="s">
        <v>584</v>
      </c>
    </row>
    <row r="580" customFormat="false" ht="15" hidden="false" customHeight="false" outlineLevel="0" collapsed="false">
      <c r="A580" s="1" t="n">
        <v>328</v>
      </c>
      <c r="B580" s="1" t="n">
        <v>8015</v>
      </c>
      <c r="C58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580" s="75" t="n">
        <v>46074</v>
      </c>
      <c r="E58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58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580" s="1" t="n">
        <v>2</v>
      </c>
      <c r="I580" s="1" t="n">
        <f aca="false">(salidas26[[#This Row],[CANT JUEGOS ]]*salidas26[[#This Row],[PRECIO JUEGO]])</f>
        <v>120</v>
      </c>
      <c r="J580" s="1" t="n">
        <f aca="false">(salidas26[[#This Row],[CANT BARRAS]]*salidas26[[#This Row],[PRECIO BARRA]])</f>
        <v>0</v>
      </c>
      <c r="K580" s="1" t="n">
        <v>100</v>
      </c>
      <c r="L580" s="1" t="s">
        <v>502</v>
      </c>
      <c r="M580" s="1" t="s">
        <v>676</v>
      </c>
    </row>
    <row r="581" customFormat="false" ht="15" hidden="false" customHeight="false" outlineLevel="0" collapsed="false">
      <c r="A581" s="1" t="n">
        <v>329</v>
      </c>
      <c r="B581" s="1" t="n">
        <v>6000</v>
      </c>
      <c r="C58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SKYWORTH 2B/6LED/3V </v>
      </c>
      <c r="D581" s="75" t="n">
        <v>46074</v>
      </c>
      <c r="E58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58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581" s="1" t="n">
        <v>2</v>
      </c>
      <c r="I581" s="1" t="n">
        <f aca="false">(salidas26[[#This Row],[CANT JUEGOS ]]*salidas26[[#This Row],[PRECIO JUEGO]])</f>
        <v>120</v>
      </c>
      <c r="J581" s="1" t="n">
        <f aca="false">(salidas26[[#This Row],[CANT BARRAS]]*salidas26[[#This Row],[PRECIO BARRA]])</f>
        <v>0</v>
      </c>
      <c r="K581" s="1" t="n">
        <v>100</v>
      </c>
      <c r="L581" s="1" t="s">
        <v>502</v>
      </c>
      <c r="M581" s="1" t="s">
        <v>677</v>
      </c>
    </row>
    <row r="582" customFormat="false" ht="31.3" hidden="false" customHeight="false" outlineLevel="0" collapsed="false">
      <c r="A582" s="1" t="n">
        <v>331</v>
      </c>
      <c r="B582" s="1" t="n">
        <v>4000</v>
      </c>
      <c r="C582" s="76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 V780-TCL 5L/6V -2B
MI L32M5-5ASP</v>
      </c>
      <c r="D582" s="75" t="n">
        <v>46074</v>
      </c>
      <c r="E58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58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582" s="1" t="n">
        <v>1</v>
      </c>
      <c r="I582" s="1" t="n">
        <f aca="false">(salidas26[[#This Row],[CANT JUEGOS ]]*salidas26[[#This Row],[PRECIO JUEGO]])</f>
        <v>60</v>
      </c>
      <c r="J582" s="1" t="n">
        <f aca="false">(salidas26[[#This Row],[CANT BARRAS]]*salidas26[[#This Row],[PRECIO BARRA]])</f>
        <v>0</v>
      </c>
      <c r="K582" s="1" t="n">
        <v>50</v>
      </c>
      <c r="L582" s="1" t="s">
        <v>533</v>
      </c>
      <c r="M582" s="1" t="s">
        <v>511</v>
      </c>
    </row>
    <row r="583" customFormat="false" ht="15" hidden="false" customHeight="false" outlineLevel="0" collapsed="false">
      <c r="A583" s="1" t="n">
        <v>332</v>
      </c>
      <c r="B583" s="1" t="n">
        <v>1012</v>
      </c>
      <c r="C58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32LB620B-32LF620B -3B/6V/6L</v>
      </c>
      <c r="D583" s="75" t="n">
        <v>46074</v>
      </c>
      <c r="E58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58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583" s="1" t="n">
        <v>1</v>
      </c>
      <c r="I583" s="1" t="n">
        <f aca="false">(salidas26[[#This Row],[CANT JUEGOS ]]*salidas26[[#This Row],[PRECIO JUEGO]])</f>
        <v>90</v>
      </c>
      <c r="J583" s="1" t="n">
        <f aca="false">(salidas26[[#This Row],[CANT BARRAS]]*salidas26[[#This Row],[PRECIO BARRA]])</f>
        <v>0</v>
      </c>
      <c r="K583" s="1" t="n">
        <v>90</v>
      </c>
      <c r="L583" s="1" t="s">
        <v>533</v>
      </c>
      <c r="M583" s="1" t="s">
        <v>511</v>
      </c>
    </row>
    <row r="584" customFormat="false" ht="15" hidden="false" customHeight="false" outlineLevel="0" collapsed="false">
      <c r="A584" s="1" t="n">
        <v>333</v>
      </c>
      <c r="B584" s="1" t="n">
        <v>2090</v>
      </c>
      <c r="C58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UN58FH/12B</v>
      </c>
      <c r="D584" s="75" t="n">
        <v>46074</v>
      </c>
      <c r="E58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58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29.1666666666667</v>
      </c>
      <c r="G584" s="1" t="n">
        <v>1</v>
      </c>
      <c r="I584" s="1" t="n">
        <f aca="false">(salidas26[[#This Row],[CANT JUEGOS ]]*salidas26[[#This Row],[PRECIO JUEGO]])</f>
        <v>350</v>
      </c>
      <c r="J584" s="1" t="n">
        <f aca="false">(salidas26[[#This Row],[CANT BARRAS]]*salidas26[[#This Row],[PRECIO BARRA]])</f>
        <v>0</v>
      </c>
      <c r="K584" s="1" t="n">
        <v>370</v>
      </c>
      <c r="L584" s="1" t="s">
        <v>533</v>
      </c>
      <c r="M584" s="1" t="s">
        <v>678</v>
      </c>
    </row>
    <row r="585" customFormat="false" ht="15" hidden="false" customHeight="false" outlineLevel="0" collapsed="false">
      <c r="A585" s="1" t="n">
        <v>334</v>
      </c>
      <c r="B585" s="1" t="n">
        <v>3015</v>
      </c>
      <c r="C58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48M600 10B/8 - 8 LEDS/3V</v>
      </c>
      <c r="D585" s="75" t="n">
        <v>46074</v>
      </c>
      <c r="E58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58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</v>
      </c>
      <c r="G585" s="1" t="n">
        <v>1</v>
      </c>
      <c r="I585" s="1" t="n">
        <f aca="false">(salidas26[[#This Row],[CANT JUEGOS ]]*salidas26[[#This Row],[PRECIO JUEGO]])</f>
        <v>260</v>
      </c>
      <c r="J585" s="1" t="n">
        <f aca="false">(salidas26[[#This Row],[CANT BARRAS]]*salidas26[[#This Row],[PRECIO BARRA]])</f>
        <v>0</v>
      </c>
      <c r="K585" s="1" t="n">
        <v>220</v>
      </c>
      <c r="L585" s="1" t="s">
        <v>533</v>
      </c>
      <c r="M585" s="1" t="s">
        <v>511</v>
      </c>
    </row>
    <row r="586" customFormat="false" ht="15" hidden="false" customHeight="false" outlineLevel="0" collapsed="false">
      <c r="A586" s="1" t="n">
        <v>335</v>
      </c>
      <c r="B586" s="1" t="n">
        <v>8015</v>
      </c>
      <c r="C58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586" s="75" t="n">
        <v>46076</v>
      </c>
      <c r="E58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58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586" s="1" t="n">
        <v>1</v>
      </c>
      <c r="I586" s="1" t="n">
        <f aca="false">(salidas26[[#This Row],[CANT JUEGOS ]]*salidas26[[#This Row],[PRECIO JUEGO]])</f>
        <v>60</v>
      </c>
      <c r="J586" s="1" t="n">
        <f aca="false">(salidas26[[#This Row],[CANT BARRAS]]*salidas26[[#This Row],[PRECIO BARRA]])</f>
        <v>0</v>
      </c>
      <c r="K586" s="1" t="n">
        <v>60</v>
      </c>
      <c r="L586" s="1" t="s">
        <v>533</v>
      </c>
      <c r="M586" s="1" t="s">
        <v>503</v>
      </c>
    </row>
    <row r="587" customFormat="false" ht="15" hidden="false" customHeight="false" outlineLevel="0" collapsed="false">
      <c r="A587" s="1" t="n">
        <v>336</v>
      </c>
      <c r="B587" s="1" t="n">
        <v>8039</v>
      </c>
      <c r="C58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40-CHINO PREMIER 3B/8-8-8/6V</v>
      </c>
      <c r="D587" s="75" t="n">
        <v>46076</v>
      </c>
      <c r="E58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58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587" s="1" t="n">
        <v>1</v>
      </c>
      <c r="I587" s="1" t="n">
        <f aca="false">(salidas26[[#This Row],[CANT JUEGOS ]]*salidas26[[#This Row],[PRECIO JUEGO]])</f>
        <v>150</v>
      </c>
      <c r="J587" s="1" t="n">
        <f aca="false">(salidas26[[#This Row],[CANT BARRAS]]*salidas26[[#This Row],[PRECIO BARRA]])</f>
        <v>0</v>
      </c>
      <c r="K587" s="1" t="n">
        <v>150</v>
      </c>
      <c r="L587" s="1" t="s">
        <v>502</v>
      </c>
      <c r="M587" s="1" t="s">
        <v>579</v>
      </c>
    </row>
    <row r="588" customFormat="false" ht="15" hidden="false" customHeight="false" outlineLevel="0" collapsed="false">
      <c r="A588" s="1" t="n">
        <v>337</v>
      </c>
      <c r="B588" s="1" t="n">
        <v>8068</v>
      </c>
      <c r="C58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3V/10L/4B</v>
      </c>
      <c r="D588" s="75" t="n">
        <v>46076</v>
      </c>
      <c r="E58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58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588" s="1" t="n">
        <v>1</v>
      </c>
      <c r="I588" s="1" t="n">
        <f aca="false">(salidas26[[#This Row],[CANT JUEGOS ]]*salidas26[[#This Row],[PRECIO JUEGO]])</f>
        <v>220</v>
      </c>
      <c r="J588" s="1" t="n">
        <f aca="false">(salidas26[[#This Row],[CANT BARRAS]]*salidas26[[#This Row],[PRECIO BARRA]])</f>
        <v>0</v>
      </c>
      <c r="K588" s="1" t="n">
        <v>200</v>
      </c>
      <c r="L588" s="1" t="s">
        <v>533</v>
      </c>
      <c r="M588" s="1" t="s">
        <v>503</v>
      </c>
    </row>
    <row r="589" customFormat="false" ht="31.3" hidden="false" customHeight="false" outlineLevel="0" collapsed="false">
      <c r="A589" s="1" t="n">
        <v>338</v>
      </c>
      <c r="B589" s="1" t="n">
        <v>4000</v>
      </c>
      <c r="C589" s="76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 V780-TCL 5L/6V -2B
MI L32M5-5ASP</v>
      </c>
      <c r="D589" s="75" t="n">
        <v>46076</v>
      </c>
      <c r="E58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58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589" s="1" t="n">
        <v>1</v>
      </c>
      <c r="I589" s="1" t="n">
        <f aca="false">(salidas26[[#This Row],[CANT JUEGOS ]]*salidas26[[#This Row],[PRECIO JUEGO]])</f>
        <v>60</v>
      </c>
      <c r="J589" s="1" t="n">
        <f aca="false">(salidas26[[#This Row],[CANT BARRAS]]*salidas26[[#This Row],[PRECIO BARRA]])</f>
        <v>0</v>
      </c>
      <c r="K589" s="1" t="n">
        <v>60</v>
      </c>
      <c r="L589" s="1" t="s">
        <v>533</v>
      </c>
      <c r="M589" s="1" t="s">
        <v>679</v>
      </c>
    </row>
    <row r="590" customFormat="false" ht="15" hidden="false" customHeight="false" outlineLevel="0" collapsed="false">
      <c r="A590" s="1" t="n">
        <v>339</v>
      </c>
      <c r="B590" s="1" t="n">
        <v>2000</v>
      </c>
      <c r="C59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D590" s="75" t="n">
        <v>46076</v>
      </c>
      <c r="E59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59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590" s="1" t="n">
        <v>1</v>
      </c>
      <c r="I590" s="1" t="n">
        <f aca="false">(salidas26[[#This Row],[CANT JUEGOS ]]*salidas26[[#This Row],[PRECIO JUEGO]])</f>
        <v>80</v>
      </c>
      <c r="J590" s="1" t="n">
        <f aca="false">(salidas26[[#This Row],[CANT BARRAS]]*salidas26[[#This Row],[PRECIO BARRA]])</f>
        <v>0</v>
      </c>
      <c r="K590" s="1" t="n">
        <v>60</v>
      </c>
      <c r="L590" s="1" t="s">
        <v>533</v>
      </c>
      <c r="M590" s="1" t="s">
        <v>680</v>
      </c>
    </row>
    <row r="591" customFormat="false" ht="15" hidden="false" customHeight="false" outlineLevel="0" collapsed="false">
      <c r="A591" s="1" t="n">
        <v>340</v>
      </c>
      <c r="B591" s="1" t="n">
        <v>1011</v>
      </c>
      <c r="C59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32LK540 6L/3V /2B</v>
      </c>
      <c r="D591" s="75" t="n">
        <v>46076</v>
      </c>
      <c r="E59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59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591" s="1" t="n">
        <v>1</v>
      </c>
      <c r="I591" s="1" t="n">
        <f aca="false">(salidas26[[#This Row],[CANT JUEGOS ]]*salidas26[[#This Row],[PRECIO JUEGO]])</f>
        <v>70</v>
      </c>
      <c r="J591" s="1" t="n">
        <f aca="false">(salidas26[[#This Row],[CANT BARRAS]]*salidas26[[#This Row],[PRECIO BARRA]])</f>
        <v>0</v>
      </c>
      <c r="K591" s="1" t="n">
        <v>50</v>
      </c>
      <c r="L591" s="1" t="s">
        <v>533</v>
      </c>
      <c r="M591" s="1" t="s">
        <v>680</v>
      </c>
    </row>
    <row r="592" customFormat="false" ht="15" hidden="false" customHeight="false" outlineLevel="0" collapsed="false">
      <c r="A592" s="1" t="n">
        <v>341</v>
      </c>
      <c r="B592" s="1" t="n">
        <v>7002</v>
      </c>
      <c r="C59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F1000 KONKA 6L/LED3250HDD/CRONW TV3277D IRT</v>
      </c>
      <c r="D592" s="75" t="n">
        <v>46076</v>
      </c>
      <c r="E59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59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592" s="1" t="n">
        <v>1</v>
      </c>
      <c r="I592" s="1" t="n">
        <f aca="false">(salidas26[[#This Row],[CANT JUEGOS ]]*salidas26[[#This Row],[PRECIO JUEGO]])</f>
        <v>70</v>
      </c>
      <c r="J592" s="1" t="n">
        <f aca="false">(salidas26[[#This Row],[CANT BARRAS]]*salidas26[[#This Row],[PRECIO BARRA]])</f>
        <v>0</v>
      </c>
      <c r="K592" s="1" t="n">
        <v>50</v>
      </c>
      <c r="L592" s="1" t="s">
        <v>533</v>
      </c>
      <c r="M592" s="1" t="s">
        <v>680</v>
      </c>
    </row>
    <row r="593" customFormat="false" ht="15" hidden="false" customHeight="false" outlineLevel="0" collapsed="false">
      <c r="A593" s="1" t="n">
        <v>342</v>
      </c>
      <c r="B593" s="1" t="n">
        <v>6000</v>
      </c>
      <c r="C59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SKYWORTH 2B/6LED/3V </v>
      </c>
      <c r="D593" s="75" t="n">
        <v>46076</v>
      </c>
      <c r="E59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59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593" s="1" t="n">
        <v>1</v>
      </c>
      <c r="I593" s="1" t="n">
        <f aca="false">(salidas26[[#This Row],[CANT JUEGOS ]]*salidas26[[#This Row],[PRECIO JUEGO]])</f>
        <v>60</v>
      </c>
      <c r="J593" s="1" t="n">
        <f aca="false">(salidas26[[#This Row],[CANT BARRAS]]*salidas26[[#This Row],[PRECIO BARRA]])</f>
        <v>0</v>
      </c>
      <c r="K593" s="1" t="n">
        <v>50</v>
      </c>
      <c r="L593" s="1" t="s">
        <v>533</v>
      </c>
      <c r="M593" s="1" t="s">
        <v>680</v>
      </c>
    </row>
    <row r="594" customFormat="false" ht="15" hidden="false" customHeight="false" outlineLevel="0" collapsed="false">
      <c r="A594" s="1" t="n">
        <v>343</v>
      </c>
      <c r="B594" s="1" t="n">
        <v>8021</v>
      </c>
      <c r="C59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JVC RECTO /2B</v>
      </c>
      <c r="D594" s="75" t="n">
        <v>46076</v>
      </c>
      <c r="E59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59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594" s="1" t="n">
        <v>1</v>
      </c>
      <c r="I594" s="1" t="n">
        <f aca="false">(salidas26[[#This Row],[CANT JUEGOS ]]*salidas26[[#This Row],[PRECIO JUEGO]])</f>
        <v>60</v>
      </c>
      <c r="J594" s="1" t="n">
        <f aca="false">(salidas26[[#This Row],[CANT BARRAS]]*salidas26[[#This Row],[PRECIO BARRA]])</f>
        <v>0</v>
      </c>
      <c r="K594" s="1" t="n">
        <v>50</v>
      </c>
      <c r="L594" s="1" t="s">
        <v>533</v>
      </c>
      <c r="M594" s="1" t="s">
        <v>680</v>
      </c>
    </row>
    <row r="595" customFormat="false" ht="15" hidden="false" customHeight="false" outlineLevel="0" collapsed="false">
      <c r="A595" s="1" t="n">
        <v>344</v>
      </c>
      <c r="B595" s="1" t="n">
        <v>8015</v>
      </c>
      <c r="C59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595" s="75" t="n">
        <v>46076</v>
      </c>
      <c r="E59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59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595" s="1" t="n">
        <v>1</v>
      </c>
      <c r="I595" s="1" t="n">
        <f aca="false">(salidas26[[#This Row],[CANT JUEGOS ]]*salidas26[[#This Row],[PRECIO JUEGO]])</f>
        <v>60</v>
      </c>
      <c r="J595" s="1" t="n">
        <f aca="false">(salidas26[[#This Row],[CANT BARRAS]]*salidas26[[#This Row],[PRECIO BARRA]])</f>
        <v>0</v>
      </c>
      <c r="K595" s="1" t="n">
        <v>50</v>
      </c>
      <c r="L595" s="1" t="s">
        <v>533</v>
      </c>
      <c r="M595" s="1" t="s">
        <v>680</v>
      </c>
    </row>
    <row r="596" customFormat="false" ht="15" hidden="false" customHeight="false" outlineLevel="0" collapsed="false">
      <c r="A596" s="1" t="n">
        <v>345</v>
      </c>
      <c r="B596" s="1" t="n">
        <v>6001</v>
      </c>
      <c r="C59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MASTER G MGHF32WB 6L/3V/2B</v>
      </c>
      <c r="D596" s="75" t="n">
        <v>46076</v>
      </c>
      <c r="E59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59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596" s="1" t="n">
        <v>1</v>
      </c>
      <c r="I596" s="1" t="n">
        <f aca="false">(salidas26[[#This Row],[CANT JUEGOS ]]*salidas26[[#This Row],[PRECIO JUEGO]])</f>
        <v>80</v>
      </c>
      <c r="J596" s="1" t="n">
        <f aca="false">(salidas26[[#This Row],[CANT BARRAS]]*salidas26[[#This Row],[PRECIO BARRA]])</f>
        <v>0</v>
      </c>
      <c r="K596" s="1" t="n">
        <v>50</v>
      </c>
      <c r="L596" s="1" t="s">
        <v>533</v>
      </c>
      <c r="M596" s="1" t="s">
        <v>680</v>
      </c>
    </row>
    <row r="597" customFormat="false" ht="15" hidden="false" customHeight="false" outlineLevel="0" collapsed="false">
      <c r="A597" s="1" t="n">
        <v>346</v>
      </c>
      <c r="B597" s="1" t="n">
        <v>2012</v>
      </c>
      <c r="C59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UN40J5000 -40J5200-40M5000 8L/3B</v>
      </c>
      <c r="D597" s="75" t="n">
        <v>46076</v>
      </c>
      <c r="E59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59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597" s="1" t="n">
        <v>2</v>
      </c>
      <c r="I597" s="1" t="n">
        <f aca="false">(salidas26[[#This Row],[CANT JUEGOS ]]*salidas26[[#This Row],[PRECIO JUEGO]])</f>
        <v>320</v>
      </c>
      <c r="J597" s="1" t="n">
        <f aca="false">(salidas26[[#This Row],[CANT BARRAS]]*salidas26[[#This Row],[PRECIO BARRA]])</f>
        <v>0</v>
      </c>
      <c r="K597" s="1" t="n">
        <v>260</v>
      </c>
      <c r="L597" s="1" t="s">
        <v>533</v>
      </c>
      <c r="M597" s="1" t="s">
        <v>680</v>
      </c>
    </row>
    <row r="598" customFormat="false" ht="15" hidden="false" customHeight="false" outlineLevel="0" collapsed="false">
      <c r="A598" s="1" t="n">
        <v>347</v>
      </c>
      <c r="B598" s="1" t="n">
        <v>5002</v>
      </c>
      <c r="C59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PANASONIC 7L/3V/3B</v>
      </c>
      <c r="D598" s="75" t="n">
        <v>46076</v>
      </c>
      <c r="E59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59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598" s="1" t="n">
        <v>1</v>
      </c>
      <c r="I598" s="1" t="n">
        <f aca="false">(salidas26[[#This Row],[CANT JUEGOS ]]*salidas26[[#This Row],[PRECIO JUEGO]])</f>
        <v>90</v>
      </c>
      <c r="J598" s="1" t="n">
        <f aca="false">(salidas26[[#This Row],[CANT BARRAS]]*salidas26[[#This Row],[PRECIO BARRA]])</f>
        <v>0</v>
      </c>
      <c r="K598" s="1" t="n">
        <v>90</v>
      </c>
      <c r="L598" s="1" t="s">
        <v>533</v>
      </c>
      <c r="M598" s="1" t="s">
        <v>503</v>
      </c>
    </row>
    <row r="599" customFormat="false" ht="15" hidden="false" customHeight="false" outlineLevel="0" collapsed="false">
      <c r="A599" s="1" t="n">
        <v>348</v>
      </c>
      <c r="B599" s="1" t="n">
        <v>8055</v>
      </c>
      <c r="C59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PREMIER 8L/3V/3B 8047SF43SF</v>
      </c>
      <c r="D599" s="75" t="n">
        <v>46076</v>
      </c>
      <c r="E59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59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599" s="1" t="n">
        <v>1</v>
      </c>
      <c r="I599" s="1" t="n">
        <f aca="false">(salidas26[[#This Row],[CANT JUEGOS ]]*salidas26[[#This Row],[PRECIO JUEGO]])</f>
        <v>180</v>
      </c>
      <c r="J599" s="1" t="n">
        <f aca="false">(salidas26[[#This Row],[CANT BARRAS]]*salidas26[[#This Row],[PRECIO BARRA]])</f>
        <v>0</v>
      </c>
      <c r="K599" s="1" t="n">
        <v>180</v>
      </c>
      <c r="L599" s="1" t="s">
        <v>533</v>
      </c>
      <c r="M599" s="1" t="s">
        <v>503</v>
      </c>
    </row>
    <row r="600" customFormat="false" ht="15" hidden="false" customHeight="false" outlineLevel="0" collapsed="false">
      <c r="A600" s="1" t="n">
        <v>349</v>
      </c>
      <c r="B600" s="1" t="n">
        <v>1069</v>
      </c>
      <c r="C60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47LB6500- 8B/6V</v>
      </c>
      <c r="D600" s="75" t="n">
        <v>46077</v>
      </c>
      <c r="E60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60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31.25</v>
      </c>
      <c r="G600" s="1" t="n">
        <v>1</v>
      </c>
      <c r="I600" s="1" t="n">
        <f aca="false">(salidas26[[#This Row],[CANT JUEGOS ]]*salidas26[[#This Row],[PRECIO JUEGO]])</f>
        <v>250</v>
      </c>
      <c r="J600" s="1" t="n">
        <f aca="false">(salidas26[[#This Row],[CANT BARRAS]]*salidas26[[#This Row],[PRECIO BARRA]])</f>
        <v>0</v>
      </c>
      <c r="K600" s="1" t="n">
        <v>220</v>
      </c>
      <c r="L600" s="1" t="s">
        <v>533</v>
      </c>
      <c r="M600" s="1" t="s">
        <v>517</v>
      </c>
    </row>
    <row r="601" customFormat="false" ht="15" hidden="false" customHeight="false" outlineLevel="0" collapsed="false">
      <c r="A601" s="1" t="n">
        <v>350</v>
      </c>
      <c r="B601" s="1" t="n">
        <v>1036</v>
      </c>
      <c r="C60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42LA6130-42LN5400  10B/3V</v>
      </c>
      <c r="D601" s="75" t="n">
        <v>46077</v>
      </c>
      <c r="E60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60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18</v>
      </c>
      <c r="G601" s="1" t="n">
        <v>1</v>
      </c>
      <c r="I601" s="1" t="n">
        <f aca="false">(salidas26[[#This Row],[CANT JUEGOS ]]*salidas26[[#This Row],[PRECIO JUEGO]])</f>
        <v>180</v>
      </c>
      <c r="J601" s="1" t="n">
        <f aca="false">(salidas26[[#This Row],[CANT BARRAS]]*salidas26[[#This Row],[PRECIO BARRA]])</f>
        <v>0</v>
      </c>
      <c r="K601" s="1" t="n">
        <v>180</v>
      </c>
      <c r="L601" s="1" t="s">
        <v>533</v>
      </c>
      <c r="M601" s="1" t="s">
        <v>503</v>
      </c>
    </row>
    <row r="602" customFormat="false" ht="15" hidden="false" customHeight="false" outlineLevel="0" collapsed="false">
      <c r="A602" s="1" t="n">
        <v>351</v>
      </c>
      <c r="B602" s="1" t="n">
        <v>1102</v>
      </c>
      <c r="C60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50LA6200/12B/3V</v>
      </c>
      <c r="D602" s="75" t="n">
        <v>46077</v>
      </c>
      <c r="E60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60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23.3333333333333</v>
      </c>
      <c r="G602" s="1" t="n">
        <v>1</v>
      </c>
      <c r="I602" s="1" t="n">
        <f aca="false">(salidas26[[#This Row],[CANT JUEGOS ]]*salidas26[[#This Row],[PRECIO JUEGO]])</f>
        <v>280</v>
      </c>
      <c r="J602" s="1" t="n">
        <f aca="false">(salidas26[[#This Row],[CANT BARRAS]]*salidas26[[#This Row],[PRECIO BARRA]])</f>
        <v>0</v>
      </c>
      <c r="K602" s="1" t="n">
        <v>206</v>
      </c>
      <c r="L602" s="1" t="s">
        <v>533</v>
      </c>
      <c r="M602" s="1" t="s">
        <v>503</v>
      </c>
    </row>
    <row r="603" customFormat="false" ht="15" hidden="false" customHeight="false" outlineLevel="0" collapsed="false">
      <c r="A603" s="1" t="n">
        <v>352</v>
      </c>
      <c r="B603" s="1" t="n">
        <v>1012</v>
      </c>
      <c r="C60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32LB620B-32LF620B -3B/6V/6L</v>
      </c>
      <c r="D603" s="75" t="n">
        <v>46077</v>
      </c>
      <c r="E60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60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03" s="1" t="n">
        <v>1</v>
      </c>
      <c r="I603" s="1" t="n">
        <f aca="false">(salidas26[[#This Row],[CANT JUEGOS ]]*salidas26[[#This Row],[PRECIO JUEGO]])</f>
        <v>90</v>
      </c>
      <c r="J603" s="1" t="n">
        <f aca="false">(salidas26[[#This Row],[CANT BARRAS]]*salidas26[[#This Row],[PRECIO BARRA]])</f>
        <v>0</v>
      </c>
      <c r="K603" s="1" t="n">
        <v>90</v>
      </c>
      <c r="L603" s="1" t="s">
        <v>502</v>
      </c>
      <c r="M603" s="1" t="s">
        <v>614</v>
      </c>
    </row>
    <row r="604" customFormat="false" ht="15" hidden="false" customHeight="false" outlineLevel="0" collapsed="false">
      <c r="A604" s="1" t="n">
        <v>353</v>
      </c>
      <c r="B604" s="1" t="n">
        <v>7004</v>
      </c>
      <c r="C60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IRT LED4060SFHD 8L/3V/3B</v>
      </c>
      <c r="D604" s="75" t="n">
        <v>46077</v>
      </c>
      <c r="E60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60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604" s="1" t="n">
        <v>1</v>
      </c>
      <c r="H604" s="1" t="n">
        <v>4</v>
      </c>
      <c r="I604" s="1" t="n">
        <f aca="false">(salidas26[[#This Row],[CANT JUEGOS ]]*salidas26[[#This Row],[PRECIO JUEGO]])</f>
        <v>150</v>
      </c>
      <c r="J604" s="1" t="n">
        <f aca="false">(salidas26[[#This Row],[CANT BARRAS]]*salidas26[[#This Row],[PRECIO BARRA]])</f>
        <v>200</v>
      </c>
      <c r="K604" s="1" t="n">
        <v>180</v>
      </c>
      <c r="L604" s="1" t="s">
        <v>502</v>
      </c>
      <c r="M604" s="1" t="s">
        <v>681</v>
      </c>
    </row>
    <row r="605" customFormat="false" ht="15" hidden="false" customHeight="false" outlineLevel="0" collapsed="false">
      <c r="A605" s="1" t="n">
        <v>354</v>
      </c>
      <c r="B605" s="1" t="n">
        <v>8100</v>
      </c>
      <c r="C60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JVC 58KB527</v>
      </c>
      <c r="D605" s="75" t="n">
        <v>46077</v>
      </c>
      <c r="E60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60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605" s="1" t="n">
        <v>1</v>
      </c>
      <c r="I605" s="1" t="n">
        <f aca="false">(salidas26[[#This Row],[CANT JUEGOS ]]*salidas26[[#This Row],[PRECIO JUEGO]])</f>
        <v>300</v>
      </c>
      <c r="J605" s="1" t="n">
        <f aca="false">(salidas26[[#This Row],[CANT BARRAS]]*salidas26[[#This Row],[PRECIO BARRA]])</f>
        <v>0</v>
      </c>
      <c r="K605" s="1" t="n">
        <v>250</v>
      </c>
      <c r="L605" s="1" t="s">
        <v>533</v>
      </c>
      <c r="M605" s="1" t="s">
        <v>649</v>
      </c>
    </row>
    <row r="606" customFormat="false" ht="15" hidden="false" customHeight="false" outlineLevel="0" collapsed="false">
      <c r="A606" s="1" t="n">
        <v>355</v>
      </c>
      <c r="B606" s="1" t="n">
        <v>1039</v>
      </c>
      <c r="C60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42LN5200/10B/3V</v>
      </c>
      <c r="D606" s="75" t="n">
        <v>46077</v>
      </c>
      <c r="E60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60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606" s="1" t="n">
        <v>1</v>
      </c>
      <c r="I606" s="1" t="n">
        <f aca="false">(salidas26[[#This Row],[CANT JUEGOS ]]*salidas26[[#This Row],[PRECIO JUEGO]])</f>
        <v>200</v>
      </c>
      <c r="J606" s="1" t="n">
        <f aca="false">(salidas26[[#This Row],[CANT BARRAS]]*salidas26[[#This Row],[PRECIO BARRA]])</f>
        <v>0</v>
      </c>
      <c r="K606" s="1" t="n">
        <v>200</v>
      </c>
      <c r="L606" s="1" t="s">
        <v>502</v>
      </c>
      <c r="M606" s="1" t="s">
        <v>560</v>
      </c>
    </row>
    <row r="607" customFormat="false" ht="15" hidden="false" customHeight="false" outlineLevel="0" collapsed="false">
      <c r="A607" s="1" t="n">
        <v>356</v>
      </c>
      <c r="B607" s="1" t="n">
        <v>2000</v>
      </c>
      <c r="C60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D607" s="75" t="n">
        <v>46077</v>
      </c>
      <c r="E60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60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607" s="1" t="n">
        <v>1</v>
      </c>
      <c r="I607" s="1" t="n">
        <f aca="false">(salidas26[[#This Row],[CANT JUEGOS ]]*salidas26[[#This Row],[PRECIO JUEGO]])</f>
        <v>80</v>
      </c>
      <c r="J607" s="1" t="n">
        <f aca="false">(salidas26[[#This Row],[CANT BARRAS]]*salidas26[[#This Row],[PRECIO BARRA]])</f>
        <v>0</v>
      </c>
      <c r="K607" s="1" t="n">
        <v>70</v>
      </c>
      <c r="L607" s="1" t="s">
        <v>502</v>
      </c>
      <c r="M607" s="1" t="s">
        <v>518</v>
      </c>
    </row>
    <row r="608" customFormat="false" ht="15" hidden="false" customHeight="false" outlineLevel="0" collapsed="false">
      <c r="A608" s="1" t="n">
        <v>357</v>
      </c>
      <c r="B608" s="1" t="n">
        <v>8015</v>
      </c>
      <c r="C60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608" s="75" t="n">
        <v>46077</v>
      </c>
      <c r="E60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60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08" s="1" t="n">
        <v>3</v>
      </c>
      <c r="I608" s="1" t="n">
        <f aca="false">(salidas26[[#This Row],[CANT JUEGOS ]]*salidas26[[#This Row],[PRECIO JUEGO]])</f>
        <v>180</v>
      </c>
      <c r="J608" s="1" t="n">
        <f aca="false">(salidas26[[#This Row],[CANT BARRAS]]*salidas26[[#This Row],[PRECIO BARRA]])</f>
        <v>0</v>
      </c>
      <c r="K608" s="1" t="n">
        <v>150</v>
      </c>
      <c r="L608" s="1" t="s">
        <v>533</v>
      </c>
      <c r="M608" s="1" t="s">
        <v>682</v>
      </c>
    </row>
    <row r="609" customFormat="false" ht="15" hidden="false" customHeight="false" outlineLevel="0" collapsed="false">
      <c r="A609" s="1" t="n">
        <v>358</v>
      </c>
      <c r="B609" s="1" t="n">
        <v>8021</v>
      </c>
      <c r="C60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JVC RECTO /2B</v>
      </c>
      <c r="D609" s="75" t="n">
        <v>46077</v>
      </c>
      <c r="E60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60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09" s="1" t="n">
        <v>3</v>
      </c>
      <c r="I609" s="1" t="n">
        <f aca="false">(salidas26[[#This Row],[CANT JUEGOS ]]*salidas26[[#This Row],[PRECIO JUEGO]])</f>
        <v>180</v>
      </c>
      <c r="J609" s="1" t="n">
        <f aca="false">(salidas26[[#This Row],[CANT BARRAS]]*salidas26[[#This Row],[PRECIO BARRA]])</f>
        <v>0</v>
      </c>
      <c r="K609" s="1" t="n">
        <v>150</v>
      </c>
      <c r="L609" s="1" t="s">
        <v>533</v>
      </c>
      <c r="M609" s="1" t="s">
        <v>682</v>
      </c>
    </row>
    <row r="610" customFormat="false" ht="15" hidden="false" customHeight="false" outlineLevel="0" collapsed="false">
      <c r="A610" s="1" t="n">
        <v>359</v>
      </c>
      <c r="B610" s="1" t="n">
        <v>2000</v>
      </c>
      <c r="C61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D610" s="75" t="n">
        <v>46077</v>
      </c>
      <c r="E61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61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610" s="1" t="n">
        <v>4</v>
      </c>
      <c r="I610" s="1" t="n">
        <f aca="false">(salidas26[[#This Row],[CANT JUEGOS ]]*salidas26[[#This Row],[PRECIO JUEGO]])</f>
        <v>320</v>
      </c>
      <c r="J610" s="1" t="n">
        <f aca="false">(salidas26[[#This Row],[CANT BARRAS]]*salidas26[[#This Row],[PRECIO BARRA]])</f>
        <v>0</v>
      </c>
      <c r="K610" s="1" t="n">
        <v>200</v>
      </c>
      <c r="L610" s="1" t="s">
        <v>533</v>
      </c>
      <c r="M610" s="1" t="s">
        <v>682</v>
      </c>
    </row>
    <row r="611" customFormat="false" ht="15" hidden="false" customHeight="false" outlineLevel="0" collapsed="false">
      <c r="A611" s="1" t="n">
        <v>360</v>
      </c>
      <c r="B611" s="1" t="n">
        <v>6000</v>
      </c>
      <c r="C61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SKYWORTH 2B/6LED/3V </v>
      </c>
      <c r="D611" s="75" t="n">
        <v>46077</v>
      </c>
      <c r="E61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61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11" s="1" t="n">
        <v>3</v>
      </c>
      <c r="I611" s="1" t="n">
        <f aca="false">(salidas26[[#This Row],[CANT JUEGOS ]]*salidas26[[#This Row],[PRECIO JUEGO]])</f>
        <v>180</v>
      </c>
      <c r="J611" s="1" t="n">
        <f aca="false">(salidas26[[#This Row],[CANT BARRAS]]*salidas26[[#This Row],[PRECIO BARRA]])</f>
        <v>0</v>
      </c>
      <c r="K611" s="1" t="n">
        <v>150</v>
      </c>
      <c r="L611" s="1" t="s">
        <v>533</v>
      </c>
      <c r="M611" s="1" t="s">
        <v>682</v>
      </c>
    </row>
    <row r="612" customFormat="false" ht="15" hidden="false" customHeight="false" outlineLevel="0" collapsed="false">
      <c r="A612" s="1" t="n">
        <v>369</v>
      </c>
      <c r="B612" s="1" t="n">
        <v>2065</v>
      </c>
      <c r="C61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UN50AU/BU8000 2B EDGE</v>
      </c>
      <c r="D612" s="75" t="n">
        <v>46077</v>
      </c>
      <c r="E61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61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110</v>
      </c>
      <c r="G612" s="1" t="n">
        <v>1</v>
      </c>
      <c r="I612" s="1" t="n">
        <f aca="false">(salidas26[[#This Row],[CANT JUEGOS ]]*salidas26[[#This Row],[PRECIO JUEGO]])</f>
        <v>220</v>
      </c>
      <c r="J612" s="1" t="n">
        <f aca="false">(salidas26[[#This Row],[CANT BARRAS]]*salidas26[[#This Row],[PRECIO BARRA]])</f>
        <v>0</v>
      </c>
      <c r="K612" s="1" t="n">
        <v>220</v>
      </c>
      <c r="L612" s="1" t="s">
        <v>502</v>
      </c>
      <c r="M612" s="1" t="s">
        <v>683</v>
      </c>
    </row>
    <row r="613" customFormat="false" ht="15" hidden="false" customHeight="false" outlineLevel="0" collapsed="false">
      <c r="B613" s="1" t="n">
        <v>6132</v>
      </c>
      <c r="C61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SKYWORTH-65 UB7500 10B</v>
      </c>
      <c r="D613" s="75" t="n">
        <v>46078</v>
      </c>
      <c r="E61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420</v>
      </c>
      <c r="F61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42</v>
      </c>
      <c r="G613" s="1" t="n">
        <v>1</v>
      </c>
      <c r="I613" s="1" t="n">
        <f aca="false">(salidas26[[#This Row],[CANT JUEGOS ]]*salidas26[[#This Row],[PRECIO JUEGO]])</f>
        <v>420</v>
      </c>
      <c r="J613" s="1" t="n">
        <f aca="false">(salidas26[[#This Row],[CANT BARRAS]]*salidas26[[#This Row],[PRECIO BARRA]])</f>
        <v>0</v>
      </c>
      <c r="K613" s="1" t="n">
        <v>360</v>
      </c>
      <c r="L613" s="1" t="s">
        <v>502</v>
      </c>
      <c r="M613" s="1" t="s">
        <v>684</v>
      </c>
    </row>
    <row r="614" customFormat="false" ht="15" hidden="false" customHeight="false" outlineLevel="0" collapsed="false">
      <c r="B614" s="1" t="n">
        <v>6000</v>
      </c>
      <c r="C61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SKYWORTH 2B/6LED/3V </v>
      </c>
      <c r="D614" s="75" t="n">
        <v>46078</v>
      </c>
      <c r="E61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61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14" s="1" t="n">
        <v>1</v>
      </c>
      <c r="I614" s="1" t="n">
        <f aca="false">(salidas26[[#This Row],[CANT JUEGOS ]]*salidas26[[#This Row],[PRECIO JUEGO]])</f>
        <v>60</v>
      </c>
      <c r="J614" s="1" t="n">
        <f aca="false">(salidas26[[#This Row],[CANT BARRAS]]*salidas26[[#This Row],[PRECIO BARRA]])</f>
        <v>0</v>
      </c>
      <c r="K614" s="1" t="n">
        <v>60</v>
      </c>
      <c r="L614" s="1" t="s">
        <v>502</v>
      </c>
      <c r="M614" s="1" t="s">
        <v>510</v>
      </c>
    </row>
    <row r="615" customFormat="false" ht="15" hidden="false" customHeight="false" outlineLevel="0" collapsed="false">
      <c r="B615" s="1" t="n">
        <v>8095</v>
      </c>
      <c r="C61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 PREMIER 5L/3V 10B</v>
      </c>
      <c r="D615" s="75" t="n">
        <v>46078</v>
      </c>
      <c r="E61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61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15" s="1" t="n">
        <v>1</v>
      </c>
      <c r="I615" s="1" t="n">
        <f aca="false">(salidas26[[#This Row],[CANT JUEGOS ]]*salidas26[[#This Row],[PRECIO JUEGO]])</f>
        <v>300</v>
      </c>
      <c r="J615" s="1" t="n">
        <f aca="false">(salidas26[[#This Row],[CANT BARRAS]]*salidas26[[#This Row],[PRECIO BARRA]])</f>
        <v>0</v>
      </c>
      <c r="K615" s="1" t="n">
        <v>300</v>
      </c>
      <c r="L615" s="1" t="s">
        <v>502</v>
      </c>
      <c r="M615" s="1" t="s">
        <v>510</v>
      </c>
    </row>
    <row r="616" customFormat="false" ht="15" hidden="false" customHeight="false" outlineLevel="0" collapsed="false">
      <c r="B616" s="1" t="n">
        <v>6000</v>
      </c>
      <c r="C61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SKYWORTH 2B/6LED/3V </v>
      </c>
      <c r="D616" s="75" t="n">
        <v>46078</v>
      </c>
      <c r="E61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61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16" s="1" t="n">
        <v>1</v>
      </c>
      <c r="I616" s="1" t="n">
        <f aca="false">(salidas26[[#This Row],[CANT JUEGOS ]]*salidas26[[#This Row],[PRECIO JUEGO]])</f>
        <v>60</v>
      </c>
      <c r="J616" s="1" t="n">
        <f aca="false">(salidas26[[#This Row],[CANT BARRAS]]*salidas26[[#This Row],[PRECIO BARRA]])</f>
        <v>0</v>
      </c>
      <c r="K616" s="1" t="n">
        <v>60</v>
      </c>
      <c r="L616" s="1" t="s">
        <v>502</v>
      </c>
      <c r="M616" s="1" t="s">
        <v>665</v>
      </c>
    </row>
    <row r="617" customFormat="false" ht="15" hidden="false" customHeight="false" outlineLevel="0" collapsed="false">
      <c r="B617" s="1" t="n">
        <v>2075</v>
      </c>
      <c r="C61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UN55NU7100-UN55RU7100/2B EDGE</v>
      </c>
      <c r="D617" s="75" t="n">
        <v>46078</v>
      </c>
      <c r="E61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61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100</v>
      </c>
      <c r="G617" s="1" t="n">
        <v>1</v>
      </c>
      <c r="H617" s="1" t="n">
        <v>1</v>
      </c>
      <c r="I617" s="1" t="n">
        <f aca="false">(salidas26[[#This Row],[CANT JUEGOS ]]*salidas26[[#This Row],[PRECIO JUEGO]])</f>
        <v>200</v>
      </c>
      <c r="J617" s="1" t="n">
        <f aca="false">(salidas26[[#This Row],[CANT BARRAS]]*salidas26[[#This Row],[PRECIO BARRA]])</f>
        <v>100</v>
      </c>
      <c r="K617" s="1" t="n">
        <v>250</v>
      </c>
      <c r="L617" s="1" t="s">
        <v>533</v>
      </c>
      <c r="M617" s="1" t="s">
        <v>685</v>
      </c>
    </row>
    <row r="618" customFormat="false" ht="15" hidden="false" customHeight="false" outlineLevel="0" collapsed="false">
      <c r="B618" s="1" t="n">
        <v>1063</v>
      </c>
      <c r="C61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43LH5000/5B</v>
      </c>
      <c r="D618" s="75" t="n">
        <v>46078</v>
      </c>
      <c r="E61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61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36</v>
      </c>
      <c r="G618" s="1" t="n">
        <v>1</v>
      </c>
      <c r="I618" s="1" t="n">
        <f aca="false">(salidas26[[#This Row],[CANT JUEGOS ]]*salidas26[[#This Row],[PRECIO JUEGO]])</f>
        <v>180</v>
      </c>
      <c r="J618" s="1" t="n">
        <f aca="false">(salidas26[[#This Row],[CANT BARRAS]]*salidas26[[#This Row],[PRECIO BARRA]])</f>
        <v>0</v>
      </c>
      <c r="K618" s="1" t="n">
        <v>200</v>
      </c>
      <c r="L618" s="1" t="s">
        <v>533</v>
      </c>
      <c r="M618" s="1" t="s">
        <v>546</v>
      </c>
    </row>
    <row r="619" customFormat="false" ht="15" hidden="false" customHeight="false" outlineLevel="0" collapsed="false">
      <c r="B619" s="1" t="n">
        <v>2063</v>
      </c>
      <c r="C61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UN50NU7100./2B EDGE</v>
      </c>
      <c r="D619" s="75" t="n">
        <v>46078</v>
      </c>
      <c r="E61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61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90</v>
      </c>
      <c r="G619" s="1" t="n">
        <v>1</v>
      </c>
      <c r="I619" s="1" t="n">
        <f aca="false">(salidas26[[#This Row],[CANT JUEGOS ]]*salidas26[[#This Row],[PRECIO JUEGO]])</f>
        <v>180</v>
      </c>
      <c r="J619" s="1" t="n">
        <f aca="false">(salidas26[[#This Row],[CANT BARRAS]]*salidas26[[#This Row],[PRECIO BARRA]])</f>
        <v>0</v>
      </c>
      <c r="K619" s="1" t="n">
        <v>180</v>
      </c>
      <c r="L619" s="1" t="s">
        <v>502</v>
      </c>
      <c r="M619" s="1" t="s">
        <v>506</v>
      </c>
    </row>
    <row r="620" customFormat="false" ht="15" hidden="false" customHeight="false" outlineLevel="0" collapsed="false">
      <c r="B620" s="1" t="n">
        <v>1105</v>
      </c>
      <c r="C62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50LB6500/10B</v>
      </c>
      <c r="D620" s="75" t="n">
        <v>46078</v>
      </c>
      <c r="E62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62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20" s="1" t="n">
        <v>1</v>
      </c>
      <c r="I620" s="1" t="n">
        <f aca="false">(salidas26[[#This Row],[CANT JUEGOS ]]*salidas26[[#This Row],[PRECIO JUEGO]])</f>
        <v>300</v>
      </c>
      <c r="J620" s="1" t="n">
        <f aca="false">(salidas26[[#This Row],[CANT BARRAS]]*salidas26[[#This Row],[PRECIO BARRA]])</f>
        <v>0</v>
      </c>
      <c r="K620" s="1" t="n">
        <v>280</v>
      </c>
      <c r="L620" s="1" t="s">
        <v>533</v>
      </c>
      <c r="M620" s="1" t="s">
        <v>503</v>
      </c>
    </row>
    <row r="621" customFormat="false" ht="15" hidden="false" customHeight="false" outlineLevel="0" collapsed="false">
      <c r="B621" s="1" t="n">
        <v>8068</v>
      </c>
      <c r="C62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3V/10L/4B</v>
      </c>
      <c r="D621" s="75" t="n">
        <v>46078</v>
      </c>
      <c r="E62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62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621" s="1" t="n">
        <v>1</v>
      </c>
      <c r="I621" s="1" t="n">
        <f aca="false">(salidas26[[#This Row],[CANT JUEGOS ]]*salidas26[[#This Row],[PRECIO JUEGO]])</f>
        <v>220</v>
      </c>
      <c r="J621" s="1" t="n">
        <f aca="false">(salidas26[[#This Row],[CANT BARRAS]]*salidas26[[#This Row],[PRECIO BARRA]])</f>
        <v>0</v>
      </c>
      <c r="K621" s="1" t="n">
        <v>200</v>
      </c>
      <c r="L621" s="1" t="s">
        <v>502</v>
      </c>
      <c r="M621" s="1" t="s">
        <v>560</v>
      </c>
    </row>
    <row r="622" customFormat="false" ht="15" hidden="false" customHeight="false" outlineLevel="0" collapsed="false">
      <c r="B622" s="1" t="n">
        <v>8095</v>
      </c>
      <c r="C62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 PREMIER 5L/3V 10B</v>
      </c>
      <c r="D622" s="75" t="n">
        <v>46079</v>
      </c>
      <c r="E62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62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22" s="1" t="n">
        <v>1</v>
      </c>
      <c r="I622" s="1" t="n">
        <f aca="false">(salidas26[[#This Row],[CANT JUEGOS ]]*salidas26[[#This Row],[PRECIO JUEGO]])</f>
        <v>300</v>
      </c>
      <c r="J622" s="1" t="n">
        <f aca="false">(salidas26[[#This Row],[CANT BARRAS]]*salidas26[[#This Row],[PRECIO BARRA]])</f>
        <v>0</v>
      </c>
      <c r="K622" s="1" t="n">
        <v>280</v>
      </c>
      <c r="L622" s="1" t="s">
        <v>533</v>
      </c>
      <c r="M622" s="1" t="s">
        <v>544</v>
      </c>
    </row>
    <row r="623" customFormat="false" ht="15" hidden="false" customHeight="false" outlineLevel="0" collapsed="false">
      <c r="B623" s="1" t="n">
        <v>2087</v>
      </c>
      <c r="C62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UN58NU7100 /2B EDGE</v>
      </c>
      <c r="D623" s="75" t="n">
        <v>46079</v>
      </c>
      <c r="E62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62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120</v>
      </c>
      <c r="G623" s="1" t="n">
        <v>1</v>
      </c>
      <c r="I623" s="1" t="n">
        <f aca="false">(salidas26[[#This Row],[CANT JUEGOS ]]*salidas26[[#This Row],[PRECIO JUEGO]])</f>
        <v>240</v>
      </c>
      <c r="J623" s="1" t="n">
        <f aca="false">(salidas26[[#This Row],[CANT BARRAS]]*salidas26[[#This Row],[PRECIO BARRA]])</f>
        <v>0</v>
      </c>
      <c r="K623" s="1" t="n">
        <v>220</v>
      </c>
      <c r="L623" s="1" t="s">
        <v>533</v>
      </c>
      <c r="M623" s="1" t="s">
        <v>544</v>
      </c>
    </row>
    <row r="624" customFormat="false" ht="15" hidden="false" customHeight="false" outlineLevel="0" collapsed="false">
      <c r="A624" s="1" t="n">
        <v>381</v>
      </c>
      <c r="B624" s="1" t="n">
        <v>8087</v>
      </c>
      <c r="C62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PREMIER TV-7130SF55SF/9B</v>
      </c>
      <c r="D624" s="75" t="n">
        <v>46079</v>
      </c>
      <c r="E62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62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27.7777777777778</v>
      </c>
      <c r="G624" s="1" t="n">
        <v>1</v>
      </c>
      <c r="I624" s="1" t="n">
        <f aca="false">(salidas26[[#This Row],[CANT JUEGOS ]]*salidas26[[#This Row],[PRECIO JUEGO]])</f>
        <v>250</v>
      </c>
      <c r="J624" s="1" t="n">
        <f aca="false">(salidas26[[#This Row],[CANT BARRAS]]*salidas26[[#This Row],[PRECIO BARRA]])</f>
        <v>0</v>
      </c>
      <c r="K624" s="1" t="n">
        <v>200</v>
      </c>
      <c r="L624" s="1" t="s">
        <v>533</v>
      </c>
      <c r="M624" s="1" t="s">
        <v>686</v>
      </c>
    </row>
    <row r="625" customFormat="false" ht="15" hidden="false" customHeight="false" outlineLevel="0" collapsed="false">
      <c r="A625" s="1" t="n">
        <v>382</v>
      </c>
      <c r="B625" s="1" t="n">
        <v>2090</v>
      </c>
      <c r="C62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UN58FH/12B</v>
      </c>
      <c r="D625" s="75" t="n">
        <v>46079</v>
      </c>
      <c r="E62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62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29.1666666666667</v>
      </c>
      <c r="G625" s="1" t="n">
        <v>1</v>
      </c>
      <c r="I625" s="1" t="n">
        <f aca="false">(salidas26[[#This Row],[CANT JUEGOS ]]*salidas26[[#This Row],[PRECIO JUEGO]])</f>
        <v>350</v>
      </c>
      <c r="J625" s="1" t="n">
        <f aca="false">(salidas26[[#This Row],[CANT BARRAS]]*salidas26[[#This Row],[PRECIO BARRA]])</f>
        <v>0</v>
      </c>
      <c r="K625" s="1" t="n">
        <v>340</v>
      </c>
      <c r="L625" s="1" t="s">
        <v>502</v>
      </c>
      <c r="M625" s="1" t="s">
        <v>642</v>
      </c>
    </row>
    <row r="626" customFormat="false" ht="15" hidden="false" customHeight="false" outlineLevel="0" collapsed="false">
      <c r="A626" s="1" t="n">
        <v>383</v>
      </c>
      <c r="B626" s="1" t="n">
        <v>8033</v>
      </c>
      <c r="C62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626" s="75" t="n">
        <v>46079</v>
      </c>
      <c r="E62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62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626" s="1" t="n">
        <v>1</v>
      </c>
      <c r="I626" s="1" t="n">
        <f aca="false">(salidas26[[#This Row],[CANT JUEGOS ]]*salidas26[[#This Row],[PRECIO JUEGO]])</f>
        <v>150</v>
      </c>
      <c r="J626" s="1" t="n">
        <f aca="false">(salidas26[[#This Row],[CANT BARRAS]]*salidas26[[#This Row],[PRECIO BARRA]])</f>
        <v>0</v>
      </c>
      <c r="K626" s="1" t="n">
        <v>140</v>
      </c>
      <c r="L626" s="1" t="s">
        <v>502</v>
      </c>
      <c r="M626" s="1" t="s">
        <v>642</v>
      </c>
    </row>
    <row r="627" customFormat="false" ht="31.3" hidden="false" customHeight="false" outlineLevel="0" collapsed="false">
      <c r="A627" s="1" t="n">
        <v>384</v>
      </c>
      <c r="B627" s="1" t="n">
        <v>6029</v>
      </c>
      <c r="C627" s="76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MASTER G MGU5810X 5L/10B
58G2 Skyworth</v>
      </c>
      <c r="D627" s="75" t="n">
        <v>46079</v>
      </c>
      <c r="E62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62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H627" s="1" t="n">
        <v>2</v>
      </c>
      <c r="I627" s="1" t="n">
        <f aca="false">(salidas26[[#This Row],[CANT JUEGOS ]]*salidas26[[#This Row],[PRECIO JUEGO]])</f>
        <v>0</v>
      </c>
      <c r="J627" s="1" t="n">
        <f aca="false">(salidas26[[#This Row],[CANT BARRAS]]*salidas26[[#This Row],[PRECIO BARRA]])</f>
        <v>60</v>
      </c>
      <c r="K627" s="1" t="n">
        <v>60</v>
      </c>
      <c r="L627" s="1" t="s">
        <v>533</v>
      </c>
      <c r="M627" s="1" t="s">
        <v>642</v>
      </c>
    </row>
    <row r="628" customFormat="false" ht="15" hidden="false" customHeight="false" outlineLevel="0" collapsed="false">
      <c r="A628" s="1" t="n">
        <v>385</v>
      </c>
      <c r="B628" s="1" t="n">
        <v>6008</v>
      </c>
      <c r="C62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SKYWORTH SUC9350 8L /3B</v>
      </c>
      <c r="D628" s="75" t="n">
        <v>46079</v>
      </c>
      <c r="E62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62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628" s="1" t="n">
        <v>1</v>
      </c>
      <c r="I628" s="1" t="n">
        <f aca="false">(salidas26[[#This Row],[CANT JUEGOS ]]*salidas26[[#This Row],[PRECIO JUEGO]])</f>
        <v>180</v>
      </c>
      <c r="J628" s="1" t="n">
        <f aca="false">(salidas26[[#This Row],[CANT BARRAS]]*salidas26[[#This Row],[PRECIO BARRA]])</f>
        <v>0</v>
      </c>
      <c r="K628" s="1" t="n">
        <v>180</v>
      </c>
      <c r="L628" s="1" t="s">
        <v>502</v>
      </c>
      <c r="M628" s="1" t="s">
        <v>579</v>
      </c>
    </row>
    <row r="629" customFormat="false" ht="15" hidden="false" customHeight="false" outlineLevel="0" collapsed="false">
      <c r="A629" s="1" t="n">
        <v>386</v>
      </c>
      <c r="B629" s="1" t="n">
        <v>8033</v>
      </c>
      <c r="C62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629" s="75" t="n">
        <v>46079</v>
      </c>
      <c r="E62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62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629" s="1" t="n">
        <v>1</v>
      </c>
      <c r="I629" s="1" t="n">
        <f aca="false">(salidas26[[#This Row],[CANT JUEGOS ]]*salidas26[[#This Row],[PRECIO JUEGO]])</f>
        <v>150</v>
      </c>
      <c r="J629" s="1" t="n">
        <f aca="false">(salidas26[[#This Row],[CANT BARRAS]]*salidas26[[#This Row],[PRECIO BARRA]])</f>
        <v>0</v>
      </c>
      <c r="K629" s="1" t="n">
        <v>150</v>
      </c>
      <c r="L629" s="1" t="s">
        <v>533</v>
      </c>
      <c r="M629" s="1" t="s">
        <v>687</v>
      </c>
    </row>
    <row r="630" customFormat="false" ht="15" hidden="false" customHeight="false" outlineLevel="0" collapsed="false">
      <c r="A630" s="1" t="n">
        <v>387</v>
      </c>
      <c r="B630" s="1" t="n">
        <v>1015</v>
      </c>
      <c r="C63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32LH500B-32LK500 3B/7L/3V</v>
      </c>
      <c r="D630" s="75" t="n">
        <v>46079</v>
      </c>
      <c r="E63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63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630" s="1" t="n">
        <v>1</v>
      </c>
      <c r="I630" s="1" t="n">
        <f aca="false">(salidas26[[#This Row],[CANT JUEGOS ]]*salidas26[[#This Row],[PRECIO JUEGO]])</f>
        <v>80</v>
      </c>
      <c r="J630" s="1" t="n">
        <f aca="false">(salidas26[[#This Row],[CANT BARRAS]]*salidas26[[#This Row],[PRECIO BARRA]])</f>
        <v>0</v>
      </c>
      <c r="K630" s="1" t="n">
        <v>80</v>
      </c>
      <c r="L630" s="1" t="s">
        <v>502</v>
      </c>
      <c r="M630" s="1" t="s">
        <v>688</v>
      </c>
    </row>
    <row r="631" customFormat="false" ht="15" hidden="false" customHeight="false" outlineLevel="0" collapsed="false">
      <c r="A631" s="1" t="n">
        <v>388</v>
      </c>
      <c r="B631" s="1" t="n">
        <v>8024</v>
      </c>
      <c r="C63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39 CHANCHONG CHIQ/3B</v>
      </c>
      <c r="D631" s="75" t="n">
        <v>46079</v>
      </c>
      <c r="E63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63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15</v>
      </c>
      <c r="G631" s="1" t="n">
        <v>1</v>
      </c>
      <c r="I631" s="1" t="n">
        <f aca="false">(salidas26[[#This Row],[CANT JUEGOS ]]*salidas26[[#This Row],[PRECIO JUEGO]])</f>
        <v>150</v>
      </c>
      <c r="J631" s="1" t="n">
        <f aca="false">(salidas26[[#This Row],[CANT BARRAS]]*salidas26[[#This Row],[PRECIO BARRA]])</f>
        <v>0</v>
      </c>
      <c r="K631" s="1" t="n">
        <v>150</v>
      </c>
      <c r="L631" s="1" t="s">
        <v>502</v>
      </c>
      <c r="M631" s="1" t="s">
        <v>689</v>
      </c>
    </row>
    <row r="632" customFormat="false" ht="15" hidden="false" customHeight="false" outlineLevel="0" collapsed="false">
      <c r="A632" s="1" t="n">
        <v>389</v>
      </c>
      <c r="B632" s="1" t="n">
        <v>2027</v>
      </c>
      <c r="C63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UN43J5290/8B</v>
      </c>
      <c r="D632" s="75" t="n">
        <v>46079</v>
      </c>
      <c r="E63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63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632" s="1" t="n">
        <v>1</v>
      </c>
      <c r="I632" s="1" t="n">
        <f aca="false">(salidas26[[#This Row],[CANT JUEGOS ]]*salidas26[[#This Row],[PRECIO JUEGO]])</f>
        <v>180</v>
      </c>
      <c r="J632" s="1" t="n">
        <f aca="false">(salidas26[[#This Row],[CANT BARRAS]]*salidas26[[#This Row],[PRECIO BARRA]])</f>
        <v>0</v>
      </c>
      <c r="K632" s="1" t="n">
        <v>180</v>
      </c>
      <c r="L632" s="1" t="s">
        <v>502</v>
      </c>
      <c r="M632" s="1" t="s">
        <v>524</v>
      </c>
    </row>
    <row r="633" customFormat="false" ht="15" hidden="false" customHeight="false" outlineLevel="0" collapsed="false">
      <c r="A633" s="1" t="n">
        <v>390</v>
      </c>
      <c r="B633" s="1" t="n">
        <v>5012</v>
      </c>
      <c r="C63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KDL-40R455 SONY/10B</v>
      </c>
      <c r="D633" s="75" t="n">
        <v>46079</v>
      </c>
      <c r="E63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63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633" s="1" t="n">
        <v>1</v>
      </c>
      <c r="I633" s="1" t="n">
        <f aca="false">(salidas26[[#This Row],[CANT JUEGOS ]]*salidas26[[#This Row],[PRECIO JUEGO]])</f>
        <v>200</v>
      </c>
      <c r="J633" s="1" t="n">
        <f aca="false">(salidas26[[#This Row],[CANT BARRAS]]*salidas26[[#This Row],[PRECIO BARRA]])</f>
        <v>0</v>
      </c>
      <c r="K633" s="1" t="n">
        <v>144</v>
      </c>
      <c r="L633" s="1" t="s">
        <v>502</v>
      </c>
      <c r="M633" s="1" t="s">
        <v>534</v>
      </c>
    </row>
    <row r="634" customFormat="false" ht="15" hidden="false" customHeight="false" outlineLevel="0" collapsed="false">
      <c r="A634" s="1" t="n">
        <v>391</v>
      </c>
      <c r="B634" s="1" t="n">
        <v>8055</v>
      </c>
      <c r="C63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PREMIER 8L/3V/3B 8047SF43SF</v>
      </c>
      <c r="D634" s="75" t="n">
        <v>46079</v>
      </c>
      <c r="E63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63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634" s="1" t="n">
        <v>1</v>
      </c>
      <c r="I634" s="1" t="n">
        <f aca="false">(salidas26[[#This Row],[CANT JUEGOS ]]*salidas26[[#This Row],[PRECIO JUEGO]])</f>
        <v>180</v>
      </c>
      <c r="J634" s="1" t="n">
        <f aca="false">(salidas26[[#This Row],[CANT BARRAS]]*salidas26[[#This Row],[PRECIO BARRA]])</f>
        <v>0</v>
      </c>
      <c r="K634" s="1" t="n">
        <v>160</v>
      </c>
      <c r="L634" s="1" t="s">
        <v>502</v>
      </c>
      <c r="M634" s="1" t="s">
        <v>534</v>
      </c>
    </row>
    <row r="635" customFormat="false" ht="15" hidden="false" customHeight="false" outlineLevel="0" collapsed="false">
      <c r="A635" s="1" t="n">
        <v>392</v>
      </c>
      <c r="B635" s="1" t="n">
        <v>8021</v>
      </c>
      <c r="C63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JVC RECTO /2B</v>
      </c>
      <c r="D635" s="75" t="n">
        <v>46079</v>
      </c>
      <c r="E63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63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35" s="1" t="n">
        <v>1</v>
      </c>
      <c r="I635" s="1" t="n">
        <f aca="false">(salidas26[[#This Row],[CANT JUEGOS ]]*salidas26[[#This Row],[PRECIO JUEGO]])</f>
        <v>60</v>
      </c>
      <c r="J635" s="1" t="n">
        <f aca="false">(salidas26[[#This Row],[CANT BARRAS]]*salidas26[[#This Row],[PRECIO BARRA]])</f>
        <v>0</v>
      </c>
      <c r="K635" s="1" t="n">
        <v>48</v>
      </c>
      <c r="L635" s="1" t="s">
        <v>502</v>
      </c>
      <c r="M635" s="1" t="s">
        <v>534</v>
      </c>
    </row>
    <row r="636" customFormat="false" ht="31.3" hidden="false" customHeight="false" outlineLevel="0" collapsed="false">
      <c r="A636" s="1" t="n">
        <v>393</v>
      </c>
      <c r="B636" s="1" t="n">
        <v>4000</v>
      </c>
      <c r="C636" s="76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 V780-TCL 5L/6V -2B
MI L32M5-5ASP</v>
      </c>
      <c r="D636" s="75" t="n">
        <v>46079</v>
      </c>
      <c r="E63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63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36" s="1" t="n">
        <v>1</v>
      </c>
      <c r="I636" s="1" t="n">
        <f aca="false">(salidas26[[#This Row],[CANT JUEGOS ]]*salidas26[[#This Row],[PRECIO JUEGO]])</f>
        <v>60</v>
      </c>
      <c r="J636" s="1" t="n">
        <f aca="false">(salidas26[[#This Row],[CANT BARRAS]]*salidas26[[#This Row],[PRECIO BARRA]])</f>
        <v>0</v>
      </c>
      <c r="K636" s="1" t="n">
        <v>48</v>
      </c>
      <c r="L636" s="1" t="s">
        <v>502</v>
      </c>
      <c r="M636" s="1" t="s">
        <v>534</v>
      </c>
    </row>
    <row r="637" customFormat="false" ht="15" hidden="false" customHeight="false" outlineLevel="0" collapsed="false">
      <c r="A637" s="1" t="n">
        <v>394</v>
      </c>
      <c r="B637" s="1" t="n">
        <v>1011</v>
      </c>
      <c r="C63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32LK540 6L/3V /2B</v>
      </c>
      <c r="D637" s="75" t="n">
        <v>46080</v>
      </c>
      <c r="E63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63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637" s="1" t="n">
        <v>1</v>
      </c>
      <c r="I637" s="1" t="n">
        <f aca="false">(salidas26[[#This Row],[CANT JUEGOS ]]*salidas26[[#This Row],[PRECIO JUEGO]])</f>
        <v>70</v>
      </c>
      <c r="J637" s="1" t="n">
        <f aca="false">(salidas26[[#This Row],[CANT BARRAS]]*salidas26[[#This Row],[PRECIO BARRA]])</f>
        <v>0</v>
      </c>
      <c r="K637" s="1" t="n">
        <v>60</v>
      </c>
      <c r="L637" s="1" t="s">
        <v>533</v>
      </c>
      <c r="M637" s="1" t="s">
        <v>690</v>
      </c>
    </row>
    <row r="638" customFormat="false" ht="15" hidden="false" customHeight="false" outlineLevel="0" collapsed="false">
      <c r="A638" s="1" t="n">
        <v>395</v>
      </c>
      <c r="B638" s="1" t="n">
        <v>2000</v>
      </c>
      <c r="C63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D638" s="75" t="n">
        <v>46080</v>
      </c>
      <c r="E63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63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638" s="1" t="n">
        <v>1</v>
      </c>
      <c r="I638" s="1" t="n">
        <f aca="false">(salidas26[[#This Row],[CANT JUEGOS ]]*salidas26[[#This Row],[PRECIO JUEGO]])</f>
        <v>80</v>
      </c>
      <c r="J638" s="1" t="n">
        <f aca="false">(salidas26[[#This Row],[CANT BARRAS]]*salidas26[[#This Row],[PRECIO BARRA]])</f>
        <v>0</v>
      </c>
      <c r="K638" s="1" t="n">
        <v>70</v>
      </c>
      <c r="L638" s="1" t="s">
        <v>533</v>
      </c>
      <c r="M638" s="1" t="s">
        <v>690</v>
      </c>
    </row>
    <row r="639" customFormat="false" ht="15" hidden="false" customHeight="false" outlineLevel="0" collapsed="false">
      <c r="A639" s="1" t="n">
        <v>396</v>
      </c>
      <c r="B639" s="1" t="n">
        <v>2107</v>
      </c>
      <c r="C63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75 AU8000-/4B</v>
      </c>
      <c r="D639" s="75" t="n">
        <v>46080</v>
      </c>
      <c r="E63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63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100</v>
      </c>
      <c r="G639" s="1" t="n">
        <v>1</v>
      </c>
      <c r="I639" s="1" t="n">
        <f aca="false">(salidas26[[#This Row],[CANT JUEGOS ]]*salidas26[[#This Row],[PRECIO JUEGO]])</f>
        <v>400</v>
      </c>
      <c r="J639" s="1" t="n">
        <f aca="false">(salidas26[[#This Row],[CANT BARRAS]]*salidas26[[#This Row],[PRECIO BARRA]])</f>
        <v>0</v>
      </c>
      <c r="K639" s="1" t="n">
        <v>350</v>
      </c>
      <c r="L639" s="1" t="s">
        <v>502</v>
      </c>
      <c r="M639" s="1" t="s">
        <v>691</v>
      </c>
    </row>
    <row r="640" customFormat="false" ht="15" hidden="false" customHeight="false" outlineLevel="0" collapsed="false">
      <c r="A640" s="1" t="n">
        <v>397</v>
      </c>
      <c r="B640" s="1" t="n">
        <v>8055</v>
      </c>
      <c r="C64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PREMIER 8L/3V/3B 8047SF43SF</v>
      </c>
      <c r="D640" s="75" t="n">
        <v>46080</v>
      </c>
      <c r="E64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64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640" s="1" t="n">
        <v>1</v>
      </c>
      <c r="I640" s="1" t="n">
        <f aca="false">(salidas26[[#This Row],[CANT JUEGOS ]]*salidas26[[#This Row],[PRECIO JUEGO]])</f>
        <v>180</v>
      </c>
      <c r="J640" s="1" t="n">
        <f aca="false">(salidas26[[#This Row],[CANT BARRAS]]*salidas26[[#This Row],[PRECIO BARRA]])</f>
        <v>0</v>
      </c>
      <c r="K640" s="1" t="n">
        <v>180</v>
      </c>
      <c r="L640" s="1" t="s">
        <v>502</v>
      </c>
      <c r="M640" s="1" t="s">
        <v>560</v>
      </c>
    </row>
    <row r="641" customFormat="false" ht="15" hidden="false" customHeight="false" outlineLevel="0" collapsed="false">
      <c r="A641" s="1" t="n">
        <v>398</v>
      </c>
      <c r="B641" s="1" t="n">
        <v>8090</v>
      </c>
      <c r="C64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TCL /8B/MASTER MGS5502XMG-</v>
      </c>
      <c r="D641" s="75" t="n">
        <v>46080</v>
      </c>
      <c r="E64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641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G641" s="1" t="n">
        <v>1</v>
      </c>
      <c r="I641" s="1" t="n">
        <f aca="false">(salidas26[[#This Row],[CANT JUEGOS ]]*salidas26[[#This Row],[PRECIO JUEGO]])</f>
        <v>300</v>
      </c>
      <c r="J641" s="1" t="e">
        <f aca="false">(salidas26[[#This Row],[CANT BARRAS]]*salidas26[[#This Row],[PRECIO BARRA]])</f>
        <v>#VALUE!</v>
      </c>
      <c r="K641" s="1" t="n">
        <v>270</v>
      </c>
      <c r="L641" s="1" t="s">
        <v>533</v>
      </c>
      <c r="M641" s="1" t="s">
        <v>692</v>
      </c>
    </row>
    <row r="642" customFormat="false" ht="15" hidden="false" customHeight="false" outlineLevel="0" collapsed="false">
      <c r="A642" s="1" t="n">
        <v>399</v>
      </c>
      <c r="B642" s="1" t="n">
        <v>6022</v>
      </c>
      <c r="C64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SKYWORTH SUC9350Pro /10L</v>
      </c>
      <c r="D642" s="75" t="n">
        <v>46080</v>
      </c>
      <c r="E64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64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70</v>
      </c>
      <c r="G642" s="1" t="n">
        <v>1</v>
      </c>
      <c r="I642" s="1" t="n">
        <f aca="false">(salidas26[[#This Row],[CANT JUEGOS ]]*salidas26[[#This Row],[PRECIO JUEGO]])</f>
        <v>350</v>
      </c>
      <c r="J642" s="1" t="n">
        <f aca="false">(salidas26[[#This Row],[CANT BARRAS]]*salidas26[[#This Row],[PRECIO BARRA]])</f>
        <v>0</v>
      </c>
      <c r="K642" s="1" t="n">
        <v>350</v>
      </c>
      <c r="L642" s="1" t="s">
        <v>502</v>
      </c>
      <c r="M642" s="1" t="s">
        <v>529</v>
      </c>
    </row>
    <row r="643" customFormat="false" ht="15" hidden="false" customHeight="false" outlineLevel="0" collapsed="false">
      <c r="A643" s="1" t="n">
        <v>400</v>
      </c>
      <c r="B643" s="1" t="n">
        <v>8082</v>
      </c>
      <c r="C64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L55M5-5ASP-XIAOMI 4B/12L/3V</v>
      </c>
      <c r="D643" s="75" t="n">
        <v>46080</v>
      </c>
      <c r="E64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320</v>
      </c>
      <c r="F643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G643" s="1" t="n">
        <v>1</v>
      </c>
      <c r="I643" s="1" t="n">
        <f aca="false">(salidas26[[#This Row],[CANT JUEGOS ]]*salidas26[[#This Row],[PRECIO JUEGO]])</f>
        <v>320</v>
      </c>
      <c r="J643" s="1" t="e">
        <f aca="false">(salidas26[[#This Row],[CANT BARRAS]]*salidas26[[#This Row],[PRECIO BARRA]])</f>
        <v>#VALUE!</v>
      </c>
      <c r="K643" s="1" t="n">
        <v>300</v>
      </c>
      <c r="L643" s="1" t="s">
        <v>502</v>
      </c>
      <c r="M643" s="1" t="s">
        <v>518</v>
      </c>
    </row>
    <row r="644" customFormat="false" ht="15" hidden="false" customHeight="false" outlineLevel="0" collapsed="false">
      <c r="A644" s="1" t="n">
        <v>401</v>
      </c>
      <c r="B644" s="1" t="n">
        <v>4009</v>
      </c>
      <c r="C64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43-DAEWO L43R630BKS/ 8B</v>
      </c>
      <c r="D644" s="75" t="n">
        <v>46080</v>
      </c>
      <c r="E64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64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644" s="1" t="n">
        <v>1</v>
      </c>
      <c r="I644" s="1" t="n">
        <f aca="false">(salidas26[[#This Row],[CANT JUEGOS ]]*salidas26[[#This Row],[PRECIO JUEGO]])</f>
        <v>160</v>
      </c>
      <c r="J644" s="1" t="n">
        <f aca="false">(salidas26[[#This Row],[CANT BARRAS]]*salidas26[[#This Row],[PRECIO BARRA]])</f>
        <v>0</v>
      </c>
      <c r="K644" s="1" t="n">
        <v>160</v>
      </c>
      <c r="L644" s="1" t="s">
        <v>502</v>
      </c>
      <c r="M644" s="1" t="s">
        <v>689</v>
      </c>
    </row>
    <row r="645" customFormat="false" ht="15" hidden="false" customHeight="false" outlineLevel="0" collapsed="false">
      <c r="A645" s="1" t="n">
        <v>402</v>
      </c>
      <c r="B645" s="1" t="n">
        <v>2067</v>
      </c>
      <c r="C64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UN50J5300-50J5500 12B</v>
      </c>
      <c r="D645" s="75" t="n">
        <v>46080</v>
      </c>
      <c r="E64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64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645" s="1" t="n">
        <v>1</v>
      </c>
      <c r="I645" s="1" t="n">
        <f aca="false">(salidas26[[#This Row],[CANT JUEGOS ]]*salidas26[[#This Row],[PRECIO JUEGO]])</f>
        <v>400</v>
      </c>
      <c r="J645" s="1" t="n">
        <f aca="false">(salidas26[[#This Row],[CANT BARRAS]]*salidas26[[#This Row],[PRECIO BARRA]])</f>
        <v>0</v>
      </c>
      <c r="K645" s="1" t="n">
        <v>300</v>
      </c>
      <c r="L645" s="1" t="s">
        <v>533</v>
      </c>
      <c r="M645" s="1" t="s">
        <v>508</v>
      </c>
    </row>
    <row r="646" customFormat="false" ht="31.3" hidden="false" customHeight="false" outlineLevel="0" collapsed="false">
      <c r="A646" s="1" t="n">
        <v>405</v>
      </c>
      <c r="B646" s="1" t="n">
        <v>4000</v>
      </c>
      <c r="C646" s="76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 V780-TCL 5L/6V -2B
MI L32M5-5ASP</v>
      </c>
      <c r="D646" s="75" t="n">
        <v>46081</v>
      </c>
      <c r="E64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64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46" s="1" t="n">
        <v>1</v>
      </c>
      <c r="I646" s="1" t="n">
        <f aca="false">(salidas26[[#This Row],[CANT JUEGOS ]]*salidas26[[#This Row],[PRECIO JUEGO]])</f>
        <v>60</v>
      </c>
      <c r="J646" s="1" t="n">
        <f aca="false">(salidas26[[#This Row],[CANT BARRAS]]*salidas26[[#This Row],[PRECIO BARRA]])</f>
        <v>0</v>
      </c>
      <c r="K646" s="1" t="n">
        <v>60</v>
      </c>
      <c r="L646" s="1" t="s">
        <v>502</v>
      </c>
      <c r="M646" s="1" t="s">
        <v>517</v>
      </c>
    </row>
    <row r="647" customFormat="false" ht="15" hidden="false" customHeight="false" outlineLevel="0" collapsed="false">
      <c r="A647" s="1" t="n">
        <v>406</v>
      </c>
      <c r="B647" s="1" t="n">
        <v>2000</v>
      </c>
      <c r="C64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D647" s="75" t="n">
        <v>46081</v>
      </c>
      <c r="E64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64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647" s="1" t="n">
        <v>1</v>
      </c>
      <c r="I647" s="1" t="n">
        <f aca="false">(salidas26[[#This Row],[CANT JUEGOS ]]*salidas26[[#This Row],[PRECIO JUEGO]])</f>
        <v>80</v>
      </c>
      <c r="J647" s="1" t="n">
        <f aca="false">(salidas26[[#This Row],[CANT BARRAS]]*salidas26[[#This Row],[PRECIO BARRA]])</f>
        <v>0</v>
      </c>
      <c r="K647" s="1" t="n">
        <v>70</v>
      </c>
      <c r="L647" s="1" t="s">
        <v>533</v>
      </c>
      <c r="M647" s="1" t="s">
        <v>503</v>
      </c>
    </row>
    <row r="648" customFormat="false" ht="15" hidden="false" customHeight="false" outlineLevel="0" collapsed="false">
      <c r="A648" s="1" t="n">
        <v>407</v>
      </c>
      <c r="B648" s="1" t="n">
        <v>8033</v>
      </c>
      <c r="C64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648" s="75" t="n">
        <v>46081</v>
      </c>
      <c r="E64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64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648" s="1" t="n">
        <v>1</v>
      </c>
      <c r="I648" s="1" t="n">
        <f aca="false">(salidas26[[#This Row],[CANT JUEGOS ]]*salidas26[[#This Row],[PRECIO JUEGO]])</f>
        <v>150</v>
      </c>
      <c r="J648" s="1" t="n">
        <f aca="false">(salidas26[[#This Row],[CANT BARRAS]]*salidas26[[#This Row],[PRECIO BARRA]])</f>
        <v>0</v>
      </c>
      <c r="K648" s="1" t="n">
        <v>140</v>
      </c>
      <c r="L648" s="1" t="s">
        <v>502</v>
      </c>
      <c r="M648" s="1" t="s">
        <v>693</v>
      </c>
    </row>
    <row r="649" customFormat="false" ht="15" hidden="false" customHeight="false" outlineLevel="0" collapsed="false">
      <c r="A649" s="1" t="n">
        <v>408</v>
      </c>
      <c r="B649" s="1" t="n">
        <v>1139</v>
      </c>
      <c r="C64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UM 8L 4B EL JUEGO</v>
      </c>
      <c r="D649" s="75" t="n">
        <v>46081</v>
      </c>
      <c r="E64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320</v>
      </c>
      <c r="F64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80</v>
      </c>
      <c r="G649" s="1" t="n">
        <v>1</v>
      </c>
      <c r="I649" s="1" t="n">
        <f aca="false">(salidas26[[#This Row],[CANT JUEGOS ]]*salidas26[[#This Row],[PRECIO JUEGO]])</f>
        <v>320</v>
      </c>
      <c r="J649" s="1" t="n">
        <f aca="false">(salidas26[[#This Row],[CANT BARRAS]]*salidas26[[#This Row],[PRECIO BARRA]])</f>
        <v>0</v>
      </c>
      <c r="K649" s="1" t="n">
        <v>320</v>
      </c>
      <c r="L649" s="1" t="s">
        <v>502</v>
      </c>
      <c r="M649" s="1" t="s">
        <v>506</v>
      </c>
    </row>
    <row r="650" customFormat="false" ht="15" hidden="false" customHeight="false" outlineLevel="0" collapsed="false">
      <c r="A650" s="1" t="n">
        <v>409</v>
      </c>
      <c r="B650" s="1" t="n">
        <v>7015</v>
      </c>
      <c r="C65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IRT 50604 9L  lupa 180 4B</v>
      </c>
      <c r="D650" s="75" t="n">
        <v>46081</v>
      </c>
      <c r="E65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65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650" s="1" t="n">
        <v>1</v>
      </c>
      <c r="I650" s="1" t="n">
        <f aca="false">(salidas26[[#This Row],[CANT JUEGOS ]]*salidas26[[#This Row],[PRECIO JUEGO]])</f>
        <v>200</v>
      </c>
      <c r="J650" s="1" t="n">
        <f aca="false">(salidas26[[#This Row],[CANT BARRAS]]*salidas26[[#This Row],[PRECIO BARRA]])</f>
        <v>0</v>
      </c>
      <c r="K650" s="1" t="n">
        <v>220</v>
      </c>
      <c r="L650" s="1" t="s">
        <v>533</v>
      </c>
      <c r="M650" s="1" t="s">
        <v>579</v>
      </c>
    </row>
    <row r="651" customFormat="false" ht="15" hidden="false" customHeight="false" outlineLevel="0" collapsed="false">
      <c r="A651" s="1" t="n">
        <v>410</v>
      </c>
      <c r="B651" s="1" t="n">
        <v>1099</v>
      </c>
      <c r="C65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49UJ6560-LUPA GIGANTE/4B</v>
      </c>
      <c r="D651" s="75" t="n">
        <v>46081</v>
      </c>
      <c r="E65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65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651" s="1" t="n">
        <v>1</v>
      </c>
      <c r="I651" s="1" t="n">
        <f aca="false">(salidas26[[#This Row],[CANT JUEGOS ]]*salidas26[[#This Row],[PRECIO JUEGO]])</f>
        <v>220</v>
      </c>
      <c r="J651" s="1" t="n">
        <f aca="false">(salidas26[[#This Row],[CANT BARRAS]]*salidas26[[#This Row],[PRECIO BARRA]])</f>
        <v>0</v>
      </c>
      <c r="K651" s="1" t="n">
        <v>220</v>
      </c>
      <c r="L651" s="1" t="s">
        <v>502</v>
      </c>
      <c r="M651" s="1" t="s">
        <v>503</v>
      </c>
    </row>
    <row r="652" customFormat="false" ht="15" hidden="false" customHeight="false" outlineLevel="0" collapsed="false">
      <c r="A652" s="1" t="n">
        <v>411</v>
      </c>
      <c r="B652" s="1" t="n">
        <v>8006</v>
      </c>
      <c r="C65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27 PULG</v>
      </c>
      <c r="D652" s="75" t="n">
        <v>46081</v>
      </c>
      <c r="E65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65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652" s="1" t="n">
        <v>1</v>
      </c>
      <c r="I652" s="1" t="n">
        <f aca="false">(salidas26[[#This Row],[CANT JUEGOS ]]*salidas26[[#This Row],[PRECIO JUEGO]])</f>
        <v>80</v>
      </c>
      <c r="J652" s="1" t="n">
        <f aca="false">(salidas26[[#This Row],[CANT BARRAS]]*salidas26[[#This Row],[PRECIO BARRA]])</f>
        <v>0</v>
      </c>
      <c r="K652" s="1" t="n">
        <v>50</v>
      </c>
      <c r="L652" s="1" t="s">
        <v>533</v>
      </c>
      <c r="M652" s="1" t="s">
        <v>508</v>
      </c>
    </row>
    <row r="653" customFormat="false" ht="15" hidden="false" customHeight="false" outlineLevel="0" collapsed="false">
      <c r="A653" s="1" t="n">
        <v>412</v>
      </c>
      <c r="B653" s="1" t="n">
        <v>6022</v>
      </c>
      <c r="C65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SKYWORTH SUC9350Pro /10L</v>
      </c>
      <c r="D653" s="75" t="n">
        <v>46081</v>
      </c>
      <c r="E65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65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70</v>
      </c>
      <c r="G653" s="1" t="n">
        <v>2</v>
      </c>
      <c r="I653" s="1" t="n">
        <f aca="false">(salidas26[[#This Row],[CANT JUEGOS ]]*salidas26[[#This Row],[PRECIO JUEGO]])</f>
        <v>700</v>
      </c>
      <c r="J653" s="1" t="n">
        <f aca="false">(salidas26[[#This Row],[CANT BARRAS]]*salidas26[[#This Row],[PRECIO BARRA]])</f>
        <v>0</v>
      </c>
      <c r="K653" s="1" t="n">
        <v>560</v>
      </c>
      <c r="L653" s="1" t="s">
        <v>694</v>
      </c>
      <c r="M653" s="1" t="s">
        <v>649</v>
      </c>
    </row>
    <row r="654" customFormat="false" ht="15" hidden="false" customHeight="false" outlineLevel="0" collapsed="false">
      <c r="A654" s="1" t="n">
        <v>413</v>
      </c>
      <c r="B654" s="1" t="n">
        <v>8124</v>
      </c>
      <c r="C65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LUPA NORMAL 3V/2W S/C </v>
      </c>
      <c r="D654" s="75" t="n">
        <v>46081</v>
      </c>
      <c r="E65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65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G654" s="1" t="n">
        <v>20</v>
      </c>
      <c r="I654" s="1" t="n">
        <f aca="false">(salidas26[[#This Row],[CANT JUEGOS ]]*salidas26[[#This Row],[PRECIO JUEGO]])</f>
        <v>70</v>
      </c>
      <c r="J654" s="1" t="n">
        <f aca="false">(salidas26[[#This Row],[CANT BARRAS]]*salidas26[[#This Row],[PRECIO BARRA]])</f>
        <v>0</v>
      </c>
      <c r="K654" s="1" t="n">
        <v>70</v>
      </c>
      <c r="L654" s="1" t="s">
        <v>502</v>
      </c>
      <c r="M654" s="1" t="s">
        <v>518</v>
      </c>
    </row>
    <row r="655" customFormat="false" ht="15" hidden="false" customHeight="false" outlineLevel="0" collapsed="false">
      <c r="A655" s="1" t="n">
        <v>414</v>
      </c>
      <c r="B655" s="1" t="n">
        <v>2040</v>
      </c>
      <c r="C65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UN48H6400-48J6400/12B</v>
      </c>
      <c r="D655" s="75" t="n">
        <v>46081</v>
      </c>
      <c r="E65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360</v>
      </c>
      <c r="F65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55" s="1" t="n">
        <v>1</v>
      </c>
      <c r="I655" s="1" t="n">
        <f aca="false">(salidas26[[#This Row],[CANT JUEGOS ]]*salidas26[[#This Row],[PRECIO JUEGO]])</f>
        <v>360</v>
      </c>
      <c r="J655" s="1" t="n">
        <f aca="false">(salidas26[[#This Row],[CANT BARRAS]]*salidas26[[#This Row],[PRECIO BARRA]])</f>
        <v>0</v>
      </c>
      <c r="K655" s="1" t="n">
        <v>250</v>
      </c>
      <c r="L655" s="1" t="s">
        <v>601</v>
      </c>
      <c r="M655" s="1" t="s">
        <v>695</v>
      </c>
    </row>
    <row r="656" customFormat="false" ht="31.3" hidden="false" customHeight="false" outlineLevel="0" collapsed="false">
      <c r="A656" s="1" t="n">
        <v>415</v>
      </c>
      <c r="B656" s="1" t="n">
        <v>4000</v>
      </c>
      <c r="C656" s="76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 V780-TCL 5L/6V -2B
MI L32M5-5ASP</v>
      </c>
      <c r="D656" s="75" t="n">
        <v>46081</v>
      </c>
      <c r="E65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65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56" s="1" t="n">
        <v>1</v>
      </c>
      <c r="I656" s="1" t="n">
        <f aca="false">(salidas26[[#This Row],[CANT JUEGOS ]]*salidas26[[#This Row],[PRECIO JUEGO]])</f>
        <v>60</v>
      </c>
      <c r="J656" s="1" t="n">
        <f aca="false">(salidas26[[#This Row],[CANT BARRAS]]*salidas26[[#This Row],[PRECIO BARRA]])</f>
        <v>0</v>
      </c>
      <c r="K656" s="1" t="n">
        <v>60</v>
      </c>
      <c r="L656" s="1" t="s">
        <v>601</v>
      </c>
      <c r="M656" s="1" t="s">
        <v>507</v>
      </c>
    </row>
    <row r="657" customFormat="false" ht="15" hidden="false" customHeight="false" outlineLevel="0" collapsed="false">
      <c r="A657" s="1" t="n">
        <v>416</v>
      </c>
      <c r="B657" s="1" t="n">
        <v>2012</v>
      </c>
      <c r="C65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UN40J5000 -40J5200-40M5000 8L/3B</v>
      </c>
      <c r="D657" s="75" t="n">
        <v>46081</v>
      </c>
      <c r="E65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65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657" s="1" t="n">
        <v>1</v>
      </c>
      <c r="I657" s="1" t="n">
        <f aca="false">(salidas26[[#This Row],[CANT JUEGOS ]]*salidas26[[#This Row],[PRECIO JUEGO]])</f>
        <v>160</v>
      </c>
      <c r="J657" s="1" t="n">
        <f aca="false">(salidas26[[#This Row],[CANT BARRAS]]*salidas26[[#This Row],[PRECIO BARRA]])</f>
        <v>0</v>
      </c>
      <c r="K657" s="1" t="n">
        <v>150</v>
      </c>
      <c r="L657" s="1" t="s">
        <v>502</v>
      </c>
      <c r="M657" s="1" t="s">
        <v>696</v>
      </c>
    </row>
    <row r="658" customFormat="false" ht="15" hidden="false" customHeight="false" outlineLevel="0" collapsed="false">
      <c r="A658" s="1" t="n">
        <v>417</v>
      </c>
      <c r="B658" s="1" t="n">
        <v>8033</v>
      </c>
      <c r="C65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658" s="75" t="n">
        <v>46083</v>
      </c>
      <c r="E65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65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658" s="1" t="n">
        <v>1</v>
      </c>
      <c r="I658" s="1" t="n">
        <f aca="false">(salidas26[[#This Row],[CANT JUEGOS ]]*salidas26[[#This Row],[PRECIO JUEGO]])</f>
        <v>150</v>
      </c>
      <c r="J658" s="1" t="n">
        <f aca="false">(salidas26[[#This Row],[CANT BARRAS]]*salidas26[[#This Row],[PRECIO BARRA]])</f>
        <v>0</v>
      </c>
      <c r="K658" s="1" t="n">
        <v>150</v>
      </c>
      <c r="L658" s="1" t="s">
        <v>502</v>
      </c>
      <c r="M658" s="1" t="s">
        <v>519</v>
      </c>
    </row>
    <row r="659" customFormat="false" ht="15" hidden="false" customHeight="false" outlineLevel="0" collapsed="false">
      <c r="A659" s="1" t="n">
        <v>418</v>
      </c>
      <c r="B659" s="1" t="n">
        <v>4003</v>
      </c>
      <c r="C65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DAEWOO 8L/3V - 3B</v>
      </c>
      <c r="D659" s="75" t="n">
        <v>46083</v>
      </c>
      <c r="E65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65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59" s="1" t="n">
        <v>1</v>
      </c>
      <c r="I659" s="1" t="n">
        <f aca="false">(salidas26[[#This Row],[CANT JUEGOS ]]*salidas26[[#This Row],[PRECIO JUEGO]])</f>
        <v>90</v>
      </c>
      <c r="J659" s="1" t="n">
        <f aca="false">(salidas26[[#This Row],[CANT BARRAS]]*salidas26[[#This Row],[PRECIO BARRA]])</f>
        <v>0</v>
      </c>
      <c r="K659" s="1" t="n">
        <v>70</v>
      </c>
      <c r="L659" s="1" t="s">
        <v>533</v>
      </c>
      <c r="M659" s="1" t="s">
        <v>519</v>
      </c>
    </row>
    <row r="660" customFormat="false" ht="15" hidden="false" customHeight="false" outlineLevel="0" collapsed="false">
      <c r="A660" s="1" t="n">
        <v>419</v>
      </c>
      <c r="B660" s="1" t="n">
        <v>8055</v>
      </c>
      <c r="C66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PREMIER 8L/3V/3B 8047SF43SF</v>
      </c>
      <c r="D660" s="75" t="n">
        <v>46083</v>
      </c>
      <c r="E66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66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660" s="1" t="n">
        <v>1</v>
      </c>
      <c r="I660" s="1" t="n">
        <f aca="false">(salidas26[[#This Row],[CANT JUEGOS ]]*salidas26[[#This Row],[PRECIO JUEGO]])</f>
        <v>180</v>
      </c>
      <c r="J660" s="1" t="n">
        <f aca="false">(salidas26[[#This Row],[CANT BARRAS]]*salidas26[[#This Row],[PRECIO BARRA]])</f>
        <v>0</v>
      </c>
      <c r="K660" s="1" t="n">
        <v>180</v>
      </c>
      <c r="L660" s="1" t="s">
        <v>502</v>
      </c>
      <c r="M660" s="1" t="s">
        <v>560</v>
      </c>
    </row>
    <row r="661" customFormat="false" ht="15" hidden="false" customHeight="false" outlineLevel="0" collapsed="false">
      <c r="A661" s="1" t="n">
        <v>420</v>
      </c>
      <c r="B661" s="1" t="n">
        <v>8100</v>
      </c>
      <c r="C66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JVC 58KB527</v>
      </c>
      <c r="D661" s="75" t="n">
        <v>46083</v>
      </c>
      <c r="E66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66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661" s="1" t="n">
        <v>1</v>
      </c>
      <c r="I661" s="1" t="n">
        <f aca="false">(salidas26[[#This Row],[CANT JUEGOS ]]*salidas26[[#This Row],[PRECIO JUEGO]])</f>
        <v>300</v>
      </c>
      <c r="J661" s="1" t="n">
        <f aca="false">(salidas26[[#This Row],[CANT BARRAS]]*salidas26[[#This Row],[PRECIO BARRA]])</f>
        <v>0</v>
      </c>
      <c r="K661" s="1" t="n">
        <v>240</v>
      </c>
      <c r="L661" s="1" t="s">
        <v>502</v>
      </c>
      <c r="M661" s="1" t="s">
        <v>697</v>
      </c>
    </row>
    <row r="662" customFormat="false" ht="31.3" hidden="false" customHeight="false" outlineLevel="0" collapsed="false">
      <c r="A662" s="1" t="n">
        <v>421</v>
      </c>
      <c r="B662" s="1" t="n">
        <v>4000</v>
      </c>
      <c r="C662" s="76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 V780-TCL 5L/6V -2B
MI L32M5-5ASP</v>
      </c>
      <c r="D662" s="75" t="n">
        <v>46083</v>
      </c>
      <c r="E66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66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62" s="1" t="n">
        <v>2</v>
      </c>
      <c r="I662" s="1" t="n">
        <f aca="false">(salidas26[[#This Row],[CANT JUEGOS ]]*salidas26[[#This Row],[PRECIO JUEGO]])</f>
        <v>120</v>
      </c>
      <c r="J662" s="1" t="n">
        <f aca="false">(salidas26[[#This Row],[CANT BARRAS]]*salidas26[[#This Row],[PRECIO BARRA]])</f>
        <v>0</v>
      </c>
      <c r="K662" s="1" t="n">
        <v>96</v>
      </c>
      <c r="L662" s="1" t="s">
        <v>502</v>
      </c>
      <c r="M662" s="1" t="s">
        <v>697</v>
      </c>
    </row>
    <row r="663" customFormat="false" ht="15" hidden="false" customHeight="false" outlineLevel="0" collapsed="false">
      <c r="A663" s="1" t="n">
        <v>422</v>
      </c>
      <c r="B663" s="1" t="n">
        <v>1132</v>
      </c>
      <c r="C66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55UH8500/2B</v>
      </c>
      <c r="D663" s="75" t="n">
        <v>46083</v>
      </c>
      <c r="E66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66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130</v>
      </c>
      <c r="G663" s="1" t="n">
        <v>1</v>
      </c>
      <c r="I663" s="1" t="n">
        <f aca="false">(salidas26[[#This Row],[CANT JUEGOS ]]*salidas26[[#This Row],[PRECIO JUEGO]])</f>
        <v>260</v>
      </c>
      <c r="J663" s="1" t="n">
        <f aca="false">(salidas26[[#This Row],[CANT BARRAS]]*salidas26[[#This Row],[PRECIO BARRA]])</f>
        <v>0</v>
      </c>
      <c r="K663" s="1" t="n">
        <v>237</v>
      </c>
      <c r="L663" s="1" t="s">
        <v>533</v>
      </c>
      <c r="M663" s="1" t="s">
        <v>546</v>
      </c>
    </row>
    <row r="664" customFormat="false" ht="15" hidden="false" customHeight="false" outlineLevel="0" collapsed="false">
      <c r="A664" s="1" t="n">
        <v>423</v>
      </c>
      <c r="B664" s="1" t="n">
        <v>1012</v>
      </c>
      <c r="C66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32LB620B-32LF620B -3B/6V/6L</v>
      </c>
      <c r="D664" s="75" t="n">
        <v>46083</v>
      </c>
      <c r="E66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66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64" s="1" t="n">
        <v>1</v>
      </c>
      <c r="I664" s="1" t="n">
        <f aca="false">(salidas26[[#This Row],[CANT JUEGOS ]]*salidas26[[#This Row],[PRECIO JUEGO]])</f>
        <v>90</v>
      </c>
      <c r="J664" s="1" t="n">
        <f aca="false">(salidas26[[#This Row],[CANT BARRAS]]*salidas26[[#This Row],[PRECIO BARRA]])</f>
        <v>0</v>
      </c>
      <c r="K664" s="1" t="n">
        <v>90</v>
      </c>
      <c r="L664" s="1" t="s">
        <v>502</v>
      </c>
      <c r="M664" s="1" t="s">
        <v>506</v>
      </c>
    </row>
    <row r="665" customFormat="false" ht="15" hidden="false" customHeight="false" outlineLevel="0" collapsed="false">
      <c r="A665" s="1" t="n">
        <v>425</v>
      </c>
      <c r="B665" s="1" t="n">
        <v>5010</v>
      </c>
      <c r="C66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SONY/AOC LE40D3142 -4B/9L</v>
      </c>
      <c r="D665" s="75" t="n">
        <v>46083</v>
      </c>
      <c r="E66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66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45</v>
      </c>
      <c r="G665" s="1" t="n">
        <v>1</v>
      </c>
      <c r="I665" s="1" t="n">
        <f aca="false">(salidas26[[#This Row],[CANT JUEGOS ]]*salidas26[[#This Row],[PRECIO JUEGO]])</f>
        <v>180</v>
      </c>
      <c r="J665" s="1" t="n">
        <f aca="false">(salidas26[[#This Row],[CANT BARRAS]]*salidas26[[#This Row],[PRECIO BARRA]])</f>
        <v>0</v>
      </c>
      <c r="K665" s="1" t="n">
        <v>180</v>
      </c>
      <c r="L665" s="1" t="s">
        <v>502</v>
      </c>
      <c r="M665" s="1" t="s">
        <v>518</v>
      </c>
    </row>
    <row r="666" customFormat="false" ht="15" hidden="false" customHeight="false" outlineLevel="0" collapsed="false">
      <c r="A666" s="1" t="n">
        <v>426</v>
      </c>
      <c r="B666" s="1" t="n">
        <v>2063</v>
      </c>
      <c r="C66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UN50NU7100./2B EDGE</v>
      </c>
      <c r="D666" s="75" t="n">
        <v>46084</v>
      </c>
      <c r="E66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66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90</v>
      </c>
      <c r="G666" s="1" t="n">
        <v>1</v>
      </c>
      <c r="I666" s="1" t="n">
        <f aca="false">(salidas26[[#This Row],[CANT JUEGOS ]]*salidas26[[#This Row],[PRECIO JUEGO]])</f>
        <v>180</v>
      </c>
      <c r="J666" s="1" t="n">
        <f aca="false">(salidas26[[#This Row],[CANT BARRAS]]*salidas26[[#This Row],[PRECIO BARRA]])</f>
        <v>0</v>
      </c>
      <c r="K666" s="1" t="n">
        <v>180</v>
      </c>
      <c r="L666" s="1" t="s">
        <v>502</v>
      </c>
      <c r="M666" s="1" t="s">
        <v>544</v>
      </c>
    </row>
    <row r="667" customFormat="false" ht="15" hidden="false" customHeight="false" outlineLevel="0" collapsed="false">
      <c r="A667" s="1" t="n">
        <v>427</v>
      </c>
      <c r="B667" s="1" t="n">
        <v>1111</v>
      </c>
      <c r="C66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UK 6300-UM7100 /3B</v>
      </c>
      <c r="D667" s="75" t="n">
        <v>46084</v>
      </c>
      <c r="E66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66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93.3333333333333</v>
      </c>
      <c r="G667" s="1" t="n">
        <v>1</v>
      </c>
      <c r="I667" s="1" t="n">
        <f aca="false">(salidas26[[#This Row],[CANT JUEGOS ]]*salidas26[[#This Row],[PRECIO JUEGO]])</f>
        <v>280</v>
      </c>
      <c r="J667" s="1" t="n">
        <f aca="false">(salidas26[[#This Row],[CANT BARRAS]]*salidas26[[#This Row],[PRECIO BARRA]])</f>
        <v>0</v>
      </c>
      <c r="K667" s="1" t="n">
        <v>300</v>
      </c>
      <c r="L667" s="1" t="s">
        <v>502</v>
      </c>
      <c r="M667" s="1" t="s">
        <v>642</v>
      </c>
    </row>
    <row r="668" customFormat="false" ht="15" hidden="false" customHeight="false" outlineLevel="0" collapsed="false">
      <c r="A668" s="1" t="n">
        <v>428</v>
      </c>
      <c r="B668" s="1" t="n">
        <v>7018</v>
      </c>
      <c r="C66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IRT 5L/3V KONKA- CROWN-TV5577SD/9L/9B</v>
      </c>
      <c r="D668" s="75" t="n">
        <v>46084</v>
      </c>
      <c r="E66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66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31.1111111111111</v>
      </c>
      <c r="H668" s="1" t="n">
        <v>2</v>
      </c>
      <c r="I668" s="1" t="n">
        <f aca="false">(salidas26[[#This Row],[CANT JUEGOS ]]*salidas26[[#This Row],[PRECIO JUEGO]])</f>
        <v>0</v>
      </c>
      <c r="J668" s="1" t="n">
        <f aca="false">(salidas26[[#This Row],[CANT BARRAS]]*salidas26[[#This Row],[PRECIO BARRA]])</f>
        <v>62.2222222222222</v>
      </c>
      <c r="K668" s="1" t="n">
        <v>60</v>
      </c>
      <c r="L668" s="1" t="s">
        <v>533</v>
      </c>
      <c r="M668" s="1" t="s">
        <v>579</v>
      </c>
    </row>
    <row r="669" customFormat="false" ht="31.3" hidden="false" customHeight="false" outlineLevel="0" collapsed="false">
      <c r="A669" s="1" t="n">
        <v>429</v>
      </c>
      <c r="B669" s="1" t="n">
        <v>4000</v>
      </c>
      <c r="C669" s="76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 V780-TCL 5L/6V -2B
MI L32M5-5ASP</v>
      </c>
      <c r="D669" s="75" t="n">
        <v>46084</v>
      </c>
      <c r="E66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66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69" s="1" t="n">
        <v>1</v>
      </c>
      <c r="I669" s="1" t="n">
        <f aca="false">(salidas26[[#This Row],[CANT JUEGOS ]]*salidas26[[#This Row],[PRECIO JUEGO]])</f>
        <v>60</v>
      </c>
      <c r="J669" s="1" t="n">
        <f aca="false">(salidas26[[#This Row],[CANT BARRAS]]*salidas26[[#This Row],[PRECIO BARRA]])</f>
        <v>0</v>
      </c>
      <c r="K669" s="1" t="n">
        <v>50</v>
      </c>
      <c r="L669" s="1" t="s">
        <v>502</v>
      </c>
      <c r="M669" s="1" t="s">
        <v>632</v>
      </c>
    </row>
    <row r="670" customFormat="false" ht="15" hidden="false" customHeight="false" outlineLevel="0" collapsed="false">
      <c r="A670" s="1" t="n">
        <v>430</v>
      </c>
      <c r="B670" s="1" t="n">
        <v>8033</v>
      </c>
      <c r="C67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670" s="75" t="n">
        <v>46084</v>
      </c>
      <c r="E67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67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670" s="1" t="n">
        <v>1</v>
      </c>
      <c r="I670" s="1" t="n">
        <f aca="false">(salidas26[[#This Row],[CANT JUEGOS ]]*salidas26[[#This Row],[PRECIO JUEGO]])</f>
        <v>150</v>
      </c>
      <c r="J670" s="1" t="n">
        <f aca="false">(salidas26[[#This Row],[CANT BARRAS]]*salidas26[[#This Row],[PRECIO BARRA]])</f>
        <v>0</v>
      </c>
      <c r="K670" s="1" t="n">
        <v>140</v>
      </c>
      <c r="M670" s="1" t="s">
        <v>698</v>
      </c>
    </row>
    <row r="671" customFormat="false" ht="15" hidden="false" customHeight="false" outlineLevel="0" collapsed="false">
      <c r="A671" s="1" t="n">
        <v>431</v>
      </c>
      <c r="B671" s="1" t="n">
        <v>3028</v>
      </c>
      <c r="C67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55U6500 8L/14B</v>
      </c>
      <c r="D671" s="75" t="n">
        <v>46084</v>
      </c>
      <c r="E67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67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25</v>
      </c>
      <c r="G671" s="1" t="n">
        <v>1</v>
      </c>
      <c r="I671" s="1" t="n">
        <f aca="false">(salidas26[[#This Row],[CANT JUEGOS ]]*salidas26[[#This Row],[PRECIO JUEGO]])</f>
        <v>350</v>
      </c>
      <c r="J671" s="1" t="n">
        <f aca="false">(salidas26[[#This Row],[CANT BARRAS]]*salidas26[[#This Row],[PRECIO BARRA]])</f>
        <v>0</v>
      </c>
      <c r="K671" s="1" t="n">
        <v>340</v>
      </c>
      <c r="M671" s="1" t="s">
        <v>573</v>
      </c>
    </row>
    <row r="672" customFormat="false" ht="15" hidden="false" customHeight="false" outlineLevel="0" collapsed="false">
      <c r="A672" s="1" t="n">
        <v>432</v>
      </c>
      <c r="B672" s="1" t="n">
        <v>1064</v>
      </c>
      <c r="C67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43LK540 8B/3V</v>
      </c>
      <c r="D672" s="75" t="n">
        <v>46084</v>
      </c>
      <c r="E67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67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672" s="1" t="n">
        <v>1</v>
      </c>
      <c r="I672" s="1" t="n">
        <f aca="false">(salidas26[[#This Row],[CANT JUEGOS ]]*salidas26[[#This Row],[PRECIO JUEGO]])</f>
        <v>180</v>
      </c>
      <c r="J672" s="1" t="n">
        <f aca="false">(salidas26[[#This Row],[CANT BARRAS]]*salidas26[[#This Row],[PRECIO BARRA]])</f>
        <v>0</v>
      </c>
      <c r="K672" s="1" t="n">
        <v>140</v>
      </c>
    </row>
    <row r="673" customFormat="false" ht="15" hidden="false" customHeight="false" outlineLevel="0" collapsed="false">
      <c r="A673" s="1" t="n">
        <v>433</v>
      </c>
      <c r="B673" s="1" t="n">
        <v>8124</v>
      </c>
      <c r="C67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LUPA NORMAL 3V/2W S/C </v>
      </c>
      <c r="D673" s="75" t="n">
        <v>46084</v>
      </c>
      <c r="E67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67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673" s="1" t="n">
        <v>20</v>
      </c>
      <c r="I673" s="1" t="n">
        <f aca="false">(salidas26[[#This Row],[CANT JUEGOS ]]*salidas26[[#This Row],[PRECIO JUEGO]])</f>
        <v>0</v>
      </c>
      <c r="J673" s="1" t="n">
        <f aca="false">(salidas26[[#This Row],[CANT BARRAS]]*salidas26[[#This Row],[PRECIO BARRA]])</f>
        <v>70</v>
      </c>
      <c r="K673" s="1" t="n">
        <v>60</v>
      </c>
    </row>
    <row r="674" customFormat="false" ht="15" hidden="false" customHeight="false" outlineLevel="0" collapsed="false">
      <c r="A674" s="1" t="n">
        <v>434</v>
      </c>
      <c r="B674" s="1" t="n">
        <v>8130</v>
      </c>
      <c r="C67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LUPA NORMAL 6V/2W S/C</v>
      </c>
      <c r="D674" s="75" t="n">
        <v>46084</v>
      </c>
      <c r="E67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67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674" s="1" t="n">
        <v>20</v>
      </c>
      <c r="I674" s="1" t="n">
        <f aca="false">(salidas26[[#This Row],[CANT JUEGOS ]]*salidas26[[#This Row],[PRECIO JUEGO]])</f>
        <v>0</v>
      </c>
      <c r="J674" s="1" t="n">
        <f aca="false">(salidas26[[#This Row],[CANT BARRAS]]*salidas26[[#This Row],[PRECIO BARRA]])</f>
        <v>70</v>
      </c>
      <c r="K674" s="1" t="n">
        <v>60</v>
      </c>
    </row>
    <row r="675" customFormat="false" ht="15" hidden="false" customHeight="false" outlineLevel="0" collapsed="false">
      <c r="A675" s="1" t="n">
        <v>435</v>
      </c>
      <c r="B675" s="1" t="n">
        <v>2051</v>
      </c>
      <c r="C67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UN49J5290/8B</v>
      </c>
      <c r="D675" s="75" t="n">
        <v>46084</v>
      </c>
      <c r="E67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67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32.5</v>
      </c>
      <c r="G675" s="1" t="n">
        <v>1</v>
      </c>
      <c r="I675" s="1" t="n">
        <f aca="false">(salidas26[[#This Row],[CANT JUEGOS ]]*salidas26[[#This Row],[PRECIO JUEGO]])</f>
        <v>260</v>
      </c>
      <c r="J675" s="1" t="n">
        <f aca="false">(salidas26[[#This Row],[CANT BARRAS]]*salidas26[[#This Row],[PRECIO BARRA]])</f>
        <v>0</v>
      </c>
      <c r="K675" s="1" t="n">
        <v>240</v>
      </c>
      <c r="L675" s="1" t="s">
        <v>533</v>
      </c>
    </row>
    <row r="676" customFormat="false" ht="15" hidden="false" customHeight="false" outlineLevel="0" collapsed="false">
      <c r="A676" s="1" t="n">
        <v>436</v>
      </c>
      <c r="B676" s="1" t="n">
        <v>2012</v>
      </c>
      <c r="C67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UN40J5000 -40J5200-40M5000 8L/3B</v>
      </c>
      <c r="D676" s="75" t="n">
        <v>46084</v>
      </c>
      <c r="E67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67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676" s="1" t="n">
        <v>1</v>
      </c>
      <c r="I676" s="1" t="n">
        <f aca="false">(salidas26[[#This Row],[CANT JUEGOS ]]*salidas26[[#This Row],[PRECIO JUEGO]])</f>
        <v>160</v>
      </c>
      <c r="J676" s="1" t="n">
        <f aca="false">(salidas26[[#This Row],[CANT BARRAS]]*salidas26[[#This Row],[PRECIO BARRA]])</f>
        <v>0</v>
      </c>
      <c r="K676" s="1" t="n">
        <v>160</v>
      </c>
      <c r="M676" s="1" t="s">
        <v>699</v>
      </c>
    </row>
    <row r="677" customFormat="false" ht="15" hidden="false" customHeight="false" outlineLevel="0" collapsed="false">
      <c r="A677" s="1" t="n">
        <v>437</v>
      </c>
      <c r="B677" s="1" t="n">
        <v>2087</v>
      </c>
      <c r="C67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UN58NU7100 /2B EDGE</v>
      </c>
      <c r="D677" s="75" t="n">
        <v>46084</v>
      </c>
      <c r="E67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67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120</v>
      </c>
      <c r="G677" s="1" t="n">
        <v>1</v>
      </c>
      <c r="I677" s="1" t="n">
        <f aca="false">(salidas26[[#This Row],[CANT JUEGOS ]]*salidas26[[#This Row],[PRECIO JUEGO]])</f>
        <v>240</v>
      </c>
      <c r="J677" s="1" t="n">
        <f aca="false">(salidas26[[#This Row],[CANT BARRAS]]*salidas26[[#This Row],[PRECIO BARRA]])</f>
        <v>0</v>
      </c>
      <c r="K677" s="1" t="n">
        <v>220</v>
      </c>
      <c r="L677" s="1" t="s">
        <v>533</v>
      </c>
      <c r="M677" s="1" t="s">
        <v>700</v>
      </c>
    </row>
    <row r="678" customFormat="false" ht="15" hidden="false" customHeight="false" outlineLevel="0" collapsed="false">
      <c r="A678" s="1" t="n">
        <v>439</v>
      </c>
      <c r="B678" s="1" t="n">
        <v>1024</v>
      </c>
      <c r="C67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32LN5100- 3B/6L-6-7-6 POLA</v>
      </c>
      <c r="D678" s="75" t="n">
        <v>46084</v>
      </c>
      <c r="E67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100</v>
      </c>
      <c r="F67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678" s="1" t="n">
        <v>1</v>
      </c>
      <c r="I678" s="1" t="n">
        <f aca="false">(salidas26[[#This Row],[CANT JUEGOS ]]*salidas26[[#This Row],[PRECIO JUEGO]])</f>
        <v>100</v>
      </c>
      <c r="J678" s="1" t="n">
        <f aca="false">(salidas26[[#This Row],[CANT BARRAS]]*salidas26[[#This Row],[PRECIO BARRA]])</f>
        <v>0</v>
      </c>
      <c r="K678" s="1" t="n">
        <v>100</v>
      </c>
      <c r="L678" s="1" t="s">
        <v>533</v>
      </c>
    </row>
    <row r="679" customFormat="false" ht="15" hidden="false" customHeight="false" outlineLevel="0" collapsed="false">
      <c r="A679" s="1" t="n">
        <v>440</v>
      </c>
      <c r="B679" s="1" t="n">
        <v>8074</v>
      </c>
      <c r="C67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PULG</v>
      </c>
      <c r="D679" s="75" t="n">
        <v>46084</v>
      </c>
      <c r="E67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67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679" s="1" t="n">
        <v>1</v>
      </c>
      <c r="I679" s="1" t="n">
        <f aca="false">(salidas26[[#This Row],[CANT JUEGOS ]]*salidas26[[#This Row],[PRECIO JUEGO]])</f>
        <v>280</v>
      </c>
      <c r="J679" s="1" t="n">
        <f aca="false">(salidas26[[#This Row],[CANT BARRAS]]*salidas26[[#This Row],[PRECIO BARRA]])</f>
        <v>0</v>
      </c>
      <c r="K679" s="1" t="n">
        <v>280</v>
      </c>
      <c r="L679" s="1" t="s">
        <v>533</v>
      </c>
    </row>
    <row r="680" customFormat="false" ht="15" hidden="false" customHeight="false" outlineLevel="0" collapsed="false">
      <c r="B680" s="1" t="n">
        <v>2095</v>
      </c>
      <c r="C68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UN60AU8000G-60BU8000/2B</v>
      </c>
      <c r="D680" s="75" t="n">
        <v>46085</v>
      </c>
      <c r="E68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68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125</v>
      </c>
      <c r="G680" s="1" t="n">
        <v>1</v>
      </c>
      <c r="I680" s="1" t="n">
        <f aca="false">(salidas26[[#This Row],[CANT JUEGOS ]]*salidas26[[#This Row],[PRECIO JUEGO]])</f>
        <v>250</v>
      </c>
      <c r="J680" s="1" t="n">
        <f aca="false">(salidas26[[#This Row],[CANT BARRAS]]*salidas26[[#This Row],[PRECIO BARRA]])</f>
        <v>0</v>
      </c>
      <c r="K680" s="1" t="n">
        <v>250</v>
      </c>
      <c r="L680" s="1" t="s">
        <v>533</v>
      </c>
      <c r="M680" s="1" t="s">
        <v>506</v>
      </c>
    </row>
    <row r="681" customFormat="false" ht="15" hidden="false" customHeight="false" outlineLevel="0" collapsed="false">
      <c r="B681" s="1" t="n">
        <v>8090</v>
      </c>
      <c r="C68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TCL /8B/MASTER MGS5502XMG-</v>
      </c>
      <c r="D681" s="75" t="n">
        <v>46086</v>
      </c>
      <c r="E68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681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G681" s="1" t="n">
        <v>1</v>
      </c>
      <c r="I681" s="1" t="n">
        <f aca="false">(salidas26[[#This Row],[CANT JUEGOS ]]*salidas26[[#This Row],[PRECIO JUEGO]])</f>
        <v>300</v>
      </c>
      <c r="J681" s="1" t="e">
        <f aca="false">(salidas26[[#This Row],[CANT BARRAS]]*salidas26[[#This Row],[PRECIO BARRA]])</f>
        <v>#VALUE!</v>
      </c>
      <c r="K681" s="1" t="n">
        <v>280</v>
      </c>
      <c r="L681" s="1" t="s">
        <v>502</v>
      </c>
      <c r="M681" s="1" t="s">
        <v>518</v>
      </c>
    </row>
    <row r="682" customFormat="false" ht="15" hidden="false" customHeight="false" outlineLevel="0" collapsed="false">
      <c r="B682" s="1" t="n">
        <v>6015</v>
      </c>
      <c r="C68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49L4700 TOSHIBA 4B/8L</v>
      </c>
      <c r="D682" s="75" t="n">
        <v>46086</v>
      </c>
      <c r="E68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68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682" s="1" t="n">
        <v>1</v>
      </c>
      <c r="I682" s="1" t="n">
        <f aca="false">(salidas26[[#This Row],[CANT JUEGOS ]]*salidas26[[#This Row],[PRECIO JUEGO]])</f>
        <v>220</v>
      </c>
      <c r="J682" s="1" t="n">
        <f aca="false">(salidas26[[#This Row],[CANT BARRAS]]*salidas26[[#This Row],[PRECIO BARRA]])</f>
        <v>0</v>
      </c>
      <c r="M682" s="1" t="s">
        <v>508</v>
      </c>
    </row>
    <row r="683" customFormat="false" ht="15" hidden="false" customHeight="false" outlineLevel="0" collapsed="false">
      <c r="B683" s="1" t="n">
        <v>6007</v>
      </c>
      <c r="C68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TB70000 SKYWORTH 3B</v>
      </c>
      <c r="D683" s="75" t="n">
        <v>46086</v>
      </c>
      <c r="E68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68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683" s="1" t="n">
        <v>1</v>
      </c>
      <c r="I683" s="1" t="n">
        <f aca="false">(salidas26[[#This Row],[CANT JUEGOS ]]*salidas26[[#This Row],[PRECIO JUEGO]])</f>
        <v>180</v>
      </c>
      <c r="J683" s="1" t="n">
        <f aca="false">(salidas26[[#This Row],[CANT BARRAS]]*salidas26[[#This Row],[PRECIO BARRA]])</f>
        <v>0</v>
      </c>
      <c r="K683" s="1" t="n">
        <v>180</v>
      </c>
      <c r="L683" s="1" t="s">
        <v>533</v>
      </c>
      <c r="M683" s="1" t="s">
        <v>603</v>
      </c>
    </row>
    <row r="684" customFormat="false" ht="15" hidden="false" customHeight="false" outlineLevel="0" collapsed="false">
      <c r="B684" s="1" t="n">
        <v>1012</v>
      </c>
      <c r="C68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32LB620B-32LF620B -3B/6V/6L</v>
      </c>
      <c r="D684" s="75" t="n">
        <v>46086</v>
      </c>
      <c r="E68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68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84" s="1" t="n">
        <v>1</v>
      </c>
      <c r="I684" s="1" t="n">
        <f aca="false">(salidas26[[#This Row],[CANT JUEGOS ]]*salidas26[[#This Row],[PRECIO JUEGO]])</f>
        <v>90</v>
      </c>
      <c r="J684" s="1" t="n">
        <f aca="false">(salidas26[[#This Row],[CANT BARRAS]]*salidas26[[#This Row],[PRECIO BARRA]])</f>
        <v>0</v>
      </c>
      <c r="K684" s="1" t="n">
        <v>90</v>
      </c>
      <c r="L684" s="1" t="s">
        <v>533</v>
      </c>
      <c r="M684" s="1" t="s">
        <v>701</v>
      </c>
    </row>
    <row r="685" customFormat="false" ht="15" hidden="false" customHeight="false" outlineLevel="0" collapsed="false">
      <c r="B685" s="1" t="n">
        <v>5010</v>
      </c>
      <c r="C68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SONY/AOC LE40D3142 -4B/9L</v>
      </c>
      <c r="D685" s="75" t="n">
        <v>46086</v>
      </c>
      <c r="E68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68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45</v>
      </c>
      <c r="G685" s="1" t="n">
        <v>1</v>
      </c>
      <c r="I685" s="1" t="n">
        <f aca="false">(salidas26[[#This Row],[CANT JUEGOS ]]*salidas26[[#This Row],[PRECIO JUEGO]])</f>
        <v>180</v>
      </c>
      <c r="J685" s="1" t="n">
        <f aca="false">(salidas26[[#This Row],[CANT BARRAS]]*salidas26[[#This Row],[PRECIO BARRA]])</f>
        <v>0</v>
      </c>
      <c r="K685" s="1" t="n">
        <v>170</v>
      </c>
      <c r="L685" s="1" t="s">
        <v>502</v>
      </c>
      <c r="M685" s="1" t="s">
        <v>702</v>
      </c>
    </row>
    <row r="686" customFormat="false" ht="15" hidden="false" customHeight="false" outlineLevel="0" collapsed="false">
      <c r="B686" s="1" t="n">
        <v>5006</v>
      </c>
      <c r="C68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KDL-32R304B/3B</v>
      </c>
      <c r="D686" s="75" t="n">
        <v>46086</v>
      </c>
      <c r="E68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68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86" s="1" t="n">
        <v>1</v>
      </c>
      <c r="I686" s="1" t="n">
        <f aca="false">(salidas26[[#This Row],[CANT JUEGOS ]]*salidas26[[#This Row],[PRECIO JUEGO]])</f>
        <v>90</v>
      </c>
      <c r="J686" s="1" t="n">
        <f aca="false">(salidas26[[#This Row],[CANT BARRAS]]*salidas26[[#This Row],[PRECIO BARRA]])</f>
        <v>0</v>
      </c>
      <c r="K686" s="1" t="n">
        <v>72</v>
      </c>
      <c r="L686" s="1" t="s">
        <v>502</v>
      </c>
      <c r="M686" s="1" t="s">
        <v>534</v>
      </c>
    </row>
    <row r="687" customFormat="false" ht="15" hidden="false" customHeight="false" outlineLevel="0" collapsed="false">
      <c r="B687" s="1" t="n">
        <v>2097</v>
      </c>
      <c r="C68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UN65AU8000-65BU8000/2B</v>
      </c>
      <c r="D687" s="75" t="n">
        <v>46086</v>
      </c>
      <c r="E68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320</v>
      </c>
      <c r="F68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160</v>
      </c>
      <c r="G687" s="1" t="n">
        <v>1</v>
      </c>
      <c r="I687" s="1" t="n">
        <f aca="false">(salidas26[[#This Row],[CANT JUEGOS ]]*salidas26[[#This Row],[PRECIO JUEGO]])</f>
        <v>320</v>
      </c>
      <c r="J687" s="1" t="n">
        <f aca="false">(salidas26[[#This Row],[CANT BARRAS]]*salidas26[[#This Row],[PRECIO BARRA]])</f>
        <v>0</v>
      </c>
      <c r="K687" s="1" t="n">
        <v>280</v>
      </c>
      <c r="L687" s="1" t="s">
        <v>502</v>
      </c>
      <c r="M687" s="1" t="s">
        <v>534</v>
      </c>
    </row>
    <row r="688" customFormat="false" ht="15" hidden="false" customHeight="false" outlineLevel="0" collapsed="false">
      <c r="B688" s="1" t="n">
        <v>1036</v>
      </c>
      <c r="C68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42LA6130-42LN5400  10B/3V</v>
      </c>
      <c r="D688" s="75" t="n">
        <v>46086</v>
      </c>
      <c r="E68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68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18</v>
      </c>
      <c r="G688" s="1" t="n">
        <v>1</v>
      </c>
      <c r="I688" s="1" t="n">
        <f aca="false">(salidas26[[#This Row],[CANT JUEGOS ]]*salidas26[[#This Row],[PRECIO JUEGO]])</f>
        <v>180</v>
      </c>
      <c r="J688" s="1" t="n">
        <f aca="false">(salidas26[[#This Row],[CANT BARRAS]]*salidas26[[#This Row],[PRECIO BARRA]])</f>
        <v>0</v>
      </c>
      <c r="K688" s="1" t="n">
        <v>160</v>
      </c>
      <c r="L688" s="1" t="s">
        <v>502</v>
      </c>
      <c r="M688" s="1" t="s">
        <v>534</v>
      </c>
    </row>
    <row r="689" customFormat="false" ht="15" hidden="false" customHeight="false" outlineLevel="0" collapsed="false">
      <c r="B689" s="1" t="n">
        <v>5002</v>
      </c>
      <c r="C68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PANASONIC 7L/3V/3B</v>
      </c>
      <c r="D689" s="75" t="n">
        <v>46086</v>
      </c>
      <c r="E68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68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89" s="1" t="n">
        <v>1</v>
      </c>
      <c r="I689" s="1" t="n">
        <f aca="false">(salidas26[[#This Row],[CANT JUEGOS ]]*salidas26[[#This Row],[PRECIO JUEGO]])</f>
        <v>90</v>
      </c>
      <c r="J689" s="1" t="n">
        <f aca="false">(salidas26[[#This Row],[CANT BARRAS]]*salidas26[[#This Row],[PRECIO BARRA]])</f>
        <v>0</v>
      </c>
      <c r="K689" s="1" t="n">
        <v>90</v>
      </c>
      <c r="L689" s="1" t="s">
        <v>533</v>
      </c>
      <c r="M689" s="1" t="s">
        <v>503</v>
      </c>
    </row>
    <row r="690" customFormat="false" ht="15" hidden="false" customHeight="false" outlineLevel="0" collapsed="false">
      <c r="B690" s="1" t="n">
        <v>6000</v>
      </c>
      <c r="C69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SKYWORTH 2B/6LED/3V </v>
      </c>
      <c r="D690" s="75" t="n">
        <v>46086</v>
      </c>
      <c r="E69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69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90" s="1" t="n">
        <v>1</v>
      </c>
      <c r="I690" s="1" t="n">
        <f aca="false">(salidas26[[#This Row],[CANT JUEGOS ]]*salidas26[[#This Row],[PRECIO JUEGO]])</f>
        <v>60</v>
      </c>
      <c r="J690" s="1" t="n">
        <f aca="false">(salidas26[[#This Row],[CANT BARRAS]]*salidas26[[#This Row],[PRECIO BARRA]])</f>
        <v>0</v>
      </c>
      <c r="K690" s="1" t="n">
        <v>60</v>
      </c>
      <c r="L690" s="1" t="s">
        <v>502</v>
      </c>
    </row>
    <row r="691" customFormat="false" ht="15" hidden="false" customHeight="false" outlineLevel="0" collapsed="false">
      <c r="B691" s="1" t="n">
        <v>8100</v>
      </c>
      <c r="C69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JVC 58KB527</v>
      </c>
      <c r="D691" s="75" t="n">
        <v>46086</v>
      </c>
      <c r="E69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69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691" s="1" t="n">
        <v>1</v>
      </c>
      <c r="I691" s="1" t="n">
        <f aca="false">(salidas26[[#This Row],[CANT JUEGOS ]]*salidas26[[#This Row],[PRECIO JUEGO]])</f>
        <v>300</v>
      </c>
      <c r="J691" s="1" t="n">
        <f aca="false">(salidas26[[#This Row],[CANT BARRAS]]*salidas26[[#This Row],[PRECIO BARRA]])</f>
        <v>0</v>
      </c>
      <c r="K691" s="1" t="n">
        <v>300</v>
      </c>
      <c r="L691" s="1" t="s">
        <v>533</v>
      </c>
      <c r="M691" s="1" t="s">
        <v>642</v>
      </c>
    </row>
    <row r="692" customFormat="false" ht="15" hidden="false" customHeight="false" outlineLevel="0" collapsed="false">
      <c r="B692" s="1" t="n">
        <v>2036</v>
      </c>
      <c r="C69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UN46FH6203-46FH5005/8B</v>
      </c>
      <c r="D692" s="75" t="n">
        <v>46086</v>
      </c>
      <c r="E69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69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27.5</v>
      </c>
      <c r="G692" s="1" t="n">
        <v>1</v>
      </c>
      <c r="I692" s="1" t="n">
        <f aca="false">(salidas26[[#This Row],[CANT JUEGOS ]]*salidas26[[#This Row],[PRECIO JUEGO]])</f>
        <v>220</v>
      </c>
      <c r="J692" s="1" t="n">
        <f aca="false">(salidas26[[#This Row],[CANT BARRAS]]*salidas26[[#This Row],[PRECIO BARRA]])</f>
        <v>0</v>
      </c>
      <c r="K692" s="1" t="n">
        <v>220</v>
      </c>
      <c r="L692" s="1" t="s">
        <v>502</v>
      </c>
      <c r="M692" s="1" t="s">
        <v>507</v>
      </c>
    </row>
    <row r="693" customFormat="false" ht="15" hidden="false" customHeight="false" outlineLevel="0" collapsed="false">
      <c r="B693" s="1" t="n">
        <v>6025</v>
      </c>
      <c r="C69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M550KB TOSHIBA 5B/14L</v>
      </c>
      <c r="D693" s="75" t="n">
        <v>46087</v>
      </c>
      <c r="E69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320</v>
      </c>
      <c r="F69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64</v>
      </c>
      <c r="G693" s="1" t="n">
        <v>1</v>
      </c>
      <c r="I693" s="1" t="n">
        <f aca="false">(salidas26[[#This Row],[CANT JUEGOS ]]*salidas26[[#This Row],[PRECIO JUEGO]])</f>
        <v>320</v>
      </c>
      <c r="J693" s="1" t="n">
        <f aca="false">(salidas26[[#This Row],[CANT BARRAS]]*salidas26[[#This Row],[PRECIO BARRA]])</f>
        <v>0</v>
      </c>
      <c r="M693" s="1" t="s">
        <v>508</v>
      </c>
    </row>
    <row r="694" customFormat="false" ht="15" hidden="false" customHeight="false" outlineLevel="0" collapsed="false">
      <c r="B694" s="1" t="n">
        <v>4020</v>
      </c>
      <c r="C69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 DAEWOO L49R770BNS 6L/10B</v>
      </c>
      <c r="D694" s="75" t="n">
        <v>46087</v>
      </c>
      <c r="E69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69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25</v>
      </c>
      <c r="G694" s="1" t="n">
        <v>1</v>
      </c>
      <c r="I694" s="1" t="n">
        <f aca="false">(salidas26[[#This Row],[CANT JUEGOS ]]*salidas26[[#This Row],[PRECIO JUEGO]])</f>
        <v>250</v>
      </c>
      <c r="J694" s="1" t="n">
        <f aca="false">(salidas26[[#This Row],[CANT BARRAS]]*salidas26[[#This Row],[PRECIO BARRA]])</f>
        <v>0</v>
      </c>
      <c r="K694" s="1" t="n">
        <v>230</v>
      </c>
      <c r="L694" s="1" t="s">
        <v>502</v>
      </c>
      <c r="M694" s="1" t="s">
        <v>703</v>
      </c>
    </row>
    <row r="695" customFormat="false" ht="15" hidden="false" customHeight="false" outlineLevel="0" collapsed="false">
      <c r="B695" s="1" t="n">
        <v>2000</v>
      </c>
      <c r="C69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D695" s="75" t="n">
        <v>46087</v>
      </c>
      <c r="E69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69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695" s="1" t="n">
        <v>1</v>
      </c>
      <c r="I695" s="1" t="n">
        <f aca="false">(salidas26[[#This Row],[CANT JUEGOS ]]*salidas26[[#This Row],[PRECIO JUEGO]])</f>
        <v>80</v>
      </c>
      <c r="J695" s="1" t="n">
        <f aca="false">(salidas26[[#This Row],[CANT BARRAS]]*salidas26[[#This Row],[PRECIO BARRA]])</f>
        <v>0</v>
      </c>
      <c r="K695" s="1" t="n">
        <v>70</v>
      </c>
      <c r="L695" s="1" t="s">
        <v>502</v>
      </c>
      <c r="M695" s="1" t="s">
        <v>557</v>
      </c>
    </row>
    <row r="696" customFormat="false" ht="15" hidden="false" customHeight="false" outlineLevel="0" collapsed="false">
      <c r="B696" s="1" t="n">
        <v>5009</v>
      </c>
      <c r="C69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KDL-39R475B - SONY/10B</v>
      </c>
      <c r="D696" s="75" t="n">
        <v>46087</v>
      </c>
      <c r="E69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69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15</v>
      </c>
      <c r="H696" s="1" t="n">
        <v>6</v>
      </c>
      <c r="I696" s="1" t="n">
        <f aca="false">(salidas26[[#This Row],[CANT JUEGOS ]]*salidas26[[#This Row],[PRECIO JUEGO]])</f>
        <v>0</v>
      </c>
      <c r="J696" s="1" t="n">
        <f aca="false">(salidas26[[#This Row],[CANT BARRAS]]*salidas26[[#This Row],[PRECIO BARRA]])</f>
        <v>90</v>
      </c>
      <c r="K696" s="1" t="n">
        <v>100</v>
      </c>
      <c r="L696" s="1" t="s">
        <v>502</v>
      </c>
      <c r="M696" s="1" t="s">
        <v>508</v>
      </c>
    </row>
    <row r="697" customFormat="false" ht="15" hidden="false" customHeight="false" outlineLevel="0" collapsed="false">
      <c r="B697" s="1" t="n">
        <v>8015</v>
      </c>
      <c r="C69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697" s="75" t="n">
        <v>46087</v>
      </c>
      <c r="E69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69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97" s="1" t="n">
        <v>1</v>
      </c>
      <c r="I697" s="1" t="n">
        <f aca="false">(salidas26[[#This Row],[CANT JUEGOS ]]*salidas26[[#This Row],[PRECIO JUEGO]])</f>
        <v>60</v>
      </c>
      <c r="J697" s="1" t="n">
        <f aca="false">(salidas26[[#This Row],[CANT BARRAS]]*salidas26[[#This Row],[PRECIO BARRA]])</f>
        <v>0</v>
      </c>
      <c r="K697" s="1" t="n">
        <v>60</v>
      </c>
      <c r="L697" s="1" t="s">
        <v>502</v>
      </c>
      <c r="M697" s="1" t="s">
        <v>505</v>
      </c>
    </row>
    <row r="698" customFormat="false" ht="15" hidden="false" customHeight="false" outlineLevel="0" collapsed="false">
      <c r="B698" s="1" t="n">
        <v>6007</v>
      </c>
      <c r="C69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TB70000 SKYWORTH 3B</v>
      </c>
      <c r="D698" s="75" t="n">
        <v>46087</v>
      </c>
      <c r="E69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69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698" s="1" t="n">
        <v>1</v>
      </c>
      <c r="I698" s="1" t="n">
        <f aca="false">(salidas26[[#This Row],[CANT JUEGOS ]]*salidas26[[#This Row],[PRECIO JUEGO]])</f>
        <v>180</v>
      </c>
      <c r="J698" s="1" t="n">
        <f aca="false">(salidas26[[#This Row],[CANT BARRAS]]*salidas26[[#This Row],[PRECIO BARRA]])</f>
        <v>0</v>
      </c>
      <c r="K698" s="1" t="n">
        <v>180</v>
      </c>
      <c r="L698" s="1" t="s">
        <v>533</v>
      </c>
      <c r="M698" s="1" t="s">
        <v>579</v>
      </c>
    </row>
    <row r="699" customFormat="false" ht="15" hidden="false" customHeight="false" outlineLevel="0" collapsed="false">
      <c r="B699" s="1" t="n">
        <v>1075</v>
      </c>
      <c r="C69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49LJ5500-49UJ6300/8B</v>
      </c>
      <c r="D699" s="75" t="n">
        <v>46087</v>
      </c>
      <c r="E69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69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699" s="1" t="n">
        <v>1</v>
      </c>
      <c r="I699" s="1" t="n">
        <f aca="false">(salidas26[[#This Row],[CANT JUEGOS ]]*salidas26[[#This Row],[PRECIO JUEGO]])</f>
        <v>240</v>
      </c>
      <c r="J699" s="1" t="n">
        <f aca="false">(salidas26[[#This Row],[CANT BARRAS]]*salidas26[[#This Row],[PRECIO BARRA]])</f>
        <v>0</v>
      </c>
      <c r="K699" s="1" t="n">
        <v>240</v>
      </c>
      <c r="L699" s="1" t="s">
        <v>502</v>
      </c>
      <c r="M699" s="1" t="s">
        <v>511</v>
      </c>
    </row>
    <row r="700" customFormat="false" ht="15" hidden="false" customHeight="false" outlineLevel="0" collapsed="false">
      <c r="B700" s="1" t="n">
        <v>8130</v>
      </c>
      <c r="C70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LUPA NORMAL 6V/2W S/C</v>
      </c>
      <c r="D700" s="75" t="n">
        <v>46084</v>
      </c>
      <c r="E70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70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700" s="1" t="n">
        <v>10</v>
      </c>
      <c r="I700" s="1" t="n">
        <f aca="false">(salidas26[[#This Row],[CANT JUEGOS ]]*salidas26[[#This Row],[PRECIO JUEGO]])</f>
        <v>0</v>
      </c>
      <c r="J700" s="1" t="n">
        <f aca="false">(salidas26[[#This Row],[CANT BARRAS]]*salidas26[[#This Row],[PRECIO BARRA]])</f>
        <v>35</v>
      </c>
      <c r="K700" s="1" t="n">
        <v>35</v>
      </c>
      <c r="L700" s="1" t="s">
        <v>533</v>
      </c>
      <c r="M700" s="1" t="s">
        <v>670</v>
      </c>
    </row>
    <row r="701" customFormat="false" ht="15" hidden="false" customHeight="false" outlineLevel="0" collapsed="false">
      <c r="B701" s="1" t="n">
        <v>1015</v>
      </c>
      <c r="C70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32LH500B-32LK500 3B/7L/3V</v>
      </c>
      <c r="D701" s="75" t="n">
        <v>46087</v>
      </c>
      <c r="E70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70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701" s="1" t="n">
        <v>3</v>
      </c>
      <c r="I701" s="1" t="n">
        <f aca="false">(salidas26[[#This Row],[CANT JUEGOS ]]*salidas26[[#This Row],[PRECIO JUEGO]])</f>
        <v>240</v>
      </c>
      <c r="J701" s="1" t="n">
        <f aca="false">(salidas26[[#This Row],[CANT BARRAS]]*salidas26[[#This Row],[PRECIO BARRA]])</f>
        <v>0</v>
      </c>
      <c r="K701" s="1" t="n">
        <v>192</v>
      </c>
      <c r="L701" s="1" t="s">
        <v>502</v>
      </c>
      <c r="M701" s="1" t="s">
        <v>534</v>
      </c>
    </row>
    <row r="702" customFormat="false" ht="15" hidden="false" customHeight="false" outlineLevel="0" collapsed="false">
      <c r="A702" s="1" t="n">
        <v>465</v>
      </c>
      <c r="B702" s="1" t="n">
        <v>2095</v>
      </c>
      <c r="C70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UN60AU8000G-60BU8000/2B</v>
      </c>
      <c r="D702" s="75" t="n">
        <v>46087</v>
      </c>
      <c r="E70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70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125</v>
      </c>
      <c r="G702" s="1" t="n">
        <v>1</v>
      </c>
      <c r="H702" s="1" t="n">
        <v>1</v>
      </c>
      <c r="I702" s="1" t="n">
        <f aca="false">(salidas26[[#This Row],[CANT JUEGOS ]]*salidas26[[#This Row],[PRECIO JUEGO]])</f>
        <v>250</v>
      </c>
      <c r="J702" s="1" t="n">
        <f aca="false">(salidas26[[#This Row],[CANT BARRAS]]*salidas26[[#This Row],[PRECIO BARRA]])</f>
        <v>125</v>
      </c>
      <c r="M702" s="1" t="s">
        <v>704</v>
      </c>
    </row>
    <row r="703" customFormat="false" ht="15" hidden="false" customHeight="false" outlineLevel="0" collapsed="false">
      <c r="A703" s="1" t="n">
        <v>466</v>
      </c>
      <c r="B703" s="1" t="n">
        <v>6131</v>
      </c>
      <c r="C70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SKYWORTH 10B SUC Y EN OTRO MODELO 12 BARRAS</v>
      </c>
      <c r="D703" s="75" t="n">
        <v>46087</v>
      </c>
      <c r="E70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70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H703" s="1" t="n">
        <v>10</v>
      </c>
      <c r="I703" s="1" t="n">
        <f aca="false">(salidas26[[#This Row],[CANT JUEGOS ]]*salidas26[[#This Row],[PRECIO JUEGO]])</f>
        <v>0</v>
      </c>
      <c r="J703" s="1" t="n">
        <f aca="false">(salidas26[[#This Row],[CANT BARRAS]]*salidas26[[#This Row],[PRECIO BARRA]])</f>
        <v>333.333333333333</v>
      </c>
      <c r="K703" s="1" t="n">
        <v>370</v>
      </c>
      <c r="L703" s="1" t="s">
        <v>533</v>
      </c>
      <c r="M703" s="1" t="s">
        <v>649</v>
      </c>
    </row>
    <row r="704" customFormat="false" ht="15" hidden="false" customHeight="false" outlineLevel="0" collapsed="false">
      <c r="A704" s="1" t="n">
        <v>467</v>
      </c>
      <c r="B704" s="1" t="n">
        <v>2051</v>
      </c>
      <c r="C70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UN49J5290/8B</v>
      </c>
      <c r="D704" s="75" t="n">
        <v>46088</v>
      </c>
      <c r="E70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70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32.5</v>
      </c>
      <c r="G704" s="1" t="n">
        <v>1</v>
      </c>
      <c r="I704" s="1" t="n">
        <f aca="false">(salidas26[[#This Row],[CANT JUEGOS ]]*salidas26[[#This Row],[PRECIO JUEGO]])</f>
        <v>260</v>
      </c>
      <c r="J704" s="1" t="n">
        <f aca="false">(salidas26[[#This Row],[CANT BARRAS]]*salidas26[[#This Row],[PRECIO BARRA]])</f>
        <v>0</v>
      </c>
      <c r="K704" s="1" t="n">
        <v>250</v>
      </c>
      <c r="L704" s="1" t="s">
        <v>502</v>
      </c>
      <c r="M704" s="1" t="s">
        <v>705</v>
      </c>
    </row>
    <row r="705" customFormat="false" ht="15" hidden="false" customHeight="false" outlineLevel="0" collapsed="false">
      <c r="A705" s="1" t="n">
        <v>468</v>
      </c>
      <c r="B705" s="1" t="n">
        <v>2048</v>
      </c>
      <c r="C70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UN49 NU7100/2B EDGE</v>
      </c>
      <c r="D705" s="75" t="n">
        <v>46088</v>
      </c>
      <c r="E70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70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90</v>
      </c>
      <c r="G705" s="1" t="n">
        <v>1</v>
      </c>
      <c r="I705" s="1" t="n">
        <f aca="false">(salidas26[[#This Row],[CANT JUEGOS ]]*salidas26[[#This Row],[PRECIO JUEGO]])</f>
        <v>180</v>
      </c>
      <c r="J705" s="1" t="n">
        <f aca="false">(salidas26[[#This Row],[CANT BARRAS]]*salidas26[[#This Row],[PRECIO BARRA]])</f>
        <v>0</v>
      </c>
      <c r="K705" s="1" t="n">
        <v>180</v>
      </c>
      <c r="L705" s="1" t="s">
        <v>502</v>
      </c>
      <c r="M705" s="1" t="s">
        <v>578</v>
      </c>
    </row>
    <row r="706" customFormat="false" ht="15" hidden="false" customHeight="false" outlineLevel="0" collapsed="false">
      <c r="A706" s="1" t="n">
        <v>469</v>
      </c>
      <c r="B706" s="1" t="n">
        <v>2024</v>
      </c>
      <c r="C70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UN43J5202/ 3 BARRAS/8L/3V</v>
      </c>
      <c r="D706" s="75" t="n">
        <v>46088</v>
      </c>
      <c r="E70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70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706" s="1" t="n">
        <v>1</v>
      </c>
      <c r="I706" s="1" t="n">
        <f aca="false">(salidas26[[#This Row],[CANT JUEGOS ]]*salidas26[[#This Row],[PRECIO JUEGO]])</f>
        <v>180</v>
      </c>
      <c r="J706" s="1" t="n">
        <f aca="false">(salidas26[[#This Row],[CANT BARRAS]]*salidas26[[#This Row],[PRECIO BARRA]])</f>
        <v>0</v>
      </c>
      <c r="K706" s="1" t="n">
        <v>170</v>
      </c>
      <c r="L706" s="1" t="s">
        <v>502</v>
      </c>
      <c r="M706" s="1" t="s">
        <v>706</v>
      </c>
    </row>
    <row r="707" customFormat="false" ht="15" hidden="false" customHeight="false" outlineLevel="0" collapsed="false">
      <c r="A707" s="1" t="n">
        <v>470</v>
      </c>
      <c r="B707" s="1" t="n">
        <v>2024</v>
      </c>
      <c r="C70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UN43J5202/ 3 BARRAS/8L/3V</v>
      </c>
      <c r="D707" s="75" t="n">
        <v>46088</v>
      </c>
      <c r="E70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70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707" s="1" t="n">
        <v>1</v>
      </c>
      <c r="I707" s="1" t="n">
        <f aca="false">(salidas26[[#This Row],[CANT JUEGOS ]]*salidas26[[#This Row],[PRECIO JUEGO]])</f>
        <v>180</v>
      </c>
      <c r="J707" s="1" t="n">
        <f aca="false">(salidas26[[#This Row],[CANT BARRAS]]*salidas26[[#This Row],[PRECIO BARRA]])</f>
        <v>0</v>
      </c>
      <c r="K707" s="1" t="n">
        <v>180</v>
      </c>
      <c r="L707" s="1" t="s">
        <v>533</v>
      </c>
      <c r="M707" s="1" t="s">
        <v>511</v>
      </c>
    </row>
    <row r="708" customFormat="false" ht="15" hidden="false" customHeight="false" outlineLevel="0" collapsed="false">
      <c r="A708" s="1" t="n">
        <v>471</v>
      </c>
      <c r="B708" s="1" t="n">
        <v>1003</v>
      </c>
      <c r="C70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LA -3B/3V/7-8-7L</v>
      </c>
      <c r="D708" s="75" t="n">
        <v>46088</v>
      </c>
      <c r="E70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70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708" s="1" t="n">
        <v>1</v>
      </c>
      <c r="I708" s="1" t="n">
        <f aca="false">(salidas26[[#This Row],[CANT JUEGOS ]]*salidas26[[#This Row],[PRECIO JUEGO]])</f>
        <v>80</v>
      </c>
      <c r="J708" s="1" t="n">
        <f aca="false">(salidas26[[#This Row],[CANT BARRAS]]*salidas26[[#This Row],[PRECIO BARRA]])</f>
        <v>0</v>
      </c>
      <c r="K708" s="1" t="n">
        <v>90</v>
      </c>
      <c r="L708" s="1" t="s">
        <v>502</v>
      </c>
      <c r="M708" s="1" t="s">
        <v>518</v>
      </c>
    </row>
    <row r="709" customFormat="false" ht="15" hidden="false" customHeight="false" outlineLevel="0" collapsed="false">
      <c r="A709" s="1" t="n">
        <v>472</v>
      </c>
      <c r="B709" s="1" t="n">
        <v>3000</v>
      </c>
      <c r="C70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32B8000 3B/10LED/3V </v>
      </c>
      <c r="D709" s="75" t="n">
        <v>46088</v>
      </c>
      <c r="E70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70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09" s="1" t="n">
        <v>1</v>
      </c>
      <c r="I709" s="1" t="n">
        <f aca="false">(salidas26[[#This Row],[CANT JUEGOS ]]*salidas26[[#This Row],[PRECIO JUEGO]])</f>
        <v>90</v>
      </c>
      <c r="J709" s="1" t="n">
        <f aca="false">(salidas26[[#This Row],[CANT BARRAS]]*salidas26[[#This Row],[PRECIO BARRA]])</f>
        <v>0</v>
      </c>
      <c r="M709" s="1" t="s">
        <v>643</v>
      </c>
    </row>
    <row r="710" customFormat="false" ht="15" hidden="false" customHeight="false" outlineLevel="0" collapsed="false">
      <c r="A710" s="1" t="n">
        <v>473</v>
      </c>
      <c r="B710" s="1" t="n">
        <v>8123</v>
      </c>
      <c r="C71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3V/2W S/C  DIF. 180º</v>
      </c>
      <c r="D710" s="75" t="n">
        <v>46090</v>
      </c>
      <c r="E71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71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710" s="1" t="n">
        <v>32</v>
      </c>
      <c r="I710" s="1" t="n">
        <f aca="false">(salidas26[[#This Row],[CANT JUEGOS ]]*salidas26[[#This Row],[PRECIO JUEGO]])</f>
        <v>0</v>
      </c>
      <c r="J710" s="1" t="n">
        <f aca="false">(salidas26[[#This Row],[CANT BARRAS]]*salidas26[[#This Row],[PRECIO BARRA]])</f>
        <v>112</v>
      </c>
      <c r="K710" s="1" t="n">
        <v>112</v>
      </c>
      <c r="L710" s="1" t="s">
        <v>502</v>
      </c>
      <c r="M710" s="1" t="s">
        <v>670</v>
      </c>
    </row>
    <row r="711" customFormat="false" ht="15" hidden="false" customHeight="false" outlineLevel="0" collapsed="false">
      <c r="A711" s="1" t="n">
        <v>474</v>
      </c>
      <c r="B711" s="1" t="n">
        <v>2000</v>
      </c>
      <c r="C71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D711" s="75" t="n">
        <v>46090</v>
      </c>
      <c r="E71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71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711" s="1" t="n">
        <v>1</v>
      </c>
      <c r="I711" s="1" t="n">
        <f aca="false">(salidas26[[#This Row],[CANT JUEGOS ]]*salidas26[[#This Row],[PRECIO JUEGO]])</f>
        <v>80</v>
      </c>
      <c r="J711" s="1" t="n">
        <f aca="false">(salidas26[[#This Row],[CANT BARRAS]]*salidas26[[#This Row],[PRECIO BARRA]])</f>
        <v>0</v>
      </c>
      <c r="K711" s="1" t="n">
        <v>70</v>
      </c>
      <c r="L711" s="1" t="s">
        <v>502</v>
      </c>
      <c r="M711" s="1" t="s">
        <v>519</v>
      </c>
    </row>
    <row r="712" customFormat="false" ht="15" hidden="false" customHeight="false" outlineLevel="0" collapsed="false">
      <c r="A712" s="1" t="n">
        <v>475</v>
      </c>
      <c r="B712" s="1" t="n">
        <v>8000</v>
      </c>
      <c r="C71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19 PULG</v>
      </c>
      <c r="D712" s="75" t="n">
        <v>46090</v>
      </c>
      <c r="E71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71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H712" s="1" t="n">
        <v>1</v>
      </c>
      <c r="I712" s="1" t="n">
        <f aca="false">(salidas26[[#This Row],[CANT JUEGOS ]]*salidas26[[#This Row],[PRECIO JUEGO]])</f>
        <v>0</v>
      </c>
      <c r="J712" s="1" t="n">
        <f aca="false">(salidas26[[#This Row],[CANT BARRAS]]*salidas26[[#This Row],[PRECIO BARRA]])</f>
        <v>30</v>
      </c>
      <c r="M712" s="1" t="s">
        <v>508</v>
      </c>
    </row>
    <row r="713" customFormat="false" ht="15" hidden="false" customHeight="false" outlineLevel="0" collapsed="false">
      <c r="A713" s="1" t="n">
        <v>476</v>
      </c>
      <c r="B713" s="1" t="n">
        <v>2075</v>
      </c>
      <c r="C71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UN55NU7100-UN55RU7100/2B EDGE</v>
      </c>
      <c r="D713" s="75" t="n">
        <v>46090</v>
      </c>
      <c r="E71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71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100</v>
      </c>
      <c r="G713" s="1" t="n">
        <v>1</v>
      </c>
      <c r="I713" s="1" t="n">
        <f aca="false">(salidas26[[#This Row],[CANT JUEGOS ]]*salidas26[[#This Row],[PRECIO JUEGO]])</f>
        <v>200</v>
      </c>
      <c r="J713" s="1" t="n">
        <f aca="false">(salidas26[[#This Row],[CANT BARRAS]]*salidas26[[#This Row],[PRECIO BARRA]])</f>
        <v>0</v>
      </c>
      <c r="K713" s="1" t="n">
        <v>200</v>
      </c>
      <c r="L713" s="1" t="s">
        <v>502</v>
      </c>
      <c r="M713" s="1" t="s">
        <v>503</v>
      </c>
    </row>
    <row r="714" customFormat="false" ht="15" hidden="false" customHeight="false" outlineLevel="0" collapsed="false">
      <c r="A714" s="1" t="n">
        <v>477</v>
      </c>
      <c r="B714" s="1" t="n">
        <v>1069</v>
      </c>
      <c r="C71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47LB6500- 8B/6V</v>
      </c>
      <c r="D714" s="75" t="n">
        <v>46091</v>
      </c>
      <c r="E71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71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31.25</v>
      </c>
      <c r="G714" s="1" t="n">
        <v>1</v>
      </c>
      <c r="I714" s="1" t="n">
        <f aca="false">(salidas26[[#This Row],[CANT JUEGOS ]]*salidas26[[#This Row],[PRECIO JUEGO]])</f>
        <v>250</v>
      </c>
      <c r="J714" s="1" t="n">
        <f aca="false">(salidas26[[#This Row],[CANT BARRAS]]*salidas26[[#This Row],[PRECIO BARRA]])</f>
        <v>0</v>
      </c>
      <c r="K714" s="1" t="n">
        <v>250</v>
      </c>
      <c r="L714" s="1" t="s">
        <v>601</v>
      </c>
      <c r="M714" s="1" t="s">
        <v>507</v>
      </c>
    </row>
    <row r="715" customFormat="false" ht="15" hidden="false" customHeight="false" outlineLevel="0" collapsed="false">
      <c r="A715" s="1" t="n">
        <v>478</v>
      </c>
      <c r="B715" s="1" t="n">
        <v>1033</v>
      </c>
      <c r="C71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D715" s="75" t="n">
        <v>46091</v>
      </c>
      <c r="E71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71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715" s="1" t="n">
        <v>1</v>
      </c>
      <c r="I715" s="1" t="n">
        <f aca="false">(salidas26[[#This Row],[CANT JUEGOS ]]*salidas26[[#This Row],[PRECIO JUEGO]])</f>
        <v>180</v>
      </c>
      <c r="J715" s="1" t="n">
        <f aca="false">(salidas26[[#This Row],[CANT BARRAS]]*salidas26[[#This Row],[PRECIO BARRA]])</f>
        <v>0</v>
      </c>
      <c r="K715" s="1" t="n">
        <v>170</v>
      </c>
      <c r="L715" s="1" t="s">
        <v>502</v>
      </c>
      <c r="M715" s="1" t="s">
        <v>652</v>
      </c>
    </row>
    <row r="716" customFormat="false" ht="15" hidden="false" customHeight="false" outlineLevel="0" collapsed="false">
      <c r="A716" s="1" t="n">
        <v>479</v>
      </c>
      <c r="B716" s="1" t="n">
        <v>6034</v>
      </c>
      <c r="C71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HISENSE A6GSA 6B/8L/3V</v>
      </c>
      <c r="D716" s="75" t="n">
        <v>46091</v>
      </c>
      <c r="E71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380</v>
      </c>
      <c r="F71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63.3333333333333</v>
      </c>
      <c r="G716" s="1" t="n">
        <v>2</v>
      </c>
      <c r="H716" s="1" t="n">
        <v>2</v>
      </c>
      <c r="I716" s="1" t="n">
        <f aca="false">(salidas26[[#This Row],[CANT JUEGOS ]]*salidas26[[#This Row],[PRECIO JUEGO]])</f>
        <v>760</v>
      </c>
      <c r="J716" s="1" t="n">
        <f aca="false">(salidas26[[#This Row],[CANT BARRAS]]*salidas26[[#This Row],[PRECIO BARRA]])</f>
        <v>126.666666666667</v>
      </c>
      <c r="K716" s="1" t="n">
        <v>380</v>
      </c>
      <c r="L716" s="1" t="s">
        <v>502</v>
      </c>
      <c r="M716" s="1" t="s">
        <v>642</v>
      </c>
    </row>
    <row r="717" customFormat="false" ht="15" hidden="false" customHeight="false" outlineLevel="0" collapsed="false">
      <c r="A717" s="1" t="n">
        <v>480</v>
      </c>
      <c r="B717" s="1" t="n">
        <v>2000</v>
      </c>
      <c r="C71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D717" s="75" t="n">
        <v>46091</v>
      </c>
      <c r="E71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71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717" s="1" t="n">
        <v>1</v>
      </c>
      <c r="I717" s="1" t="n">
        <f aca="false">(salidas26[[#This Row],[CANT JUEGOS ]]*salidas26[[#This Row],[PRECIO JUEGO]])</f>
        <v>80</v>
      </c>
      <c r="J717" s="1" t="n">
        <f aca="false">(salidas26[[#This Row],[CANT BARRAS]]*salidas26[[#This Row],[PRECIO BARRA]])</f>
        <v>0</v>
      </c>
      <c r="K717" s="1" t="n">
        <v>70</v>
      </c>
      <c r="L717" s="1" t="s">
        <v>502</v>
      </c>
      <c r="M717" s="1" t="s">
        <v>642</v>
      </c>
    </row>
    <row r="718" customFormat="false" ht="15" hidden="false" customHeight="false" outlineLevel="0" collapsed="false">
      <c r="A718" s="1" t="n">
        <v>481</v>
      </c>
      <c r="B718" s="1" t="n">
        <v>8021</v>
      </c>
      <c r="C71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JVC RECTO /2B</v>
      </c>
      <c r="D718" s="75" t="n">
        <v>46091</v>
      </c>
      <c r="E71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71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18" s="1" t="n">
        <v>1</v>
      </c>
      <c r="I718" s="1" t="n">
        <f aca="false">(salidas26[[#This Row],[CANT JUEGOS ]]*salidas26[[#This Row],[PRECIO JUEGO]])</f>
        <v>60</v>
      </c>
      <c r="J718" s="1" t="n">
        <f aca="false">(salidas26[[#This Row],[CANT BARRAS]]*salidas26[[#This Row],[PRECIO BARRA]])</f>
        <v>0</v>
      </c>
      <c r="K718" s="1" t="n">
        <v>60</v>
      </c>
      <c r="L718" s="1" t="s">
        <v>502</v>
      </c>
      <c r="M718" s="1" t="s">
        <v>642</v>
      </c>
    </row>
    <row r="719" customFormat="false" ht="15" hidden="false" customHeight="false" outlineLevel="0" collapsed="false">
      <c r="A719" s="1" t="n">
        <v>482</v>
      </c>
      <c r="B719" s="1" t="n">
        <v>8033</v>
      </c>
      <c r="C71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719" s="75" t="n">
        <v>46091</v>
      </c>
      <c r="E71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71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719" s="1" t="n">
        <v>1</v>
      </c>
      <c r="I719" s="1" t="n">
        <f aca="false">(salidas26[[#This Row],[CANT JUEGOS ]]*salidas26[[#This Row],[PRECIO JUEGO]])</f>
        <v>150</v>
      </c>
      <c r="J719" s="1" t="n">
        <f aca="false">(salidas26[[#This Row],[CANT BARRAS]]*salidas26[[#This Row],[PRECIO BARRA]])</f>
        <v>0</v>
      </c>
      <c r="K719" s="1" t="n">
        <v>140</v>
      </c>
      <c r="L719" s="1" t="s">
        <v>533</v>
      </c>
      <c r="M719" s="1" t="s">
        <v>707</v>
      </c>
    </row>
    <row r="720" customFormat="false" ht="15" hidden="false" customHeight="false" outlineLevel="0" collapsed="false">
      <c r="A720" s="1" t="n">
        <v>483</v>
      </c>
      <c r="B720" s="1" t="n">
        <v>2036</v>
      </c>
      <c r="C72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UN46FH6203-46FH5005/8B</v>
      </c>
      <c r="D720" s="75" t="n">
        <v>46091</v>
      </c>
      <c r="E72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72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27.5</v>
      </c>
      <c r="G720" s="1" t="n">
        <v>1</v>
      </c>
      <c r="I720" s="1" t="n">
        <f aca="false">(salidas26[[#This Row],[CANT JUEGOS ]]*salidas26[[#This Row],[PRECIO JUEGO]])</f>
        <v>220</v>
      </c>
      <c r="J720" s="1" t="n">
        <f aca="false">(salidas26[[#This Row],[CANT BARRAS]]*salidas26[[#This Row],[PRECIO BARRA]])</f>
        <v>0</v>
      </c>
      <c r="K720" s="1" t="n">
        <v>210</v>
      </c>
      <c r="L720" s="1" t="s">
        <v>533</v>
      </c>
      <c r="M720" s="1" t="s">
        <v>707</v>
      </c>
    </row>
    <row r="721" customFormat="false" ht="15" hidden="false" customHeight="false" outlineLevel="0" collapsed="false">
      <c r="A721" s="1" t="n">
        <v>484</v>
      </c>
      <c r="B721" s="1" t="n">
        <v>2048</v>
      </c>
      <c r="C72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UN49 NU7100/2B EDGE</v>
      </c>
      <c r="D721" s="75" t="n">
        <v>46091</v>
      </c>
      <c r="E72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72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90</v>
      </c>
      <c r="G721" s="1" t="n">
        <v>1</v>
      </c>
      <c r="H721" s="1" t="n">
        <v>1</v>
      </c>
      <c r="I721" s="1" t="n">
        <f aca="false">(salidas26[[#This Row],[CANT JUEGOS ]]*salidas26[[#This Row],[PRECIO JUEGO]])</f>
        <v>180</v>
      </c>
      <c r="J721" s="1" t="n">
        <f aca="false">(salidas26[[#This Row],[CANT BARRAS]]*salidas26[[#This Row],[PRECIO BARRA]])</f>
        <v>90</v>
      </c>
      <c r="K721" s="1" t="n">
        <v>60</v>
      </c>
      <c r="L721" s="1" t="s">
        <v>533</v>
      </c>
      <c r="M721" s="1" t="s">
        <v>584</v>
      </c>
    </row>
    <row r="722" customFormat="false" ht="15" hidden="false" customHeight="false" outlineLevel="0" collapsed="false">
      <c r="A722" s="1" t="n">
        <v>485</v>
      </c>
      <c r="B722" s="1" t="n">
        <v>8015</v>
      </c>
      <c r="C72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722" s="75" t="n">
        <v>46091</v>
      </c>
      <c r="E72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72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22" s="1" t="n">
        <v>1</v>
      </c>
      <c r="I722" s="1" t="n">
        <f aca="false">(salidas26[[#This Row],[CANT JUEGOS ]]*salidas26[[#This Row],[PRECIO JUEGO]])</f>
        <v>60</v>
      </c>
      <c r="J722" s="1" t="n">
        <f aca="false">(salidas26[[#This Row],[CANT BARRAS]]*salidas26[[#This Row],[PRECIO BARRA]])</f>
        <v>0</v>
      </c>
      <c r="K722" s="1" t="n">
        <v>60</v>
      </c>
      <c r="L722" s="1" t="s">
        <v>533</v>
      </c>
      <c r="M722" s="1" t="s">
        <v>544</v>
      </c>
    </row>
    <row r="723" customFormat="false" ht="15" hidden="false" customHeight="false" outlineLevel="0" collapsed="false">
      <c r="A723" s="1" t="n">
        <v>486</v>
      </c>
      <c r="B723" s="1" t="n">
        <v>6027</v>
      </c>
      <c r="C72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HISENSE K321UW/10B reemplazo 55 6L/3V/10B</v>
      </c>
      <c r="D723" s="75" t="n">
        <v>46091</v>
      </c>
      <c r="E72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72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28</v>
      </c>
      <c r="H723" s="1" t="n">
        <v>3</v>
      </c>
      <c r="I723" s="1" t="n">
        <f aca="false">(salidas26[[#This Row],[CANT JUEGOS ]]*salidas26[[#This Row],[PRECIO JUEGO]])</f>
        <v>0</v>
      </c>
      <c r="J723" s="1" t="n">
        <f aca="false">(salidas26[[#This Row],[CANT BARRAS]]*salidas26[[#This Row],[PRECIO BARRA]])</f>
        <v>84</v>
      </c>
      <c r="K723" s="1" t="n">
        <v>80</v>
      </c>
      <c r="L723" s="1" t="s">
        <v>533</v>
      </c>
      <c r="M723" s="1" t="s">
        <v>544</v>
      </c>
    </row>
    <row r="724" customFormat="false" ht="15" hidden="false" customHeight="false" outlineLevel="0" collapsed="false">
      <c r="A724" s="1" t="n">
        <v>487</v>
      </c>
      <c r="B724" s="1" t="n">
        <v>7004</v>
      </c>
      <c r="C72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IRT LED4060SFHD 8L/3V/3B</v>
      </c>
      <c r="D724" s="75" t="n">
        <v>46091</v>
      </c>
      <c r="E72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72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724" s="1" t="n">
        <v>1</v>
      </c>
      <c r="I724" s="1" t="n">
        <f aca="false">(salidas26[[#This Row],[CANT JUEGOS ]]*salidas26[[#This Row],[PRECIO JUEGO]])</f>
        <v>150</v>
      </c>
      <c r="J724" s="1" t="n">
        <f aca="false">(salidas26[[#This Row],[CANT BARRAS]]*salidas26[[#This Row],[PRECIO BARRA]])</f>
        <v>0</v>
      </c>
      <c r="K724" s="1" t="n">
        <v>140</v>
      </c>
      <c r="L724" s="1" t="n">
        <v>140</v>
      </c>
      <c r="M724" s="1" t="s">
        <v>518</v>
      </c>
    </row>
    <row r="725" customFormat="false" ht="15" hidden="false" customHeight="false" outlineLevel="0" collapsed="false">
      <c r="A725" s="1" t="n">
        <v>488</v>
      </c>
      <c r="B725" s="1" t="n">
        <v>1123</v>
      </c>
      <c r="C72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UB8300/2B</v>
      </c>
      <c r="D725" s="75" t="n">
        <v>46091</v>
      </c>
      <c r="E72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320</v>
      </c>
      <c r="F72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160</v>
      </c>
      <c r="G725" s="1" t="n">
        <v>1</v>
      </c>
      <c r="I725" s="1" t="n">
        <f aca="false">(salidas26[[#This Row],[CANT JUEGOS ]]*salidas26[[#This Row],[PRECIO JUEGO]])</f>
        <v>320</v>
      </c>
      <c r="J725" s="1" t="n">
        <f aca="false">(salidas26[[#This Row],[CANT BARRAS]]*salidas26[[#This Row],[PRECIO BARRA]])</f>
        <v>0</v>
      </c>
      <c r="K725" s="1" t="n">
        <v>320</v>
      </c>
      <c r="L725" s="1" t="s">
        <v>533</v>
      </c>
      <c r="M725" s="1" t="s">
        <v>708</v>
      </c>
    </row>
    <row r="726" customFormat="false" ht="15" hidden="false" customHeight="false" outlineLevel="0" collapsed="false">
      <c r="A726" s="1" t="n">
        <v>489</v>
      </c>
      <c r="B726" s="1" t="n">
        <v>6009</v>
      </c>
      <c r="C72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L4700 TOSHIBA/6B (180 Bs) -43UJ-6200/LG/8B (200 BS)</v>
      </c>
      <c r="D726" s="75" t="n">
        <v>46091</v>
      </c>
      <c r="E72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72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H726" s="1" t="n">
        <v>6</v>
      </c>
      <c r="I726" s="1" t="n">
        <f aca="false">(salidas26[[#This Row],[CANT JUEGOS ]]*salidas26[[#This Row],[PRECIO JUEGO]])</f>
        <v>0</v>
      </c>
      <c r="J726" s="1" t="n">
        <f aca="false">(salidas26[[#This Row],[CANT BARRAS]]*salidas26[[#This Row],[PRECIO BARRA]])</f>
        <v>135</v>
      </c>
      <c r="K726" s="1" t="n">
        <v>180</v>
      </c>
      <c r="L726" s="1" t="s">
        <v>533</v>
      </c>
      <c r="M726" s="1" t="s">
        <v>709</v>
      </c>
    </row>
    <row r="727" customFormat="false" ht="15" hidden="false" customHeight="false" outlineLevel="0" collapsed="false">
      <c r="A727" s="1" t="n">
        <v>490</v>
      </c>
      <c r="B727" s="1" t="n">
        <v>2095</v>
      </c>
      <c r="C72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UN60AU8000G-60BU8000/2B</v>
      </c>
      <c r="D727" s="75" t="n">
        <v>46091</v>
      </c>
      <c r="E72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72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125</v>
      </c>
      <c r="G727" s="1" t="n">
        <v>1</v>
      </c>
      <c r="I727" s="1" t="n">
        <f aca="false">(salidas26[[#This Row],[CANT JUEGOS ]]*salidas26[[#This Row],[PRECIO JUEGO]])</f>
        <v>250</v>
      </c>
      <c r="J727" s="1" t="n">
        <f aca="false">(salidas26[[#This Row],[CANT BARRAS]]*salidas26[[#This Row],[PRECIO BARRA]])</f>
        <v>0</v>
      </c>
      <c r="K727" s="1" t="n">
        <v>82</v>
      </c>
      <c r="L727" s="1" t="s">
        <v>533</v>
      </c>
      <c r="M727" s="1" t="s">
        <v>546</v>
      </c>
    </row>
    <row r="728" customFormat="false" ht="15" hidden="false" customHeight="false" outlineLevel="0" collapsed="false">
      <c r="A728" s="1" t="n">
        <v>491</v>
      </c>
      <c r="B728" s="1" t="n">
        <v>1011</v>
      </c>
      <c r="C72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32LK540 6L/3V /2B</v>
      </c>
      <c r="D728" s="75" t="n">
        <v>46091</v>
      </c>
      <c r="E72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72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728" s="1" t="n">
        <v>1</v>
      </c>
      <c r="I728" s="1" t="n">
        <f aca="false">(salidas26[[#This Row],[CANT JUEGOS ]]*salidas26[[#This Row],[PRECIO JUEGO]])</f>
        <v>70</v>
      </c>
      <c r="J728" s="1" t="n">
        <f aca="false">(salidas26[[#This Row],[CANT BARRAS]]*salidas26[[#This Row],[PRECIO BARRA]])</f>
        <v>0</v>
      </c>
      <c r="K728" s="1" t="n">
        <v>350</v>
      </c>
      <c r="L728" s="1" t="s">
        <v>533</v>
      </c>
      <c r="M728" s="1" t="s">
        <v>710</v>
      </c>
    </row>
    <row r="729" customFormat="false" ht="15" hidden="false" customHeight="false" outlineLevel="0" collapsed="false">
      <c r="A729" s="1" t="n">
        <v>492</v>
      </c>
      <c r="B729" s="1" t="n">
        <v>8021</v>
      </c>
      <c r="C72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JVC RECTO /2B</v>
      </c>
      <c r="D729" s="75" t="n">
        <v>46091</v>
      </c>
      <c r="E72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72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29" s="1" t="n">
        <v>1</v>
      </c>
      <c r="I729" s="1" t="n">
        <f aca="false">(salidas26[[#This Row],[CANT JUEGOS ]]*salidas26[[#This Row],[PRECIO JUEGO]])</f>
        <v>60</v>
      </c>
      <c r="J729" s="1" t="n">
        <f aca="false">(salidas26[[#This Row],[CANT BARRAS]]*salidas26[[#This Row],[PRECIO BARRA]])</f>
        <v>0</v>
      </c>
      <c r="K729" s="1" t="n">
        <v>60</v>
      </c>
      <c r="L729" s="1" t="s">
        <v>502</v>
      </c>
      <c r="M729" s="1" t="s">
        <v>701</v>
      </c>
    </row>
    <row r="730" customFormat="false" ht="15" hidden="false" customHeight="false" outlineLevel="0" collapsed="false">
      <c r="A730" s="1" t="n">
        <v>494</v>
      </c>
      <c r="B730" s="1" t="n">
        <v>6000</v>
      </c>
      <c r="C73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SKYWORTH 2B/6LED/3V </v>
      </c>
      <c r="D730" s="75" t="n">
        <v>46091</v>
      </c>
      <c r="E73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73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30" s="1" t="n">
        <v>1</v>
      </c>
      <c r="I730" s="1" t="n">
        <f aca="false">(salidas26[[#This Row],[CANT JUEGOS ]]*salidas26[[#This Row],[PRECIO JUEGO]])</f>
        <v>60</v>
      </c>
      <c r="J730" s="1" t="n">
        <f aca="false">(salidas26[[#This Row],[CANT BARRAS]]*salidas26[[#This Row],[PRECIO BARRA]])</f>
        <v>0</v>
      </c>
      <c r="K730" s="1" t="n">
        <v>60</v>
      </c>
      <c r="L730" s="1" t="s">
        <v>502</v>
      </c>
      <c r="M730" s="1" t="s">
        <v>711</v>
      </c>
    </row>
    <row r="731" customFormat="false" ht="15" hidden="false" customHeight="false" outlineLevel="0" collapsed="false">
      <c r="A731" s="1" t="n">
        <v>497</v>
      </c>
      <c r="B731" s="1" t="n">
        <v>3000</v>
      </c>
      <c r="C73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32B8000 3B/10LED/3V </v>
      </c>
      <c r="D731" s="75" t="n">
        <v>46092</v>
      </c>
      <c r="E73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73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31" s="1" t="n">
        <v>1</v>
      </c>
      <c r="I731" s="1" t="n">
        <f aca="false">(salidas26[[#This Row],[CANT JUEGOS ]]*salidas26[[#This Row],[PRECIO JUEGO]])</f>
        <v>90</v>
      </c>
      <c r="J731" s="1" t="n">
        <f aca="false">(salidas26[[#This Row],[CANT BARRAS]]*salidas26[[#This Row],[PRECIO BARRA]])</f>
        <v>0</v>
      </c>
      <c r="K731" s="1" t="n">
        <v>90</v>
      </c>
      <c r="L731" s="1" t="s">
        <v>502</v>
      </c>
      <c r="M731" s="1" t="s">
        <v>518</v>
      </c>
    </row>
    <row r="732" customFormat="false" ht="15" hidden="false" customHeight="false" outlineLevel="0" collapsed="false">
      <c r="A732" s="1" t="n">
        <v>498</v>
      </c>
      <c r="B732" s="1" t="n">
        <v>8068</v>
      </c>
      <c r="C73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3V/10L/4B</v>
      </c>
      <c r="D732" s="75" t="n">
        <v>46092</v>
      </c>
      <c r="E73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73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732" s="1" t="n">
        <v>1</v>
      </c>
      <c r="I732" s="1" t="n">
        <f aca="false">(salidas26[[#This Row],[CANT JUEGOS ]]*salidas26[[#This Row],[PRECIO JUEGO]])</f>
        <v>220</v>
      </c>
      <c r="J732" s="1" t="n">
        <f aca="false">(salidas26[[#This Row],[CANT BARRAS]]*salidas26[[#This Row],[PRECIO BARRA]])</f>
        <v>0</v>
      </c>
      <c r="K732" s="1" t="n">
        <v>200</v>
      </c>
      <c r="L732" s="1" t="s">
        <v>502</v>
      </c>
      <c r="M732" s="1" t="s">
        <v>503</v>
      </c>
    </row>
    <row r="733" customFormat="false" ht="15" hidden="false" customHeight="false" outlineLevel="0" collapsed="false">
      <c r="A733" s="1" t="n">
        <v>500</v>
      </c>
      <c r="B733" s="1" t="n">
        <v>3000</v>
      </c>
      <c r="C73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32B8000 3B/10LED/3V </v>
      </c>
      <c r="D733" s="75" t="n">
        <v>46092</v>
      </c>
      <c r="E73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73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33" s="1" t="n">
        <v>2</v>
      </c>
      <c r="I733" s="1" t="n">
        <f aca="false">(salidas26[[#This Row],[CANT JUEGOS ]]*salidas26[[#This Row],[PRECIO JUEGO]])</f>
        <v>180</v>
      </c>
      <c r="J733" s="1" t="n">
        <f aca="false">(salidas26[[#This Row],[CANT BARRAS]]*salidas26[[#This Row],[PRECIO BARRA]])</f>
        <v>0</v>
      </c>
      <c r="K733" s="1" t="n">
        <v>144</v>
      </c>
      <c r="L733" s="1" t="s">
        <v>502</v>
      </c>
      <c r="M733" s="1" t="s">
        <v>534</v>
      </c>
    </row>
    <row r="734" customFormat="false" ht="15" hidden="false" customHeight="false" outlineLevel="0" collapsed="false">
      <c r="A734" s="1" t="n">
        <v>501</v>
      </c>
      <c r="B734" s="1" t="n">
        <v>6000</v>
      </c>
      <c r="C73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SKYWORTH 2B/6LED/3V </v>
      </c>
      <c r="D734" s="75" t="n">
        <v>46092</v>
      </c>
      <c r="E73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73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34" s="1" t="n">
        <v>1</v>
      </c>
      <c r="I734" s="1" t="n">
        <f aca="false">(salidas26[[#This Row],[CANT JUEGOS ]]*salidas26[[#This Row],[PRECIO JUEGO]])</f>
        <v>60</v>
      </c>
      <c r="J734" s="1" t="n">
        <f aca="false">(salidas26[[#This Row],[CANT BARRAS]]*salidas26[[#This Row],[PRECIO BARRA]])</f>
        <v>0</v>
      </c>
      <c r="K734" s="1" t="n">
        <v>48</v>
      </c>
      <c r="L734" s="1" t="s">
        <v>502</v>
      </c>
      <c r="M734" s="1" t="s">
        <v>534</v>
      </c>
    </row>
    <row r="735" customFormat="false" ht="15" hidden="false" customHeight="false" outlineLevel="0" collapsed="false">
      <c r="A735" s="1" t="n">
        <v>502</v>
      </c>
      <c r="B735" s="1" t="n">
        <v>1036</v>
      </c>
      <c r="C73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42LA6130-42LN5400  10B/3V</v>
      </c>
      <c r="D735" s="75" t="n">
        <v>46092</v>
      </c>
      <c r="E73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73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18</v>
      </c>
      <c r="G735" s="1" t="n">
        <v>1</v>
      </c>
      <c r="I735" s="1" t="n">
        <f aca="false">(salidas26[[#This Row],[CANT JUEGOS ]]*salidas26[[#This Row],[PRECIO JUEGO]])</f>
        <v>180</v>
      </c>
      <c r="J735" s="1" t="n">
        <f aca="false">(salidas26[[#This Row],[CANT BARRAS]]*salidas26[[#This Row],[PRECIO BARRA]])</f>
        <v>0</v>
      </c>
      <c r="K735" s="1" t="n">
        <v>144</v>
      </c>
      <c r="L735" s="1" t="s">
        <v>502</v>
      </c>
      <c r="M735" s="1" t="s">
        <v>534</v>
      </c>
    </row>
    <row r="736" customFormat="false" ht="15" hidden="false" customHeight="false" outlineLevel="0" collapsed="false">
      <c r="A736" s="1" t="n">
        <v>503</v>
      </c>
      <c r="B736" s="1" t="n">
        <v>1042</v>
      </c>
      <c r="C73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42LS3450/10B</v>
      </c>
      <c r="D736" s="75" t="n">
        <v>46092</v>
      </c>
      <c r="E73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73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25</v>
      </c>
      <c r="G736" s="1" t="n">
        <v>1</v>
      </c>
      <c r="I736" s="1" t="n">
        <f aca="false">(salidas26[[#This Row],[CANT JUEGOS ]]*salidas26[[#This Row],[PRECIO JUEGO]])</f>
        <v>250</v>
      </c>
      <c r="J736" s="1" t="n">
        <f aca="false">(salidas26[[#This Row],[CANT BARRAS]]*salidas26[[#This Row],[PRECIO BARRA]])</f>
        <v>0</v>
      </c>
      <c r="K736" s="1" t="n">
        <v>200</v>
      </c>
      <c r="L736" s="1" t="s">
        <v>502</v>
      </c>
      <c r="M736" s="1" t="s">
        <v>534</v>
      </c>
    </row>
    <row r="737" customFormat="false" ht="15" hidden="false" customHeight="false" outlineLevel="0" collapsed="false">
      <c r="A737" s="1" t="n">
        <v>504</v>
      </c>
      <c r="B737" s="1" t="n">
        <v>1087</v>
      </c>
      <c r="C73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49LK5400 /8B</v>
      </c>
      <c r="D737" s="75" t="n">
        <v>46092</v>
      </c>
      <c r="E73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73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27.5</v>
      </c>
      <c r="G737" s="1" t="n">
        <v>1</v>
      </c>
      <c r="I737" s="1" t="n">
        <f aca="false">(salidas26[[#This Row],[CANT JUEGOS ]]*salidas26[[#This Row],[PRECIO JUEGO]])</f>
        <v>220</v>
      </c>
      <c r="J737" s="1" t="n">
        <f aca="false">(salidas26[[#This Row],[CANT BARRAS]]*salidas26[[#This Row],[PRECIO BARRA]])</f>
        <v>0</v>
      </c>
      <c r="K737" s="1" t="n">
        <v>176</v>
      </c>
      <c r="L737" s="1" t="s">
        <v>502</v>
      </c>
      <c r="M737" s="1" t="s">
        <v>534</v>
      </c>
    </row>
    <row r="738" customFormat="false" ht="15" hidden="false" customHeight="false" outlineLevel="0" collapsed="false">
      <c r="B738" s="1" t="n">
        <v>6131</v>
      </c>
      <c r="C73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SKYWORTH 10B SUC Y EN OTRO MODELO 12 BARRAS</v>
      </c>
      <c r="D738" s="75" t="n">
        <v>46064</v>
      </c>
      <c r="E73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73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H738" s="1" t="n">
        <v>52</v>
      </c>
      <c r="I738" s="1" t="n">
        <f aca="false">(salidas26[[#This Row],[CANT JUEGOS ]]*salidas26[[#This Row],[PRECIO JUEGO]])</f>
        <v>0</v>
      </c>
      <c r="J738" s="1" t="n">
        <f aca="false">(salidas26[[#This Row],[CANT BARRAS]]*salidas26[[#This Row],[PRECIO BARRA]])</f>
        <v>1733.33333333333</v>
      </c>
      <c r="M738" s="1" t="s">
        <v>712</v>
      </c>
    </row>
    <row r="739" customFormat="false" ht="15" hidden="false" customHeight="false" outlineLevel="0" collapsed="false">
      <c r="A739" s="1" t="n">
        <v>505</v>
      </c>
      <c r="B739" s="1" t="n">
        <v>6001</v>
      </c>
      <c r="C73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MASTER G MGHF32WB 6L/3V/2B</v>
      </c>
      <c r="D739" s="75" t="n">
        <v>46064</v>
      </c>
      <c r="E73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73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739" s="1" t="n">
        <v>1</v>
      </c>
      <c r="I739" s="1" t="n">
        <f aca="false">(salidas26[[#This Row],[CANT JUEGOS ]]*salidas26[[#This Row],[PRECIO JUEGO]])</f>
        <v>80</v>
      </c>
      <c r="J739" s="1" t="n">
        <f aca="false">(salidas26[[#This Row],[CANT BARRAS]]*salidas26[[#This Row],[PRECIO BARRA]])</f>
        <v>0</v>
      </c>
      <c r="K739" s="1" t="n">
        <v>60</v>
      </c>
      <c r="L739" s="1" t="s">
        <v>533</v>
      </c>
      <c r="M739" s="1" t="s">
        <v>713</v>
      </c>
    </row>
    <row r="740" customFormat="false" ht="15" hidden="false" customHeight="false" outlineLevel="0" collapsed="false">
      <c r="A740" s="1" t="n">
        <v>506</v>
      </c>
      <c r="B740" s="1" t="n">
        <v>7002</v>
      </c>
      <c r="C74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F1000 KONKA 6L/LED3250HDD/CRONW TV3277D IRT</v>
      </c>
      <c r="D740" s="75" t="n">
        <v>46064</v>
      </c>
      <c r="E74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74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740" s="1" t="n">
        <v>1</v>
      </c>
      <c r="I740" s="1" t="n">
        <f aca="false">(salidas26[[#This Row],[CANT JUEGOS ]]*salidas26[[#This Row],[PRECIO JUEGO]])</f>
        <v>70</v>
      </c>
      <c r="J740" s="1" t="n">
        <f aca="false">(salidas26[[#This Row],[CANT BARRAS]]*salidas26[[#This Row],[PRECIO BARRA]])</f>
        <v>0</v>
      </c>
      <c r="K740" s="1" t="n">
        <v>70</v>
      </c>
      <c r="L740" s="1" t="s">
        <v>502</v>
      </c>
      <c r="M740" s="1" t="s">
        <v>683</v>
      </c>
    </row>
    <row r="741" customFormat="false" ht="15" hidden="false" customHeight="false" outlineLevel="0" collapsed="false">
      <c r="A741" s="1" t="n">
        <v>507</v>
      </c>
      <c r="B741" s="1" t="n">
        <v>8095</v>
      </c>
      <c r="C74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 PREMIER 5L/3V 10B</v>
      </c>
      <c r="D741" s="75" t="n">
        <v>46064</v>
      </c>
      <c r="E74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74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41" s="1" t="n">
        <v>1</v>
      </c>
      <c r="I741" s="1" t="n">
        <f aca="false">(salidas26[[#This Row],[CANT JUEGOS ]]*salidas26[[#This Row],[PRECIO JUEGO]])</f>
        <v>300</v>
      </c>
      <c r="J741" s="1" t="n">
        <f aca="false">(salidas26[[#This Row],[CANT BARRAS]]*salidas26[[#This Row],[PRECIO BARRA]])</f>
        <v>0</v>
      </c>
      <c r="K741" s="1" t="n">
        <v>250</v>
      </c>
      <c r="L741" s="1" t="s">
        <v>533</v>
      </c>
      <c r="M741" s="1" t="s">
        <v>713</v>
      </c>
    </row>
    <row r="742" customFormat="false" ht="15" hidden="false" customHeight="false" outlineLevel="0" collapsed="false">
      <c r="A742" s="1" t="n">
        <v>508</v>
      </c>
      <c r="B742" s="1" t="n">
        <v>5010</v>
      </c>
      <c r="C74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SONY/AOC LE40D3142 -4B/9L</v>
      </c>
      <c r="D742" s="75" t="n">
        <v>46064</v>
      </c>
      <c r="E74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74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45</v>
      </c>
      <c r="G742" s="1" t="n">
        <v>1</v>
      </c>
      <c r="I742" s="1" t="n">
        <f aca="false">(salidas26[[#This Row],[CANT JUEGOS ]]*salidas26[[#This Row],[PRECIO JUEGO]])</f>
        <v>180</v>
      </c>
      <c r="J742" s="1" t="n">
        <f aca="false">(salidas26[[#This Row],[CANT BARRAS]]*salidas26[[#This Row],[PRECIO BARRA]])</f>
        <v>0</v>
      </c>
      <c r="K742" s="1" t="n">
        <v>150</v>
      </c>
      <c r="L742" s="1" t="s">
        <v>533</v>
      </c>
      <c r="M742" s="1" t="s">
        <v>508</v>
      </c>
    </row>
    <row r="743" customFormat="false" ht="15" hidden="false" customHeight="false" outlineLevel="0" collapsed="false">
      <c r="A743" s="1" t="n">
        <v>509</v>
      </c>
      <c r="B743" s="1" t="n">
        <v>1011</v>
      </c>
      <c r="C74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32LK540 6L/3V /2B</v>
      </c>
      <c r="D743" s="75" t="n">
        <v>46064</v>
      </c>
      <c r="E74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74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743" s="1" t="n">
        <v>1</v>
      </c>
      <c r="I743" s="1" t="n">
        <f aca="false">(salidas26[[#This Row],[CANT JUEGOS ]]*salidas26[[#This Row],[PRECIO JUEGO]])</f>
        <v>70</v>
      </c>
      <c r="J743" s="1" t="n">
        <f aca="false">(salidas26[[#This Row],[CANT BARRAS]]*salidas26[[#This Row],[PRECIO BARRA]])</f>
        <v>0</v>
      </c>
      <c r="K743" s="1" t="n">
        <v>60</v>
      </c>
      <c r="L743" s="1" t="s">
        <v>502</v>
      </c>
      <c r="M743" s="1" t="s">
        <v>573</v>
      </c>
    </row>
    <row r="744" customFormat="false" ht="15" hidden="false" customHeight="false" outlineLevel="0" collapsed="false">
      <c r="A744" s="1" t="n">
        <v>510</v>
      </c>
      <c r="B744" s="1" t="n">
        <v>8130</v>
      </c>
      <c r="C74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LUPA NORMAL 6V/2W S/C</v>
      </c>
      <c r="D744" s="75" t="n">
        <v>46064</v>
      </c>
      <c r="E74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74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744" s="1" t="n">
        <v>8</v>
      </c>
      <c r="I744" s="1" t="n">
        <f aca="false">(salidas26[[#This Row],[CANT JUEGOS ]]*salidas26[[#This Row],[PRECIO JUEGO]])</f>
        <v>0</v>
      </c>
      <c r="J744" s="1" t="n">
        <f aca="false">(salidas26[[#This Row],[CANT BARRAS]]*salidas26[[#This Row],[PRECIO BARRA]])</f>
        <v>28</v>
      </c>
      <c r="K744" s="1" t="n">
        <v>28</v>
      </c>
      <c r="L744" s="1" t="s">
        <v>502</v>
      </c>
      <c r="M744" s="1" t="s">
        <v>507</v>
      </c>
    </row>
    <row r="745" customFormat="false" ht="15" hidden="false" customHeight="false" outlineLevel="0" collapsed="false">
      <c r="A745" s="1" t="n">
        <v>511</v>
      </c>
      <c r="B745" s="1" t="n">
        <v>1011</v>
      </c>
      <c r="C74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32LK540 6L/3V /2B</v>
      </c>
      <c r="D745" s="75" t="n">
        <v>46064</v>
      </c>
      <c r="E74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74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745" s="1" t="n">
        <v>1</v>
      </c>
      <c r="I745" s="1" t="n">
        <f aca="false">(salidas26[[#This Row],[CANT JUEGOS ]]*salidas26[[#This Row],[PRECIO JUEGO]])</f>
        <v>70</v>
      </c>
      <c r="J745" s="1" t="n">
        <f aca="false">(salidas26[[#This Row],[CANT BARRAS]]*salidas26[[#This Row],[PRECIO BARRA]])</f>
        <v>0</v>
      </c>
      <c r="K745" s="1" t="n">
        <v>60</v>
      </c>
      <c r="L745" s="1" t="s">
        <v>533</v>
      </c>
      <c r="M745" s="1" t="s">
        <v>665</v>
      </c>
    </row>
    <row r="746" customFormat="false" ht="15" hidden="false" customHeight="false" outlineLevel="0" collapsed="false">
      <c r="A746" s="1" t="n">
        <v>512</v>
      </c>
      <c r="B746" s="1" t="n">
        <v>6025</v>
      </c>
      <c r="C74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M550KB TOSHIBA 5B/14L</v>
      </c>
      <c r="D746" s="75" t="n">
        <v>46093</v>
      </c>
      <c r="E74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320</v>
      </c>
      <c r="F74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64</v>
      </c>
      <c r="G746" s="1" t="n">
        <v>1</v>
      </c>
      <c r="I746" s="1" t="n">
        <f aca="false">(salidas26[[#This Row],[CANT JUEGOS ]]*salidas26[[#This Row],[PRECIO JUEGO]])</f>
        <v>320</v>
      </c>
      <c r="J746" s="1" t="n">
        <f aca="false">(salidas26[[#This Row],[CANT BARRAS]]*salidas26[[#This Row],[PRECIO BARRA]])</f>
        <v>0</v>
      </c>
      <c r="K746" s="1" t="n">
        <v>300</v>
      </c>
      <c r="L746" s="1" t="s">
        <v>502</v>
      </c>
      <c r="M746" s="1" t="s">
        <v>524</v>
      </c>
    </row>
    <row r="747" customFormat="false" ht="15" hidden="false" customHeight="false" outlineLevel="0" collapsed="false">
      <c r="A747" s="1" t="n">
        <v>513</v>
      </c>
      <c r="B747" s="1" t="n">
        <v>4018</v>
      </c>
      <c r="C74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 DAEWO DOBLE PIN </v>
      </c>
      <c r="D747" s="75" t="n">
        <v>46093</v>
      </c>
      <c r="E74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74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200</v>
      </c>
      <c r="G747" s="1" t="n">
        <v>1</v>
      </c>
      <c r="H747" s="1" t="n">
        <v>1</v>
      </c>
      <c r="I747" s="1" t="n">
        <f aca="false">(salidas26[[#This Row],[CANT JUEGOS ]]*salidas26[[#This Row],[PRECIO JUEGO]])</f>
        <v>200</v>
      </c>
      <c r="J747" s="1" t="n">
        <f aca="false">(salidas26[[#This Row],[CANT BARRAS]]*salidas26[[#This Row],[PRECIO BARRA]])</f>
        <v>200</v>
      </c>
      <c r="K747" s="1" t="n">
        <v>230</v>
      </c>
      <c r="L747" s="1" t="s">
        <v>533</v>
      </c>
      <c r="M747" s="1" t="s">
        <v>675</v>
      </c>
    </row>
    <row r="748" customFormat="false" ht="15" hidden="false" customHeight="false" outlineLevel="0" collapsed="false">
      <c r="A748" s="1" t="n">
        <v>514</v>
      </c>
      <c r="B748" s="1" t="n">
        <v>1036</v>
      </c>
      <c r="C74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42LA6130-42LN5400  10B/3V</v>
      </c>
      <c r="D748" s="75" t="n">
        <v>46093</v>
      </c>
      <c r="E74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74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18</v>
      </c>
      <c r="G748" s="1" t="n">
        <v>1</v>
      </c>
      <c r="I748" s="1" t="n">
        <f aca="false">(salidas26[[#This Row],[CANT JUEGOS ]]*salidas26[[#This Row],[PRECIO JUEGO]])</f>
        <v>180</v>
      </c>
      <c r="J748" s="1" t="n">
        <f aca="false">(salidas26[[#This Row],[CANT BARRAS]]*salidas26[[#This Row],[PRECIO BARRA]])</f>
        <v>0</v>
      </c>
      <c r="K748" s="1" t="n">
        <v>180</v>
      </c>
      <c r="L748" s="1" t="s">
        <v>502</v>
      </c>
      <c r="M748" s="1" t="s">
        <v>714</v>
      </c>
    </row>
    <row r="749" customFormat="false" ht="15" hidden="false" customHeight="false" outlineLevel="0" collapsed="false">
      <c r="A749" s="1" t="n">
        <v>515</v>
      </c>
      <c r="B749" s="1" t="n">
        <v>8021</v>
      </c>
      <c r="C74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JVC RECTO /2B</v>
      </c>
      <c r="D749" s="75" t="n">
        <v>46093</v>
      </c>
      <c r="E74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74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49" s="1" t="n">
        <v>1</v>
      </c>
      <c r="H749" s="1" t="n">
        <v>1</v>
      </c>
      <c r="I749" s="1" t="n">
        <f aca="false">(salidas26[[#This Row],[CANT JUEGOS ]]*salidas26[[#This Row],[PRECIO JUEGO]])</f>
        <v>60</v>
      </c>
      <c r="J749" s="1" t="n">
        <f aca="false">(salidas26[[#This Row],[CANT BARRAS]]*salidas26[[#This Row],[PRECIO BARRA]])</f>
        <v>30</v>
      </c>
      <c r="K749" s="1" t="n">
        <v>30</v>
      </c>
      <c r="L749" s="1" t="s">
        <v>502</v>
      </c>
      <c r="M749" s="1" t="s">
        <v>663</v>
      </c>
    </row>
    <row r="750" customFormat="false" ht="15" hidden="false" customHeight="false" outlineLevel="0" collapsed="false">
      <c r="B750" s="1" t="n">
        <v>8021</v>
      </c>
      <c r="C75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JVC RECTO /2B</v>
      </c>
      <c r="D750" s="75" t="n">
        <v>46093</v>
      </c>
      <c r="E75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75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50" s="1" t="n">
        <v>1</v>
      </c>
      <c r="I750" s="1" t="n">
        <f aca="false">(salidas26[[#This Row],[CANT JUEGOS ]]*salidas26[[#This Row],[PRECIO JUEGO]])</f>
        <v>60</v>
      </c>
      <c r="J750" s="1" t="n">
        <f aca="false">(salidas26[[#This Row],[CANT BARRAS]]*salidas26[[#This Row],[PRECIO BARRA]])</f>
        <v>0</v>
      </c>
      <c r="K750" s="1" t="n">
        <v>60</v>
      </c>
      <c r="L750" s="1" t="s">
        <v>502</v>
      </c>
      <c r="M750" s="1" t="s">
        <v>505</v>
      </c>
    </row>
    <row r="751" customFormat="false" ht="15" hidden="false" customHeight="false" outlineLevel="0" collapsed="false">
      <c r="A751" s="1" t="n">
        <v>516</v>
      </c>
      <c r="B751" s="1" t="n">
        <v>5038</v>
      </c>
      <c r="C75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KDL-65X725E 2B</v>
      </c>
      <c r="D751" s="75" t="n">
        <v>46093</v>
      </c>
      <c r="E75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75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150</v>
      </c>
      <c r="G751" s="1" t="n">
        <v>1</v>
      </c>
      <c r="I751" s="1" t="n">
        <f aca="false">(salidas26[[#This Row],[CANT JUEGOS ]]*salidas26[[#This Row],[PRECIO JUEGO]])</f>
        <v>300</v>
      </c>
      <c r="J751" s="1" t="n">
        <f aca="false">(salidas26[[#This Row],[CANT BARRAS]]*salidas26[[#This Row],[PRECIO BARRA]])</f>
        <v>0</v>
      </c>
      <c r="M751" s="1" t="s">
        <v>508</v>
      </c>
    </row>
    <row r="752" customFormat="false" ht="15" hidden="false" customHeight="false" outlineLevel="0" collapsed="false">
      <c r="A752" s="1" t="n">
        <v>517</v>
      </c>
      <c r="B752" s="1" t="n">
        <v>8068</v>
      </c>
      <c r="C75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3V/10L/4B</v>
      </c>
      <c r="D752" s="75" t="n">
        <v>46093</v>
      </c>
      <c r="E75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75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752" s="1" t="n">
        <v>1</v>
      </c>
      <c r="I752" s="1" t="n">
        <f aca="false">(salidas26[[#This Row],[CANT JUEGOS ]]*salidas26[[#This Row],[PRECIO JUEGO]])</f>
        <v>220</v>
      </c>
      <c r="J752" s="1" t="n">
        <f aca="false">(salidas26[[#This Row],[CANT BARRAS]]*salidas26[[#This Row],[PRECIO BARRA]])</f>
        <v>0</v>
      </c>
      <c r="K752" s="1" t="n">
        <v>200</v>
      </c>
      <c r="L752" s="1" t="s">
        <v>502</v>
      </c>
      <c r="M752" s="1" t="s">
        <v>560</v>
      </c>
    </row>
    <row r="753" customFormat="false" ht="15" hidden="false" customHeight="false" outlineLevel="0" collapsed="false">
      <c r="A753" s="1" t="n">
        <v>518</v>
      </c>
      <c r="B753" s="1" t="n">
        <v>7004</v>
      </c>
      <c r="C75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IRT LED4060SFHD 8L/3V/3B</v>
      </c>
      <c r="D753" s="75" t="n">
        <v>46093</v>
      </c>
      <c r="E75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75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753" s="1" t="n">
        <v>1</v>
      </c>
      <c r="I753" s="1" t="n">
        <f aca="false">(salidas26[[#This Row],[CANT JUEGOS ]]*salidas26[[#This Row],[PRECIO JUEGO]])</f>
        <v>150</v>
      </c>
      <c r="J753" s="1" t="n">
        <f aca="false">(salidas26[[#This Row],[CANT BARRAS]]*salidas26[[#This Row],[PRECIO BARRA]])</f>
        <v>0</v>
      </c>
      <c r="K753" s="1" t="n">
        <v>140</v>
      </c>
      <c r="L753" s="1" t="s">
        <v>502</v>
      </c>
      <c r="M753" s="1" t="s">
        <v>715</v>
      </c>
    </row>
    <row r="754" customFormat="false" ht="15" hidden="false" customHeight="false" outlineLevel="0" collapsed="false">
      <c r="A754" s="1" t="n">
        <v>519</v>
      </c>
      <c r="B754" s="1" t="n">
        <v>2075</v>
      </c>
      <c r="C75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UN55NU7100-UN55RU7100/2B EDGE</v>
      </c>
      <c r="D754" s="75" t="n">
        <v>46093</v>
      </c>
      <c r="E75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75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100</v>
      </c>
      <c r="G754" s="1" t="n">
        <v>1</v>
      </c>
      <c r="I754" s="1" t="n">
        <f aca="false">(salidas26[[#This Row],[CANT JUEGOS ]]*salidas26[[#This Row],[PRECIO JUEGO]])</f>
        <v>200</v>
      </c>
      <c r="J754" s="1" t="n">
        <f aca="false">(salidas26[[#This Row],[CANT BARRAS]]*salidas26[[#This Row],[PRECIO BARRA]])</f>
        <v>0</v>
      </c>
      <c r="K754" s="1" t="n">
        <v>200</v>
      </c>
      <c r="L754" s="1" t="s">
        <v>502</v>
      </c>
      <c r="M754" s="1" t="s">
        <v>518</v>
      </c>
    </row>
    <row r="755" customFormat="false" ht="15" hidden="false" customHeight="false" outlineLevel="0" collapsed="false">
      <c r="A755" s="1" t="n">
        <v>520</v>
      </c>
      <c r="B755" s="1" t="n">
        <v>1075</v>
      </c>
      <c r="C75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49LJ5500-49UJ6300/8B</v>
      </c>
      <c r="D755" s="75" t="n">
        <v>46093</v>
      </c>
      <c r="E75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75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55" s="1" t="n">
        <v>1</v>
      </c>
      <c r="I755" s="1" t="n">
        <f aca="false">(salidas26[[#This Row],[CANT JUEGOS ]]*salidas26[[#This Row],[PRECIO JUEGO]])</f>
        <v>240</v>
      </c>
      <c r="J755" s="1" t="n">
        <f aca="false">(salidas26[[#This Row],[CANT BARRAS]]*salidas26[[#This Row],[PRECIO BARRA]])</f>
        <v>0</v>
      </c>
      <c r="K755" s="1" t="n">
        <v>225</v>
      </c>
      <c r="L755" s="1" t="s">
        <v>533</v>
      </c>
      <c r="M755" s="1" t="s">
        <v>546</v>
      </c>
    </row>
    <row r="756" customFormat="false" ht="15" hidden="false" customHeight="false" outlineLevel="0" collapsed="false">
      <c r="A756" s="1" t="n">
        <v>521</v>
      </c>
      <c r="B756" s="1" t="n">
        <v>2087</v>
      </c>
      <c r="C75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UN58NU7100 /2B EDGE</v>
      </c>
      <c r="D756" s="75" t="n">
        <v>46093</v>
      </c>
      <c r="E75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75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120</v>
      </c>
      <c r="G756" s="1" t="n">
        <v>1</v>
      </c>
      <c r="I756" s="1" t="n">
        <f aca="false">(salidas26[[#This Row],[CANT JUEGOS ]]*salidas26[[#This Row],[PRECIO JUEGO]])</f>
        <v>240</v>
      </c>
      <c r="J756" s="1" t="n">
        <f aca="false">(salidas26[[#This Row],[CANT BARRAS]]*salidas26[[#This Row],[PRECIO BARRA]])</f>
        <v>0</v>
      </c>
      <c r="K756" s="1" t="n">
        <v>220</v>
      </c>
      <c r="L756" s="1" t="s">
        <v>502</v>
      </c>
      <c r="M756" s="1" t="s">
        <v>642</v>
      </c>
    </row>
    <row r="757" customFormat="false" ht="15" hidden="false" customHeight="false" outlineLevel="0" collapsed="false">
      <c r="A757" s="1" t="n">
        <v>522</v>
      </c>
      <c r="B757" s="1" t="n">
        <v>1000</v>
      </c>
      <c r="C75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LA -3B/3V/7-7L</v>
      </c>
      <c r="D757" s="75" t="n">
        <v>46093</v>
      </c>
      <c r="E75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75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757" s="1" t="n">
        <v>1</v>
      </c>
      <c r="I757" s="1" t="n">
        <f aca="false">(salidas26[[#This Row],[CANT JUEGOS ]]*salidas26[[#This Row],[PRECIO JUEGO]])</f>
        <v>80</v>
      </c>
      <c r="J757" s="1" t="n">
        <f aca="false">(salidas26[[#This Row],[CANT BARRAS]]*salidas26[[#This Row],[PRECIO BARRA]])</f>
        <v>0</v>
      </c>
      <c r="K757" s="1" t="n">
        <v>80</v>
      </c>
      <c r="L757" s="1" t="s">
        <v>502</v>
      </c>
      <c r="M757" s="1" t="s">
        <v>518</v>
      </c>
    </row>
    <row r="758" customFormat="false" ht="15" hidden="false" customHeight="false" outlineLevel="0" collapsed="false">
      <c r="A758" s="1" t="n">
        <v>525</v>
      </c>
      <c r="B758" s="1" t="n">
        <v>2107</v>
      </c>
      <c r="C75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75 AU8000-/4B</v>
      </c>
      <c r="D758" s="75" t="n">
        <v>46093</v>
      </c>
      <c r="E75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75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100</v>
      </c>
      <c r="G758" s="1" t="n">
        <v>1</v>
      </c>
      <c r="I758" s="1" t="n">
        <f aca="false">(salidas26[[#This Row],[CANT JUEGOS ]]*salidas26[[#This Row],[PRECIO JUEGO]])</f>
        <v>400</v>
      </c>
      <c r="J758" s="1" t="n">
        <f aca="false">(salidas26[[#This Row],[CANT BARRAS]]*salidas26[[#This Row],[PRECIO BARRA]])</f>
        <v>0</v>
      </c>
      <c r="K758" s="1" t="n">
        <v>300</v>
      </c>
      <c r="L758" s="1" t="s">
        <v>533</v>
      </c>
      <c r="M758" s="1" t="s">
        <v>716</v>
      </c>
    </row>
    <row r="759" customFormat="false" ht="15" hidden="false" customHeight="false" outlineLevel="0" collapsed="false">
      <c r="A759" s="1" t="n">
        <v>526</v>
      </c>
      <c r="B759" s="1" t="n">
        <v>8021</v>
      </c>
      <c r="C75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JVC RECTO /2B</v>
      </c>
      <c r="D759" s="75" t="n">
        <v>46093</v>
      </c>
      <c r="E75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75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59" s="1" t="n">
        <v>2</v>
      </c>
      <c r="I759" s="1" t="n">
        <f aca="false">(salidas26[[#This Row],[CANT JUEGOS ]]*salidas26[[#This Row],[PRECIO JUEGO]])</f>
        <v>120</v>
      </c>
      <c r="J759" s="1" t="n">
        <f aca="false">(salidas26[[#This Row],[CANT BARRAS]]*salidas26[[#This Row],[PRECIO BARRA]])</f>
        <v>0</v>
      </c>
      <c r="K759" s="1" t="n">
        <v>96</v>
      </c>
      <c r="L759" s="1" t="s">
        <v>533</v>
      </c>
      <c r="M759" s="1" t="s">
        <v>534</v>
      </c>
    </row>
    <row r="760" customFormat="false" ht="15" hidden="false" customHeight="false" outlineLevel="0" collapsed="false">
      <c r="A760" s="1" t="n">
        <v>527</v>
      </c>
      <c r="B760" s="1" t="n">
        <v>1011</v>
      </c>
      <c r="C76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32LK540 6L/3V /2B</v>
      </c>
      <c r="D760" s="75" t="n">
        <v>46093</v>
      </c>
      <c r="E76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76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760" s="1" t="n">
        <v>1</v>
      </c>
      <c r="I760" s="1" t="n">
        <f aca="false">(salidas26[[#This Row],[CANT JUEGOS ]]*salidas26[[#This Row],[PRECIO JUEGO]])</f>
        <v>70</v>
      </c>
      <c r="J760" s="1" t="n">
        <f aca="false">(salidas26[[#This Row],[CANT BARRAS]]*salidas26[[#This Row],[PRECIO BARRA]])</f>
        <v>0</v>
      </c>
      <c r="K760" s="1" t="n">
        <v>48</v>
      </c>
      <c r="L760" s="1" t="s">
        <v>533</v>
      </c>
      <c r="M760" s="1" t="s">
        <v>534</v>
      </c>
    </row>
    <row r="761" customFormat="false" ht="15" hidden="false" customHeight="false" outlineLevel="0" collapsed="false">
      <c r="A761" s="1" t="n">
        <v>528</v>
      </c>
      <c r="B761" s="1" t="n">
        <v>7004</v>
      </c>
      <c r="C76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IRT LED4060SFHD 8L/3V/3B</v>
      </c>
      <c r="D761" s="75" t="n">
        <v>46093</v>
      </c>
      <c r="E76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76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761" s="1" t="n">
        <v>1</v>
      </c>
      <c r="I761" s="1" t="n">
        <f aca="false">(salidas26[[#This Row],[CANT JUEGOS ]]*salidas26[[#This Row],[PRECIO JUEGO]])</f>
        <v>150</v>
      </c>
      <c r="J761" s="1" t="n">
        <f aca="false">(salidas26[[#This Row],[CANT BARRAS]]*salidas26[[#This Row],[PRECIO BARRA]])</f>
        <v>0</v>
      </c>
      <c r="K761" s="1" t="n">
        <v>120</v>
      </c>
      <c r="L761" s="1" t="s">
        <v>533</v>
      </c>
      <c r="M761" s="1" t="s">
        <v>534</v>
      </c>
    </row>
    <row r="762" customFormat="false" ht="15" hidden="false" customHeight="false" outlineLevel="0" collapsed="false">
      <c r="A762" s="1" t="n">
        <v>529</v>
      </c>
      <c r="B762" s="1" t="n">
        <v>1087</v>
      </c>
      <c r="C76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49LK5400 /8B</v>
      </c>
      <c r="D762" s="75" t="n">
        <v>46093</v>
      </c>
      <c r="E76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76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27.5</v>
      </c>
      <c r="G762" s="1" t="n">
        <v>1</v>
      </c>
      <c r="I762" s="1" t="n">
        <f aca="false">(salidas26[[#This Row],[CANT JUEGOS ]]*salidas26[[#This Row],[PRECIO JUEGO]])</f>
        <v>220</v>
      </c>
      <c r="J762" s="1" t="n">
        <f aca="false">(salidas26[[#This Row],[CANT BARRAS]]*salidas26[[#This Row],[PRECIO BARRA]])</f>
        <v>0</v>
      </c>
      <c r="K762" s="1" t="n">
        <v>176</v>
      </c>
      <c r="L762" s="1" t="s">
        <v>533</v>
      </c>
      <c r="M762" s="1" t="s">
        <v>534</v>
      </c>
    </row>
    <row r="763" customFormat="false" ht="15" hidden="false" customHeight="false" outlineLevel="0" collapsed="false">
      <c r="A763" s="1" t="n">
        <v>523</v>
      </c>
      <c r="B763" s="1" t="n">
        <v>2075</v>
      </c>
      <c r="C76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UN55NU7100-UN55RU7100/2B EDGE</v>
      </c>
      <c r="D763" s="75" t="n">
        <v>46094</v>
      </c>
      <c r="E76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76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100</v>
      </c>
      <c r="G763" s="1" t="n">
        <v>1</v>
      </c>
      <c r="I763" s="1" t="n">
        <f aca="false">(salidas26[[#This Row],[CANT JUEGOS ]]*salidas26[[#This Row],[PRECIO JUEGO]])</f>
        <v>200</v>
      </c>
      <c r="J763" s="1" t="n">
        <f aca="false">(salidas26[[#This Row],[CANT BARRAS]]*salidas26[[#This Row],[PRECIO BARRA]])</f>
        <v>0</v>
      </c>
      <c r="K763" s="1" t="n">
        <v>200</v>
      </c>
      <c r="L763" s="1" t="s">
        <v>533</v>
      </c>
      <c r="M763" s="1" t="s">
        <v>583</v>
      </c>
    </row>
    <row r="764" customFormat="false" ht="15" hidden="false" customHeight="false" outlineLevel="0" collapsed="false">
      <c r="A764" s="1" t="n">
        <v>524</v>
      </c>
      <c r="B764" s="1" t="n">
        <v>8021</v>
      </c>
      <c r="C76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JVC RECTO /2B</v>
      </c>
      <c r="D764" s="75" t="n">
        <v>46094</v>
      </c>
      <c r="E76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76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64" s="1" t="n">
        <v>1</v>
      </c>
      <c r="I764" s="1" t="n">
        <f aca="false">(salidas26[[#This Row],[CANT JUEGOS ]]*salidas26[[#This Row],[PRECIO JUEGO]])</f>
        <v>60</v>
      </c>
      <c r="J764" s="1" t="n">
        <f aca="false">(salidas26[[#This Row],[CANT BARRAS]]*salidas26[[#This Row],[PRECIO BARRA]])</f>
        <v>0</v>
      </c>
      <c r="K764" s="1" t="n">
        <v>60</v>
      </c>
      <c r="L764" s="1" t="s">
        <v>533</v>
      </c>
      <c r="M764" s="1" t="s">
        <v>519</v>
      </c>
    </row>
    <row r="765" customFormat="false" ht="15" hidden="false" customHeight="false" outlineLevel="0" collapsed="false">
      <c r="A765" s="1" t="n">
        <v>531</v>
      </c>
      <c r="B765" s="1" t="n">
        <v>2051</v>
      </c>
      <c r="C76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UN49J5290/8B</v>
      </c>
      <c r="D765" s="75" t="n">
        <v>46094</v>
      </c>
      <c r="E76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76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32.5</v>
      </c>
      <c r="G765" s="1" t="n">
        <v>1</v>
      </c>
      <c r="I765" s="1" t="n">
        <f aca="false">(salidas26[[#This Row],[CANT JUEGOS ]]*salidas26[[#This Row],[PRECIO JUEGO]])</f>
        <v>260</v>
      </c>
      <c r="J765" s="1" t="n">
        <f aca="false">(salidas26[[#This Row],[CANT BARRAS]]*salidas26[[#This Row],[PRECIO BARRA]])</f>
        <v>0</v>
      </c>
      <c r="K765" s="1" t="n">
        <v>250</v>
      </c>
      <c r="L765" s="1" t="s">
        <v>502</v>
      </c>
      <c r="M765" s="1" t="s">
        <v>503</v>
      </c>
    </row>
    <row r="766" customFormat="false" ht="15" hidden="false" customHeight="false" outlineLevel="0" collapsed="false">
      <c r="A766" s="1" t="n">
        <v>532</v>
      </c>
      <c r="B766" s="1" t="n">
        <v>8098</v>
      </c>
      <c r="C76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PREMIER 11B/6L </v>
      </c>
      <c r="D766" s="75" t="n">
        <v>46094</v>
      </c>
      <c r="E76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420</v>
      </c>
      <c r="F76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766" s="1" t="n">
        <v>1</v>
      </c>
      <c r="I766" s="1" t="n">
        <f aca="false">(salidas26[[#This Row],[CANT JUEGOS ]]*salidas26[[#This Row],[PRECIO JUEGO]])</f>
        <v>420</v>
      </c>
      <c r="J766" s="1" t="n">
        <f aca="false">(salidas26[[#This Row],[CANT BARRAS]]*salidas26[[#This Row],[PRECIO BARRA]])</f>
        <v>0</v>
      </c>
      <c r="K766" s="1" t="n">
        <v>400</v>
      </c>
      <c r="L766" s="1" t="s">
        <v>502</v>
      </c>
      <c r="M766" s="1" t="s">
        <v>717</v>
      </c>
    </row>
    <row r="767" customFormat="false" ht="15" hidden="false" customHeight="false" outlineLevel="0" collapsed="false">
      <c r="A767" s="1" t="n">
        <v>533</v>
      </c>
      <c r="B767" s="1" t="n">
        <v>2078</v>
      </c>
      <c r="C76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UN55NU7095G/9L/4B</v>
      </c>
      <c r="D767" s="75" t="n">
        <v>46094</v>
      </c>
      <c r="E76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76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62.5</v>
      </c>
      <c r="G767" s="1" t="n">
        <v>1</v>
      </c>
      <c r="I767" s="1" t="n">
        <f aca="false">(salidas26[[#This Row],[CANT JUEGOS ]]*salidas26[[#This Row],[PRECIO JUEGO]])</f>
        <v>250</v>
      </c>
      <c r="J767" s="1" t="n">
        <f aca="false">(salidas26[[#This Row],[CANT BARRAS]]*salidas26[[#This Row],[PRECIO BARRA]])</f>
        <v>0</v>
      </c>
      <c r="K767" s="1" t="n">
        <v>260</v>
      </c>
      <c r="L767" s="1" t="s">
        <v>502</v>
      </c>
      <c r="M767" s="1" t="s">
        <v>518</v>
      </c>
    </row>
    <row r="768" customFormat="false" ht="15" hidden="false" customHeight="false" outlineLevel="0" collapsed="false">
      <c r="A768" s="1" t="n">
        <v>534</v>
      </c>
      <c r="B768" s="1" t="n">
        <v>8124</v>
      </c>
      <c r="C76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LUPA NORMAL 3V/2W S/C </v>
      </c>
      <c r="D768" s="75" t="n">
        <v>46094</v>
      </c>
      <c r="E76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76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768" s="1" t="n">
        <v>24</v>
      </c>
      <c r="I768" s="1" t="n">
        <f aca="false">(salidas26[[#This Row],[CANT JUEGOS ]]*salidas26[[#This Row],[PRECIO JUEGO]])</f>
        <v>0</v>
      </c>
      <c r="J768" s="1" t="n">
        <f aca="false">(salidas26[[#This Row],[CANT BARRAS]]*salidas26[[#This Row],[PRECIO BARRA]])</f>
        <v>84</v>
      </c>
      <c r="K768" s="1" t="n">
        <v>80</v>
      </c>
      <c r="L768" s="1" t="s">
        <v>502</v>
      </c>
      <c r="M768" s="1" t="s">
        <v>518</v>
      </c>
    </row>
    <row r="769" customFormat="false" ht="15" hidden="false" customHeight="false" outlineLevel="0" collapsed="false">
      <c r="A769" s="1" t="n">
        <v>535</v>
      </c>
      <c r="B769" s="1" t="n">
        <v>2102</v>
      </c>
      <c r="C76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UN75F400/36B</v>
      </c>
      <c r="D769" s="75" t="n">
        <v>46094</v>
      </c>
      <c r="E76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1300</v>
      </c>
      <c r="F76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36.1111111111111</v>
      </c>
      <c r="G769" s="1" t="n">
        <v>1</v>
      </c>
      <c r="I769" s="1" t="n">
        <f aca="false">(salidas26[[#This Row],[CANT JUEGOS ]]*salidas26[[#This Row],[PRECIO JUEGO]])</f>
        <v>1300</v>
      </c>
      <c r="J769" s="1" t="n">
        <f aca="false">(salidas26[[#This Row],[CANT BARRAS]]*salidas26[[#This Row],[PRECIO BARRA]])</f>
        <v>0</v>
      </c>
      <c r="K769" s="1" t="n">
        <v>1040</v>
      </c>
      <c r="L769" s="1" t="s">
        <v>533</v>
      </c>
      <c r="M769" s="1" t="s">
        <v>534</v>
      </c>
    </row>
    <row r="770" customFormat="false" ht="15" hidden="false" customHeight="false" outlineLevel="0" collapsed="false">
      <c r="A770" s="1" t="n">
        <v>536</v>
      </c>
      <c r="B770" s="1" t="n">
        <v>8033</v>
      </c>
      <c r="C77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770" s="75" t="n">
        <v>46094</v>
      </c>
      <c r="E77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77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770" s="1" t="n">
        <v>1</v>
      </c>
      <c r="I770" s="1" t="n">
        <f aca="false">(salidas26[[#This Row],[CANT JUEGOS ]]*salidas26[[#This Row],[PRECIO JUEGO]])</f>
        <v>150</v>
      </c>
      <c r="J770" s="1" t="n">
        <f aca="false">(salidas26[[#This Row],[CANT BARRAS]]*salidas26[[#This Row],[PRECIO BARRA]])</f>
        <v>0</v>
      </c>
      <c r="K770" s="1" t="n">
        <v>120</v>
      </c>
      <c r="L770" s="1" t="s">
        <v>502</v>
      </c>
      <c r="M770" s="1" t="s">
        <v>508</v>
      </c>
    </row>
    <row r="771" customFormat="false" ht="15" hidden="false" customHeight="false" outlineLevel="0" collapsed="false">
      <c r="A771" s="1" t="n">
        <v>537</v>
      </c>
      <c r="B771" s="1" t="n">
        <v>6131</v>
      </c>
      <c r="C77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SKYWORTH 10B SUC Y EN OTRO MODELO 12 BARRAS</v>
      </c>
      <c r="D771" s="75" t="n">
        <v>46094</v>
      </c>
      <c r="E77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77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H771" s="1" t="n">
        <v>12</v>
      </c>
      <c r="I771" s="1" t="n">
        <f aca="false">(salidas26[[#This Row],[CANT JUEGOS ]]*salidas26[[#This Row],[PRECIO JUEGO]])</f>
        <v>0</v>
      </c>
      <c r="J771" s="1" t="n">
        <f aca="false">(salidas26[[#This Row],[CANT BARRAS]]*salidas26[[#This Row],[PRECIO BARRA]])</f>
        <v>400</v>
      </c>
      <c r="K771" s="1" t="n">
        <v>420</v>
      </c>
      <c r="L771" s="1" t="s">
        <v>533</v>
      </c>
      <c r="M771" s="1" t="s">
        <v>665</v>
      </c>
    </row>
    <row r="772" customFormat="false" ht="15" hidden="false" customHeight="false" outlineLevel="0" collapsed="false">
      <c r="A772" s="1" t="n">
        <v>538</v>
      </c>
      <c r="B772" s="1" t="n">
        <v>2039</v>
      </c>
      <c r="C77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UN48H4200/8B</v>
      </c>
      <c r="D772" s="75" t="n">
        <v>46094</v>
      </c>
      <c r="E77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77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772" s="1" t="n">
        <v>1</v>
      </c>
      <c r="I772" s="1" t="n">
        <f aca="false">(salidas26[[#This Row],[CANT JUEGOS ]]*salidas26[[#This Row],[PRECIO JUEGO]])</f>
        <v>280</v>
      </c>
      <c r="J772" s="1" t="n">
        <f aca="false">(salidas26[[#This Row],[CANT BARRAS]]*salidas26[[#This Row],[PRECIO BARRA]])</f>
        <v>0</v>
      </c>
      <c r="K772" s="1" t="n">
        <v>250</v>
      </c>
      <c r="L772" s="1" t="s">
        <v>502</v>
      </c>
      <c r="M772" s="1" t="s">
        <v>665</v>
      </c>
    </row>
    <row r="773" customFormat="false" ht="15" hidden="false" customHeight="false" outlineLevel="0" collapsed="false">
      <c r="A773" s="1" t="n">
        <v>539</v>
      </c>
      <c r="B773" s="1" t="n">
        <v>1033</v>
      </c>
      <c r="C77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D773" s="75" t="n">
        <v>46094</v>
      </c>
      <c r="E77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77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773" s="1" t="n">
        <v>1</v>
      </c>
      <c r="I773" s="1" t="n">
        <f aca="false">(salidas26[[#This Row],[CANT JUEGOS ]]*salidas26[[#This Row],[PRECIO JUEGO]])</f>
        <v>180</v>
      </c>
      <c r="J773" s="1" t="n">
        <f aca="false">(salidas26[[#This Row],[CANT BARRAS]]*salidas26[[#This Row],[PRECIO BARRA]])</f>
        <v>0</v>
      </c>
      <c r="K773" s="1" t="n">
        <v>180</v>
      </c>
      <c r="L773" s="1" t="s">
        <v>502</v>
      </c>
      <c r="M773" s="1" t="s">
        <v>560</v>
      </c>
    </row>
    <row r="774" customFormat="false" ht="15" hidden="false" customHeight="false" outlineLevel="0" collapsed="false">
      <c r="A774" s="1" t="n">
        <v>540</v>
      </c>
      <c r="B774" s="1" t="n">
        <v>6022</v>
      </c>
      <c r="C77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SKYWORTH SUC9350Pro /10L</v>
      </c>
      <c r="D774" s="75" t="n">
        <v>46094</v>
      </c>
      <c r="E77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77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70</v>
      </c>
      <c r="G774" s="1" t="n">
        <v>1</v>
      </c>
      <c r="I774" s="1" t="n">
        <f aca="false">(salidas26[[#This Row],[CANT JUEGOS ]]*salidas26[[#This Row],[PRECIO JUEGO]])</f>
        <v>350</v>
      </c>
      <c r="J774" s="1" t="n">
        <f aca="false">(salidas26[[#This Row],[CANT BARRAS]]*salidas26[[#This Row],[PRECIO BARRA]])</f>
        <v>0</v>
      </c>
      <c r="K774" s="1" t="n">
        <v>300</v>
      </c>
      <c r="L774" s="1" t="s">
        <v>533</v>
      </c>
      <c r="M774" s="1" t="s">
        <v>649</v>
      </c>
    </row>
    <row r="775" customFormat="false" ht="15" hidden="false" customHeight="false" outlineLevel="0" collapsed="false">
      <c r="A775" s="1" t="n">
        <v>541</v>
      </c>
      <c r="B775" s="1" t="n">
        <v>8033</v>
      </c>
      <c r="C77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775" s="75" t="n">
        <v>46094</v>
      </c>
      <c r="E77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77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775" s="1" t="n">
        <v>1</v>
      </c>
      <c r="I775" s="1" t="n">
        <f aca="false">(salidas26[[#This Row],[CANT JUEGOS ]]*salidas26[[#This Row],[PRECIO JUEGO]])</f>
        <v>150</v>
      </c>
      <c r="J775" s="1" t="n">
        <f aca="false">(salidas26[[#This Row],[CANT BARRAS]]*salidas26[[#This Row],[PRECIO BARRA]])</f>
        <v>0</v>
      </c>
      <c r="K775" s="1" t="n">
        <v>150</v>
      </c>
      <c r="L775" s="1" t="s">
        <v>502</v>
      </c>
      <c r="M775" s="1" t="s">
        <v>573</v>
      </c>
    </row>
    <row r="776" customFormat="false" ht="15" hidden="false" customHeight="false" outlineLevel="0" collapsed="false">
      <c r="A776" s="1" t="n">
        <v>542</v>
      </c>
      <c r="B776" s="1" t="n">
        <v>8033</v>
      </c>
      <c r="C77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776" s="75" t="n">
        <v>46095</v>
      </c>
      <c r="E77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77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776" s="1" t="n">
        <v>1</v>
      </c>
      <c r="I776" s="1" t="n">
        <f aca="false">(salidas26[[#This Row],[CANT JUEGOS ]]*salidas26[[#This Row],[PRECIO JUEGO]])</f>
        <v>150</v>
      </c>
      <c r="J776" s="1" t="n">
        <f aca="false">(salidas26[[#This Row],[CANT BARRAS]]*salidas26[[#This Row],[PRECIO BARRA]])</f>
        <v>0</v>
      </c>
      <c r="K776" s="1" t="n">
        <v>130</v>
      </c>
      <c r="L776" s="1" t="s">
        <v>502</v>
      </c>
      <c r="M776" s="1" t="s">
        <v>718</v>
      </c>
    </row>
    <row r="777" customFormat="false" ht="15" hidden="false" customHeight="false" outlineLevel="0" collapsed="false">
      <c r="A777" s="1" t="n">
        <v>543</v>
      </c>
      <c r="B777" s="1" t="n">
        <v>2000</v>
      </c>
      <c r="C77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D777" s="75" t="n">
        <v>46095</v>
      </c>
      <c r="E77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77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777" s="1" t="n">
        <v>1</v>
      </c>
      <c r="I777" s="1" t="n">
        <f aca="false">(salidas26[[#This Row],[CANT JUEGOS ]]*salidas26[[#This Row],[PRECIO JUEGO]])</f>
        <v>80</v>
      </c>
      <c r="J777" s="1" t="n">
        <f aca="false">(salidas26[[#This Row],[CANT BARRAS]]*salidas26[[#This Row],[PRECIO BARRA]])</f>
        <v>0</v>
      </c>
      <c r="K777" s="1" t="n">
        <v>70</v>
      </c>
      <c r="L777" s="1" t="s">
        <v>502</v>
      </c>
      <c r="M777" s="1" t="s">
        <v>718</v>
      </c>
    </row>
    <row r="778" customFormat="false" ht="15" hidden="false" customHeight="false" outlineLevel="0" collapsed="false">
      <c r="A778" s="1" t="n">
        <v>544</v>
      </c>
      <c r="B778" s="1" t="n">
        <v>6000</v>
      </c>
      <c r="C77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SKYWORTH 2B/6LED/3V </v>
      </c>
      <c r="D778" s="75" t="n">
        <v>46095</v>
      </c>
      <c r="E77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77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78" s="1" t="n">
        <v>1</v>
      </c>
      <c r="I778" s="1" t="n">
        <f aca="false">(salidas26[[#This Row],[CANT JUEGOS ]]*salidas26[[#This Row],[PRECIO JUEGO]])</f>
        <v>60</v>
      </c>
      <c r="J778" s="1" t="n">
        <f aca="false">(salidas26[[#This Row],[CANT BARRAS]]*salidas26[[#This Row],[PRECIO BARRA]])</f>
        <v>0</v>
      </c>
      <c r="K778" s="1" t="n">
        <v>60</v>
      </c>
      <c r="L778" s="1" t="s">
        <v>502</v>
      </c>
      <c r="M778" s="1" t="s">
        <v>518</v>
      </c>
    </row>
    <row r="779" customFormat="false" ht="15" hidden="false" customHeight="false" outlineLevel="0" collapsed="false">
      <c r="A779" s="1" t="n">
        <v>545</v>
      </c>
      <c r="B779" s="1" t="n">
        <v>2039</v>
      </c>
      <c r="C77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UN48H4200/8B</v>
      </c>
      <c r="D779" s="75" t="n">
        <v>46095</v>
      </c>
      <c r="E77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77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779" s="1" t="n">
        <v>1</v>
      </c>
      <c r="I779" s="1" t="n">
        <f aca="false">(salidas26[[#This Row],[CANT JUEGOS ]]*salidas26[[#This Row],[PRECIO JUEGO]])</f>
        <v>280</v>
      </c>
      <c r="J779" s="1" t="n">
        <f aca="false">(salidas26[[#This Row],[CANT BARRAS]]*salidas26[[#This Row],[PRECIO BARRA]])</f>
        <v>0</v>
      </c>
      <c r="K779" s="1" t="n">
        <v>230</v>
      </c>
      <c r="L779" s="1" t="s">
        <v>533</v>
      </c>
      <c r="M779" s="1" t="s">
        <v>511</v>
      </c>
    </row>
    <row r="780" customFormat="false" ht="15" hidden="false" customHeight="false" outlineLevel="0" collapsed="false">
      <c r="A780" s="1" t="n">
        <v>546</v>
      </c>
      <c r="B780" s="1" t="n">
        <v>8015</v>
      </c>
      <c r="C78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780" s="75" t="n">
        <v>46095</v>
      </c>
      <c r="E78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78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80" s="1" t="n">
        <v>2</v>
      </c>
      <c r="I780" s="1" t="n">
        <f aca="false">(salidas26[[#This Row],[CANT JUEGOS ]]*salidas26[[#This Row],[PRECIO JUEGO]])</f>
        <v>120</v>
      </c>
      <c r="J780" s="1" t="n">
        <f aca="false">(salidas26[[#This Row],[CANT BARRAS]]*salidas26[[#This Row],[PRECIO BARRA]])</f>
        <v>0</v>
      </c>
      <c r="K780" s="1" t="n">
        <v>120</v>
      </c>
      <c r="L780" s="1" t="s">
        <v>533</v>
      </c>
      <c r="M780" s="1" t="s">
        <v>511</v>
      </c>
    </row>
    <row r="781" customFormat="false" ht="15" hidden="false" customHeight="false" outlineLevel="0" collapsed="false">
      <c r="A781" s="1" t="n">
        <v>547</v>
      </c>
      <c r="B781" s="1" t="n">
        <v>7002</v>
      </c>
      <c r="C78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F1000 KONKA 6L/LED3250HDD/CRONW TV3277D IRT</v>
      </c>
      <c r="D781" s="75" t="n">
        <v>46097</v>
      </c>
      <c r="E78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78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781" s="1" t="n">
        <v>1</v>
      </c>
      <c r="I781" s="1" t="n">
        <f aca="false">(salidas26[[#This Row],[CANT JUEGOS ]]*salidas26[[#This Row],[PRECIO JUEGO]])</f>
        <v>70</v>
      </c>
      <c r="J781" s="1" t="n">
        <f aca="false">(salidas26[[#This Row],[CANT BARRAS]]*salidas26[[#This Row],[PRECIO BARRA]])</f>
        <v>0</v>
      </c>
      <c r="K781" s="1" t="n">
        <v>50</v>
      </c>
      <c r="L781" s="1" t="s">
        <v>502</v>
      </c>
      <c r="M781" s="1" t="s">
        <v>507</v>
      </c>
    </row>
    <row r="782" customFormat="false" ht="15" hidden="false" customHeight="false" outlineLevel="0" collapsed="false">
      <c r="A782" s="1" t="n">
        <v>548</v>
      </c>
      <c r="B782" s="1" t="n">
        <v>1011</v>
      </c>
      <c r="C78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32LK540 6L/3V /2B</v>
      </c>
      <c r="D782" s="75" t="n">
        <v>46097</v>
      </c>
      <c r="E78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78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782" s="1" t="n">
        <v>1</v>
      </c>
      <c r="I782" s="1" t="n">
        <f aca="false">(salidas26[[#This Row],[CANT JUEGOS ]]*salidas26[[#This Row],[PRECIO JUEGO]])</f>
        <v>70</v>
      </c>
      <c r="J782" s="1" t="n">
        <f aca="false">(salidas26[[#This Row],[CANT BARRAS]]*salidas26[[#This Row],[PRECIO BARRA]])</f>
        <v>0</v>
      </c>
      <c r="K782" s="1" t="n">
        <v>50</v>
      </c>
      <c r="L782" s="1" t="s">
        <v>502</v>
      </c>
      <c r="M782" s="1" t="s">
        <v>507</v>
      </c>
    </row>
    <row r="783" customFormat="false" ht="15" hidden="false" customHeight="false" outlineLevel="0" collapsed="false">
      <c r="A783" s="1" t="n">
        <v>549</v>
      </c>
      <c r="B783" s="1" t="n">
        <v>8100</v>
      </c>
      <c r="C78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JVC 58KB527</v>
      </c>
      <c r="D783" s="75" t="n">
        <v>46097</v>
      </c>
      <c r="E78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78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783" s="1" t="n">
        <v>1</v>
      </c>
      <c r="I783" s="1" t="n">
        <f aca="false">(salidas26[[#This Row],[CANT JUEGOS ]]*salidas26[[#This Row],[PRECIO JUEGO]])</f>
        <v>300</v>
      </c>
      <c r="J783" s="1" t="n">
        <f aca="false">(salidas26[[#This Row],[CANT BARRAS]]*salidas26[[#This Row],[PRECIO BARRA]])</f>
        <v>0</v>
      </c>
      <c r="K783" s="1" t="n">
        <v>300</v>
      </c>
      <c r="L783" s="1" t="s">
        <v>502</v>
      </c>
      <c r="M783" s="1" t="s">
        <v>503</v>
      </c>
    </row>
    <row r="784" customFormat="false" ht="15" hidden="false" customHeight="false" outlineLevel="0" collapsed="false">
      <c r="A784" s="1" t="n">
        <v>550</v>
      </c>
      <c r="B784" s="1" t="n">
        <v>8081</v>
      </c>
      <c r="C78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CHINO 12L/3B- 4S55X</v>
      </c>
      <c r="D784" s="75" t="n">
        <v>46097</v>
      </c>
      <c r="E78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78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150</v>
      </c>
      <c r="G784" s="1" t="n">
        <v>1</v>
      </c>
      <c r="I784" s="1" t="n">
        <f aca="false">(salidas26[[#This Row],[CANT JUEGOS ]]*salidas26[[#This Row],[PRECIO JUEGO]])</f>
        <v>300</v>
      </c>
      <c r="J784" s="1" t="n">
        <f aca="false">(salidas26[[#This Row],[CANT BARRAS]]*salidas26[[#This Row],[PRECIO BARRA]])</f>
        <v>0</v>
      </c>
      <c r="K784" s="1" t="n">
        <v>300</v>
      </c>
      <c r="L784" s="1" t="s">
        <v>502</v>
      </c>
      <c r="M784" s="1" t="s">
        <v>665</v>
      </c>
    </row>
    <row r="785" customFormat="false" ht="15" hidden="false" customHeight="false" outlineLevel="0" collapsed="false">
      <c r="A785" s="1" t="n">
        <v>551</v>
      </c>
      <c r="B785" s="1" t="n">
        <v>1015</v>
      </c>
      <c r="C78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32LH500B-32LK500 3B/7L/3V</v>
      </c>
      <c r="D785" s="75" t="n">
        <v>46095</v>
      </c>
      <c r="E78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78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785" s="1" t="n">
        <v>1</v>
      </c>
      <c r="I785" s="1" t="n">
        <f aca="false">(salidas26[[#This Row],[CANT JUEGOS ]]*salidas26[[#This Row],[PRECIO JUEGO]])</f>
        <v>80</v>
      </c>
      <c r="J785" s="1" t="n">
        <f aca="false">(salidas26[[#This Row],[CANT BARRAS]]*salidas26[[#This Row],[PRECIO BARRA]])</f>
        <v>0</v>
      </c>
      <c r="K785" s="1" t="n">
        <v>90</v>
      </c>
      <c r="L785" s="1" t="s">
        <v>533</v>
      </c>
      <c r="M785" s="1" t="s">
        <v>511</v>
      </c>
    </row>
    <row r="786" customFormat="false" ht="15" hidden="false" customHeight="false" outlineLevel="0" collapsed="false">
      <c r="A786" s="1" t="n">
        <v>552</v>
      </c>
      <c r="B786" s="1" t="n">
        <v>1117</v>
      </c>
      <c r="C78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55LB6500/10B/6V </v>
      </c>
      <c r="D786" s="75" t="n">
        <v>46095</v>
      </c>
      <c r="E78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78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786" s="1" t="n">
        <v>1</v>
      </c>
      <c r="I786" s="1" t="n">
        <f aca="false">(salidas26[[#This Row],[CANT JUEGOS ]]*salidas26[[#This Row],[PRECIO JUEGO]])</f>
        <v>350</v>
      </c>
      <c r="J786" s="1" t="n">
        <f aca="false">(salidas26[[#This Row],[CANT BARRAS]]*salidas26[[#This Row],[PRECIO BARRA]])</f>
        <v>0</v>
      </c>
      <c r="K786" s="1" t="n">
        <v>350</v>
      </c>
      <c r="L786" s="1" t="s">
        <v>533</v>
      </c>
      <c r="M786" s="1" t="s">
        <v>511</v>
      </c>
    </row>
    <row r="787" customFormat="false" ht="15" hidden="false" customHeight="false" outlineLevel="0" collapsed="false">
      <c r="A787" s="1" t="n">
        <v>553</v>
      </c>
      <c r="B787" s="1" t="n">
        <v>5002</v>
      </c>
      <c r="C78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PANASONIC 7L/3V/3B</v>
      </c>
      <c r="D787" s="75" t="n">
        <v>46097</v>
      </c>
      <c r="E78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78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87" s="1" t="n">
        <v>1</v>
      </c>
      <c r="I787" s="1" t="n">
        <f aca="false">(salidas26[[#This Row],[CANT JUEGOS ]]*salidas26[[#This Row],[PRECIO JUEGO]])</f>
        <v>90</v>
      </c>
      <c r="J787" s="1" t="n">
        <f aca="false">(salidas26[[#This Row],[CANT BARRAS]]*salidas26[[#This Row],[PRECIO BARRA]])</f>
        <v>0</v>
      </c>
      <c r="K787" s="1" t="n">
        <v>90</v>
      </c>
      <c r="L787" s="1" t="s">
        <v>502</v>
      </c>
      <c r="M787" s="1" t="s">
        <v>560</v>
      </c>
    </row>
    <row r="788" customFormat="false" ht="15" hidden="false" customHeight="false" outlineLevel="0" collapsed="false">
      <c r="A788" s="1" t="n">
        <v>554</v>
      </c>
      <c r="B788" s="1" t="n">
        <v>8055</v>
      </c>
      <c r="C78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PREMIER 8L/3V/3B 8047SF43SF</v>
      </c>
      <c r="D788" s="75" t="n">
        <v>46097</v>
      </c>
      <c r="E78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78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788" s="1" t="n">
        <v>1</v>
      </c>
      <c r="I788" s="1" t="n">
        <f aca="false">(salidas26[[#This Row],[CANT JUEGOS ]]*salidas26[[#This Row],[PRECIO JUEGO]])</f>
        <v>180</v>
      </c>
      <c r="J788" s="1" t="n">
        <f aca="false">(salidas26[[#This Row],[CANT BARRAS]]*salidas26[[#This Row],[PRECIO BARRA]])</f>
        <v>0</v>
      </c>
      <c r="K788" s="1" t="n">
        <v>180</v>
      </c>
      <c r="L788" s="1" t="s">
        <v>502</v>
      </c>
      <c r="M788" s="1" t="s">
        <v>518</v>
      </c>
    </row>
    <row r="789" customFormat="false" ht="15" hidden="false" customHeight="false" outlineLevel="0" collapsed="false">
      <c r="A789" s="1" t="n">
        <v>555</v>
      </c>
      <c r="B789" s="1" t="n">
        <v>8095</v>
      </c>
      <c r="C78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 PREMIER 5L/3V 10B</v>
      </c>
      <c r="D789" s="75" t="n">
        <v>46097</v>
      </c>
      <c r="E78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78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89" s="1" t="n">
        <v>1</v>
      </c>
      <c r="I789" s="1" t="n">
        <f aca="false">(salidas26[[#This Row],[CANT JUEGOS ]]*salidas26[[#This Row],[PRECIO JUEGO]])</f>
        <v>300</v>
      </c>
      <c r="J789" s="1" t="n">
        <f aca="false">(salidas26[[#This Row],[CANT BARRAS]]*salidas26[[#This Row],[PRECIO BARRA]])</f>
        <v>0</v>
      </c>
      <c r="K789" s="1" t="n">
        <v>280</v>
      </c>
      <c r="L789" s="1" t="s">
        <v>502</v>
      </c>
      <c r="M789" s="1" t="s">
        <v>612</v>
      </c>
    </row>
    <row r="790" customFormat="false" ht="15" hidden="false" customHeight="false" outlineLevel="0" collapsed="false">
      <c r="A790" s="1" t="n">
        <v>556</v>
      </c>
      <c r="B790" s="1" t="n">
        <v>8094</v>
      </c>
      <c r="C79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AIWA CHIQ CROWN 15L/3V/6B DIF180º</v>
      </c>
      <c r="D790" s="75" t="n">
        <v>46097</v>
      </c>
      <c r="E79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320</v>
      </c>
      <c r="F790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G790" s="1" t="n">
        <v>1</v>
      </c>
      <c r="I790" s="1" t="n">
        <f aca="false">(salidas26[[#This Row],[CANT JUEGOS ]]*salidas26[[#This Row],[PRECIO JUEGO]])</f>
        <v>320</v>
      </c>
      <c r="J790" s="1" t="e">
        <f aca="false">(salidas26[[#This Row],[CANT BARRAS]]*salidas26[[#This Row],[PRECIO BARRA]])</f>
        <v>#VALUE!</v>
      </c>
      <c r="K790" s="1" t="n">
        <v>300</v>
      </c>
      <c r="L790" s="1" t="s">
        <v>502</v>
      </c>
      <c r="M790" s="1" t="s">
        <v>579</v>
      </c>
    </row>
    <row r="791" customFormat="false" ht="15" hidden="false" customHeight="false" outlineLevel="0" collapsed="false">
      <c r="A791" s="1" t="n">
        <v>557</v>
      </c>
      <c r="B791" s="1" t="n">
        <v>8003</v>
      </c>
      <c r="C79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24 PULG</v>
      </c>
      <c r="D791" s="75" t="n">
        <v>46097</v>
      </c>
      <c r="E79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79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791" s="1" t="n">
        <v>1</v>
      </c>
      <c r="I791" s="1" t="n">
        <f aca="false">(salidas26[[#This Row],[CANT JUEGOS ]]*salidas26[[#This Row],[PRECIO JUEGO]])</f>
        <v>70</v>
      </c>
      <c r="J791" s="1" t="n">
        <f aca="false">(salidas26[[#This Row],[CANT BARRAS]]*salidas26[[#This Row],[PRECIO BARRA]])</f>
        <v>0</v>
      </c>
      <c r="K791" s="1" t="n">
        <v>70</v>
      </c>
      <c r="L791" s="1" t="s">
        <v>502</v>
      </c>
      <c r="M791" s="1" t="s">
        <v>579</v>
      </c>
    </row>
    <row r="792" customFormat="false" ht="15" hidden="false" customHeight="false" outlineLevel="0" collapsed="false">
      <c r="A792" s="1" t="n">
        <v>558</v>
      </c>
      <c r="B792" s="1" t="n">
        <v>1015</v>
      </c>
      <c r="C79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32LH500B-32LK500 3B/7L/3V</v>
      </c>
      <c r="D792" s="75" t="n">
        <v>46097</v>
      </c>
      <c r="E79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79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792" s="1" t="n">
        <v>1</v>
      </c>
      <c r="I792" s="1" t="n">
        <f aca="false">(salidas26[[#This Row],[CANT JUEGOS ]]*salidas26[[#This Row],[PRECIO JUEGO]])</f>
        <v>80</v>
      </c>
      <c r="J792" s="1" t="n">
        <f aca="false">(salidas26[[#This Row],[CANT BARRAS]]*salidas26[[#This Row],[PRECIO BARRA]])</f>
        <v>0</v>
      </c>
      <c r="K792" s="1" t="n">
        <v>90</v>
      </c>
      <c r="L792" s="1" t="s">
        <v>502</v>
      </c>
      <c r="M792" s="1" t="s">
        <v>683</v>
      </c>
    </row>
    <row r="793" customFormat="false" ht="15" hidden="false" customHeight="false" outlineLevel="0" collapsed="false">
      <c r="A793" s="1" t="n">
        <v>559</v>
      </c>
      <c r="B793" s="1" t="n">
        <v>1138</v>
      </c>
      <c r="C79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55UJ6300-55LJ5500/10B</v>
      </c>
      <c r="D793" s="75" t="n">
        <v>46097</v>
      </c>
      <c r="E79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79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28</v>
      </c>
      <c r="G793" s="1" t="n">
        <v>1</v>
      </c>
      <c r="I793" s="1" t="n">
        <f aca="false">(salidas26[[#This Row],[CANT JUEGOS ]]*salidas26[[#This Row],[PRECIO JUEGO]])</f>
        <v>280</v>
      </c>
      <c r="J793" s="1" t="n">
        <f aca="false">(salidas26[[#This Row],[CANT BARRAS]]*salidas26[[#This Row],[PRECIO BARRA]])</f>
        <v>0</v>
      </c>
      <c r="K793" s="1" t="n">
        <v>280</v>
      </c>
      <c r="L793" s="1" t="s">
        <v>502</v>
      </c>
      <c r="M793" s="1" t="s">
        <v>642</v>
      </c>
    </row>
    <row r="794" customFormat="false" ht="31.3" hidden="false" customHeight="false" outlineLevel="0" collapsed="false">
      <c r="A794" s="1" t="n">
        <v>560</v>
      </c>
      <c r="B794" s="1" t="n">
        <v>4000</v>
      </c>
      <c r="C794" s="76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 V780-TCL 5L/6V -2B
MI L32M5-5ASP</v>
      </c>
      <c r="D794" s="75" t="n">
        <v>46097</v>
      </c>
      <c r="E79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79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94" s="1" t="n">
        <v>1</v>
      </c>
      <c r="I794" s="1" t="n">
        <f aca="false">(salidas26[[#This Row],[CANT JUEGOS ]]*salidas26[[#This Row],[PRECIO JUEGO]])</f>
        <v>60</v>
      </c>
      <c r="J794" s="1" t="n">
        <f aca="false">(salidas26[[#This Row],[CANT BARRAS]]*salidas26[[#This Row],[PRECIO BARRA]])</f>
        <v>0</v>
      </c>
      <c r="K794" s="1" t="n">
        <v>60</v>
      </c>
      <c r="L794" s="1" t="s">
        <v>502</v>
      </c>
      <c r="M794" s="1" t="s">
        <v>507</v>
      </c>
    </row>
    <row r="795" customFormat="false" ht="15" hidden="false" customHeight="false" outlineLevel="0" collapsed="false">
      <c r="A795" s="1" t="n">
        <v>561</v>
      </c>
      <c r="B795" s="1" t="n">
        <v>2057</v>
      </c>
      <c r="C79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UN50F5000 -50F6400/ 18B</v>
      </c>
      <c r="D795" s="75" t="n">
        <v>46097</v>
      </c>
      <c r="E79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79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22.2222222222222</v>
      </c>
      <c r="G795" s="1" t="n">
        <v>1</v>
      </c>
      <c r="I795" s="1" t="n">
        <f aca="false">(salidas26[[#This Row],[CANT JUEGOS ]]*salidas26[[#This Row],[PRECIO JUEGO]])</f>
        <v>400</v>
      </c>
      <c r="J795" s="1" t="n">
        <f aca="false">(salidas26[[#This Row],[CANT BARRAS]]*salidas26[[#This Row],[PRECIO BARRA]])</f>
        <v>0</v>
      </c>
      <c r="K795" s="1" t="n">
        <v>320</v>
      </c>
      <c r="L795" s="1" t="s">
        <v>502</v>
      </c>
      <c r="M795" s="1" t="s">
        <v>534</v>
      </c>
    </row>
    <row r="796" customFormat="false" ht="15" hidden="false" customHeight="false" outlineLevel="0" collapsed="false">
      <c r="A796" s="1" t="n">
        <v>562</v>
      </c>
      <c r="B796" s="1" t="n">
        <v>8030</v>
      </c>
      <c r="C79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CHINO TCL 10L/6V/2B DIF 180º</v>
      </c>
      <c r="D796" s="75" t="n">
        <v>46097</v>
      </c>
      <c r="E79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79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796" s="1" t="n">
        <v>1</v>
      </c>
      <c r="I796" s="1" t="n">
        <f aca="false">(salidas26[[#This Row],[CANT JUEGOS ]]*salidas26[[#This Row],[PRECIO JUEGO]])</f>
        <v>150</v>
      </c>
      <c r="J796" s="1" t="n">
        <f aca="false">(salidas26[[#This Row],[CANT BARRAS]]*salidas26[[#This Row],[PRECIO BARRA]])</f>
        <v>0</v>
      </c>
      <c r="K796" s="1" t="n">
        <v>120</v>
      </c>
      <c r="L796" s="1" t="s">
        <v>502</v>
      </c>
      <c r="M796" s="1" t="s">
        <v>534</v>
      </c>
    </row>
    <row r="797" customFormat="false" ht="15" hidden="false" customHeight="false" outlineLevel="0" collapsed="false">
      <c r="A797" s="1" t="n">
        <v>563</v>
      </c>
      <c r="B797" s="1" t="n">
        <v>6024</v>
      </c>
      <c r="C79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U7700 TOSHIBA 12B  3V 6L </v>
      </c>
      <c r="D797" s="75" t="n">
        <v>46097</v>
      </c>
      <c r="E79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79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25</v>
      </c>
      <c r="G797" s="1" t="n">
        <v>1</v>
      </c>
      <c r="I797" s="1" t="n">
        <f aca="false">(salidas26[[#This Row],[CANT JUEGOS ]]*salidas26[[#This Row],[PRECIO JUEGO]])</f>
        <v>300</v>
      </c>
      <c r="J797" s="1" t="n">
        <f aca="false">(salidas26[[#This Row],[CANT BARRAS]]*salidas26[[#This Row],[PRECIO BARRA]])</f>
        <v>0</v>
      </c>
      <c r="K797" s="1" t="n">
        <v>290</v>
      </c>
      <c r="L797" s="1" t="s">
        <v>502</v>
      </c>
      <c r="M797" s="1" t="s">
        <v>520</v>
      </c>
    </row>
    <row r="798" customFormat="false" ht="15" hidden="false" customHeight="false" outlineLevel="0" collapsed="false">
      <c r="A798" s="1" t="n">
        <v>564</v>
      </c>
      <c r="B798" s="1" t="n">
        <v>8015</v>
      </c>
      <c r="C79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798" s="75" t="n">
        <v>46097</v>
      </c>
      <c r="E79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79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798" s="1" t="n">
        <v>1</v>
      </c>
      <c r="I798" s="1" t="n">
        <f aca="false">(salidas26[[#This Row],[CANT JUEGOS ]]*salidas26[[#This Row],[PRECIO JUEGO]])</f>
        <v>60</v>
      </c>
      <c r="J798" s="1" t="n">
        <f aca="false">(salidas26[[#This Row],[CANT BARRAS]]*salidas26[[#This Row],[PRECIO BARRA]])</f>
        <v>0</v>
      </c>
      <c r="K798" s="1" t="n">
        <v>60</v>
      </c>
      <c r="L798" s="1" t="s">
        <v>502</v>
      </c>
      <c r="M798" s="1" t="s">
        <v>665</v>
      </c>
    </row>
    <row r="799" customFormat="false" ht="15" hidden="false" customHeight="false" outlineLevel="0" collapsed="false">
      <c r="A799" s="1" t="n">
        <v>565</v>
      </c>
      <c r="B799" s="1" t="n">
        <v>8098</v>
      </c>
      <c r="C79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PREMIER 11B/6L </v>
      </c>
      <c r="D799" s="75" t="n">
        <v>46098</v>
      </c>
      <c r="E79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420</v>
      </c>
      <c r="F79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799" s="1" t="n">
        <v>1</v>
      </c>
      <c r="I799" s="1" t="n">
        <f aca="false">(salidas26[[#This Row],[CANT JUEGOS ]]*salidas26[[#This Row],[PRECIO JUEGO]])</f>
        <v>420</v>
      </c>
      <c r="J799" s="1" t="n">
        <f aca="false">(salidas26[[#This Row],[CANT BARRAS]]*salidas26[[#This Row],[PRECIO BARRA]])</f>
        <v>0</v>
      </c>
      <c r="K799" s="1" t="n">
        <v>380</v>
      </c>
      <c r="L799" s="1" t="s">
        <v>533</v>
      </c>
      <c r="M799" s="1" t="s">
        <v>719</v>
      </c>
    </row>
    <row r="800" customFormat="false" ht="15" hidden="false" customHeight="false" outlineLevel="0" collapsed="false">
      <c r="A800" s="1" t="n">
        <v>566</v>
      </c>
      <c r="B800" s="1" t="n">
        <v>8096</v>
      </c>
      <c r="C80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 PREMIER 5L/6V 10B/ TV-7327SF58SKWT</v>
      </c>
      <c r="D800" s="75" t="n">
        <v>46098</v>
      </c>
      <c r="E80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80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800" s="1" t="n">
        <v>1</v>
      </c>
      <c r="I800" s="1" t="n">
        <f aca="false">(salidas26[[#This Row],[CANT JUEGOS ]]*salidas26[[#This Row],[PRECIO JUEGO]])</f>
        <v>300</v>
      </c>
      <c r="J800" s="1" t="n">
        <f aca="false">(salidas26[[#This Row],[CANT BARRAS]]*salidas26[[#This Row],[PRECIO BARRA]])</f>
        <v>0</v>
      </c>
      <c r="K800" s="1" t="n">
        <v>300</v>
      </c>
      <c r="L800" s="1" t="s">
        <v>502</v>
      </c>
      <c r="M800" s="1" t="s">
        <v>665</v>
      </c>
    </row>
    <row r="801" customFormat="false" ht="15" hidden="false" customHeight="false" outlineLevel="0" collapsed="false">
      <c r="A801" s="1" t="n">
        <v>570</v>
      </c>
      <c r="B801" s="1" t="n">
        <v>1015</v>
      </c>
      <c r="C80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32LH500B-32LK500 3B/7L/3V</v>
      </c>
      <c r="D801" s="75" t="n">
        <v>46098</v>
      </c>
      <c r="E80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80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801" s="1" t="n">
        <v>1</v>
      </c>
      <c r="I801" s="1" t="n">
        <f aca="false">(salidas26[[#This Row],[CANT JUEGOS ]]*salidas26[[#This Row],[PRECIO JUEGO]])</f>
        <v>80</v>
      </c>
      <c r="J801" s="1" t="n">
        <f aca="false">(salidas26[[#This Row],[CANT BARRAS]]*salidas26[[#This Row],[PRECIO BARRA]])</f>
        <v>0</v>
      </c>
      <c r="K801" s="1" t="n">
        <v>70</v>
      </c>
      <c r="L801" s="1" t="s">
        <v>533</v>
      </c>
      <c r="M801" s="1" t="s">
        <v>506</v>
      </c>
    </row>
    <row r="802" customFormat="false" ht="15" hidden="false" customHeight="false" outlineLevel="0" collapsed="false">
      <c r="A802" s="1" t="n">
        <v>571</v>
      </c>
      <c r="B802" s="1" t="n">
        <v>8033</v>
      </c>
      <c r="C80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802" s="75" t="n">
        <v>46098</v>
      </c>
      <c r="E80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80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802" s="1" t="n">
        <v>1</v>
      </c>
      <c r="I802" s="1" t="n">
        <f aca="false">(salidas26[[#This Row],[CANT JUEGOS ]]*salidas26[[#This Row],[PRECIO JUEGO]])</f>
        <v>150</v>
      </c>
      <c r="J802" s="1" t="n">
        <f aca="false">(salidas26[[#This Row],[CANT BARRAS]]*salidas26[[#This Row],[PRECIO BARRA]])</f>
        <v>0</v>
      </c>
      <c r="K802" s="1" t="n">
        <v>140</v>
      </c>
      <c r="L802" s="1" t="s">
        <v>533</v>
      </c>
      <c r="M802" s="1" t="s">
        <v>506</v>
      </c>
    </row>
    <row r="803" customFormat="false" ht="15" hidden="false" customHeight="false" outlineLevel="0" collapsed="false">
      <c r="A803" s="1" t="n">
        <v>572</v>
      </c>
      <c r="B803" s="1" t="n">
        <v>1069</v>
      </c>
      <c r="C80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47LB6500- 8B/6V</v>
      </c>
      <c r="D803" s="75" t="n">
        <v>46098</v>
      </c>
      <c r="E80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80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31.25</v>
      </c>
      <c r="G803" s="1" t="n">
        <v>1</v>
      </c>
      <c r="I803" s="1" t="n">
        <f aca="false">(salidas26[[#This Row],[CANT JUEGOS ]]*salidas26[[#This Row],[PRECIO JUEGO]])</f>
        <v>250</v>
      </c>
      <c r="J803" s="1" t="n">
        <f aca="false">(salidas26[[#This Row],[CANT BARRAS]]*salidas26[[#This Row],[PRECIO BARRA]])</f>
        <v>0</v>
      </c>
      <c r="K803" s="1" t="n">
        <v>250</v>
      </c>
      <c r="L803" s="1" t="s">
        <v>502</v>
      </c>
      <c r="M803" s="1" t="s">
        <v>573</v>
      </c>
    </row>
    <row r="804" customFormat="false" ht="15" hidden="false" customHeight="false" outlineLevel="0" collapsed="false">
      <c r="A804" s="1" t="n">
        <v>573</v>
      </c>
      <c r="B804" s="1" t="n">
        <v>8033</v>
      </c>
      <c r="C80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804" s="75" t="n">
        <v>46099</v>
      </c>
      <c r="E80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80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804" s="1" t="n">
        <v>1</v>
      </c>
      <c r="I804" s="1" t="n">
        <f aca="false">(salidas26[[#This Row],[CANT JUEGOS ]]*salidas26[[#This Row],[PRECIO JUEGO]])</f>
        <v>150</v>
      </c>
      <c r="J804" s="1" t="n">
        <f aca="false">(salidas26[[#This Row],[CANT BARRAS]]*salidas26[[#This Row],[PRECIO BARRA]])</f>
        <v>0</v>
      </c>
      <c r="K804" s="1" t="n">
        <v>140</v>
      </c>
      <c r="L804" s="1" t="s">
        <v>502</v>
      </c>
      <c r="M804" s="1" t="s">
        <v>560</v>
      </c>
    </row>
    <row r="805" customFormat="false" ht="15" hidden="false" customHeight="false" outlineLevel="0" collapsed="false">
      <c r="A805" s="1" t="n">
        <v>574</v>
      </c>
      <c r="B805" s="1" t="n">
        <v>3003</v>
      </c>
      <c r="C80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40B8000 4B/12LED/3V</v>
      </c>
      <c r="D805" s="75" t="n">
        <v>46099</v>
      </c>
      <c r="E80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80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805" s="1" t="n">
        <v>1</v>
      </c>
      <c r="H805" s="1" t="n">
        <v>2</v>
      </c>
      <c r="I805" s="1" t="n">
        <f aca="false">(salidas26[[#This Row],[CANT JUEGOS ]]*salidas26[[#This Row],[PRECIO JUEGO]])</f>
        <v>160</v>
      </c>
      <c r="J805" s="1" t="n">
        <f aca="false">(salidas26[[#This Row],[CANT BARRAS]]*salidas26[[#This Row],[PRECIO BARRA]])</f>
        <v>80</v>
      </c>
      <c r="K805" s="1" t="n">
        <v>220</v>
      </c>
      <c r="L805" s="1" t="s">
        <v>502</v>
      </c>
      <c r="M805" s="1" t="s">
        <v>603</v>
      </c>
    </row>
    <row r="806" customFormat="false" ht="15" hidden="false" customHeight="false" outlineLevel="0" collapsed="false">
      <c r="A806" s="1" t="n">
        <v>575</v>
      </c>
      <c r="B806" s="1" t="n">
        <v>8003</v>
      </c>
      <c r="C80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24 PULG</v>
      </c>
      <c r="D806" s="75" t="n">
        <v>46099</v>
      </c>
      <c r="E80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80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806" s="1" t="n">
        <v>1</v>
      </c>
      <c r="I806" s="1" t="n">
        <f aca="false">(salidas26[[#This Row],[CANT JUEGOS ]]*salidas26[[#This Row],[PRECIO JUEGO]])</f>
        <v>70</v>
      </c>
      <c r="J806" s="1" t="n">
        <f aca="false">(salidas26[[#This Row],[CANT BARRAS]]*salidas26[[#This Row],[PRECIO BARRA]])</f>
        <v>0</v>
      </c>
      <c r="K806" s="1" t="n">
        <v>70</v>
      </c>
      <c r="L806" s="1" t="s">
        <v>502</v>
      </c>
      <c r="M806" s="1" t="s">
        <v>683</v>
      </c>
    </row>
    <row r="807" customFormat="false" ht="15" hidden="false" customHeight="false" outlineLevel="0" collapsed="false">
      <c r="B807" s="1" t="n">
        <v>5018</v>
      </c>
      <c r="C80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KDL-40R475 SONY/10B</v>
      </c>
      <c r="D807" s="75" t="n">
        <v>46099</v>
      </c>
      <c r="E80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80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807" s="1" t="n">
        <v>1</v>
      </c>
      <c r="I807" s="1" t="n">
        <f aca="false">(salidas26[[#This Row],[CANT JUEGOS ]]*salidas26[[#This Row],[PRECIO JUEGO]])</f>
        <v>200</v>
      </c>
      <c r="J807" s="1" t="n">
        <f aca="false">(salidas26[[#This Row],[CANT BARRAS]]*salidas26[[#This Row],[PRECIO BARRA]])</f>
        <v>0</v>
      </c>
      <c r="K807" s="1" t="n">
        <v>180</v>
      </c>
      <c r="L807" s="1" t="s">
        <v>533</v>
      </c>
      <c r="M807" s="70" t="s">
        <v>517</v>
      </c>
    </row>
    <row r="808" customFormat="false" ht="15" hidden="false" customHeight="false" outlineLevel="0" collapsed="false">
      <c r="A808" s="1" t="n">
        <v>576</v>
      </c>
      <c r="B808" s="1" t="n">
        <v>8013</v>
      </c>
      <c r="C80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CHANCHONG CD2000 6L/3V/3B</v>
      </c>
      <c r="D808" s="75" t="n">
        <v>46099</v>
      </c>
      <c r="E80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100</v>
      </c>
      <c r="F80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808" s="1" t="n">
        <v>1</v>
      </c>
      <c r="I808" s="1" t="n">
        <f aca="false">(salidas26[[#This Row],[CANT JUEGOS ]]*salidas26[[#This Row],[PRECIO JUEGO]])</f>
        <v>100</v>
      </c>
      <c r="J808" s="1" t="n">
        <f aca="false">(salidas26[[#This Row],[CANT BARRAS]]*salidas26[[#This Row],[PRECIO BARRA]])</f>
        <v>0</v>
      </c>
      <c r="K808" s="1" t="n">
        <v>120</v>
      </c>
      <c r="L808" s="1" t="s">
        <v>502</v>
      </c>
      <c r="M808" s="1" t="s">
        <v>683</v>
      </c>
    </row>
    <row r="809" customFormat="false" ht="15" hidden="false" customHeight="false" outlineLevel="0" collapsed="false">
      <c r="A809" s="1" t="n">
        <v>577</v>
      </c>
      <c r="B809" s="1" t="n">
        <v>8130</v>
      </c>
      <c r="C80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LUPA NORMAL 6V/2W S/C</v>
      </c>
      <c r="D809" s="75" t="n">
        <v>46099</v>
      </c>
      <c r="E80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80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809" s="1" t="n">
        <v>8</v>
      </c>
      <c r="I809" s="1" t="n">
        <f aca="false">(salidas26[[#This Row],[CANT JUEGOS ]]*salidas26[[#This Row],[PRECIO JUEGO]])</f>
        <v>0</v>
      </c>
      <c r="J809" s="1" t="n">
        <f aca="false">(salidas26[[#This Row],[CANT BARRAS]]*salidas26[[#This Row],[PRECIO BARRA]])</f>
        <v>28</v>
      </c>
      <c r="K809" s="1" t="n">
        <v>28</v>
      </c>
      <c r="L809" s="1" t="s">
        <v>502</v>
      </c>
      <c r="M809" s="1" t="s">
        <v>579</v>
      </c>
    </row>
    <row r="810" customFormat="false" ht="15" hidden="false" customHeight="false" outlineLevel="0" collapsed="false">
      <c r="A810" s="1" t="n">
        <v>578</v>
      </c>
      <c r="B810" s="1" t="n">
        <v>1139</v>
      </c>
      <c r="C81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UM 8L 4B EL JUEGO</v>
      </c>
      <c r="D810" s="75" t="n">
        <v>46099</v>
      </c>
      <c r="E81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320</v>
      </c>
      <c r="F81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80</v>
      </c>
      <c r="G810" s="1" t="n">
        <v>1</v>
      </c>
      <c r="I810" s="1" t="n">
        <f aca="false">(salidas26[[#This Row],[CANT JUEGOS ]]*salidas26[[#This Row],[PRECIO JUEGO]])</f>
        <v>320</v>
      </c>
      <c r="J810" s="1" t="n">
        <f aca="false">(salidas26[[#This Row],[CANT BARRAS]]*salidas26[[#This Row],[PRECIO BARRA]])</f>
        <v>0</v>
      </c>
      <c r="K810" s="1" t="n">
        <v>350</v>
      </c>
      <c r="L810" s="1" t="s">
        <v>533</v>
      </c>
      <c r="M810" s="1" t="s">
        <v>546</v>
      </c>
    </row>
    <row r="811" customFormat="false" ht="15" hidden="false" customHeight="false" outlineLevel="0" collapsed="false">
      <c r="A811" s="1" t="n">
        <v>579</v>
      </c>
      <c r="B811" s="1" t="n">
        <v>1078</v>
      </c>
      <c r="C81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49LB-LF/10B</v>
      </c>
      <c r="D811" s="75" t="n">
        <v>46099</v>
      </c>
      <c r="E81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81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28</v>
      </c>
      <c r="G811" s="1" t="n">
        <v>1</v>
      </c>
      <c r="I811" s="1" t="n">
        <f aca="false">(salidas26[[#This Row],[CANT JUEGOS ]]*salidas26[[#This Row],[PRECIO JUEGO]])</f>
        <v>280</v>
      </c>
      <c r="J811" s="1" t="n">
        <f aca="false">(salidas26[[#This Row],[CANT BARRAS]]*salidas26[[#This Row],[PRECIO BARRA]])</f>
        <v>0</v>
      </c>
      <c r="K811" s="1" t="n">
        <v>280</v>
      </c>
      <c r="L811" s="1" t="s">
        <v>533</v>
      </c>
      <c r="M811" s="1" t="s">
        <v>546</v>
      </c>
    </row>
    <row r="812" customFormat="false" ht="15" hidden="false" customHeight="false" outlineLevel="0" collapsed="false">
      <c r="A812" s="1" t="n">
        <v>580</v>
      </c>
      <c r="B812" s="1" t="n">
        <v>2000</v>
      </c>
      <c r="C81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D812" s="75" t="n">
        <v>46099</v>
      </c>
      <c r="E81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81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812" s="1" t="n">
        <v>1</v>
      </c>
      <c r="I812" s="1" t="n">
        <f aca="false">(salidas26[[#This Row],[CANT JUEGOS ]]*salidas26[[#This Row],[PRECIO JUEGO]])</f>
        <v>80</v>
      </c>
      <c r="J812" s="1" t="n">
        <f aca="false">(salidas26[[#This Row],[CANT BARRAS]]*salidas26[[#This Row],[PRECIO BARRA]])</f>
        <v>0</v>
      </c>
      <c r="K812" s="1" t="n">
        <v>90</v>
      </c>
      <c r="L812" s="1" t="s">
        <v>533</v>
      </c>
      <c r="M812" s="1" t="s">
        <v>546</v>
      </c>
    </row>
    <row r="813" customFormat="false" ht="15" hidden="false" customHeight="false" outlineLevel="0" collapsed="false">
      <c r="A813" s="1" t="n">
        <v>581</v>
      </c>
      <c r="B813" s="1" t="n">
        <v>6000</v>
      </c>
      <c r="C81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SKYWORTH 2B/6LED/3V </v>
      </c>
      <c r="D813" s="75" t="n">
        <v>46099</v>
      </c>
      <c r="E81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81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813" s="1" t="n">
        <v>1</v>
      </c>
      <c r="I813" s="1" t="n">
        <f aca="false">(salidas26[[#This Row],[CANT JUEGOS ]]*salidas26[[#This Row],[PRECIO JUEGO]])</f>
        <v>60</v>
      </c>
      <c r="J813" s="1" t="n">
        <f aca="false">(salidas26[[#This Row],[CANT BARRAS]]*salidas26[[#This Row],[PRECIO BARRA]])</f>
        <v>0</v>
      </c>
      <c r="K813" s="1" t="n">
        <v>70</v>
      </c>
      <c r="L813" s="1" t="s">
        <v>533</v>
      </c>
      <c r="M813" s="1" t="s">
        <v>546</v>
      </c>
    </row>
    <row r="814" customFormat="false" ht="15" hidden="false" customHeight="false" outlineLevel="0" collapsed="false">
      <c r="A814" s="1" t="n">
        <v>582</v>
      </c>
      <c r="B814" s="1" t="n">
        <v>8099</v>
      </c>
      <c r="C81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JVC 58KB858 4B/AIWA AW58B4K</v>
      </c>
      <c r="D814" s="75" t="n">
        <v>46100</v>
      </c>
      <c r="E81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81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87.5</v>
      </c>
      <c r="G814" s="1" t="n">
        <v>1</v>
      </c>
      <c r="I814" s="1" t="n">
        <f aca="false">(salidas26[[#This Row],[CANT JUEGOS ]]*salidas26[[#This Row],[PRECIO JUEGO]])</f>
        <v>350</v>
      </c>
      <c r="J814" s="1" t="n">
        <f aca="false">(salidas26[[#This Row],[CANT BARRAS]]*salidas26[[#This Row],[PRECIO BARRA]])</f>
        <v>0</v>
      </c>
      <c r="K814" s="1" t="n">
        <v>350</v>
      </c>
      <c r="L814" s="1" t="s">
        <v>502</v>
      </c>
      <c r="M814" s="1" t="s">
        <v>639</v>
      </c>
    </row>
    <row r="815" customFormat="false" ht="15" hidden="false" customHeight="false" outlineLevel="0" collapsed="false">
      <c r="A815" s="1" t="n">
        <v>583</v>
      </c>
      <c r="B815" s="1" t="n">
        <v>8015</v>
      </c>
      <c r="C81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815" s="75" t="n">
        <v>46100</v>
      </c>
      <c r="E81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81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815" s="1" t="n">
        <v>1</v>
      </c>
      <c r="I815" s="1" t="n">
        <f aca="false">(salidas26[[#This Row],[CANT JUEGOS ]]*salidas26[[#This Row],[PRECIO JUEGO]])</f>
        <v>60</v>
      </c>
      <c r="J815" s="1" t="n">
        <f aca="false">(salidas26[[#This Row],[CANT BARRAS]]*salidas26[[#This Row],[PRECIO BARRA]])</f>
        <v>0</v>
      </c>
      <c r="K815" s="1" t="n">
        <v>60</v>
      </c>
      <c r="L815" s="1" t="s">
        <v>502</v>
      </c>
      <c r="M815" s="1" t="s">
        <v>579</v>
      </c>
    </row>
    <row r="816" customFormat="false" ht="15" hidden="false" customHeight="false" outlineLevel="0" collapsed="false">
      <c r="A816" s="1" t="n">
        <v>584</v>
      </c>
      <c r="B816" s="1" t="n">
        <v>7004</v>
      </c>
      <c r="C81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IRT LED4060SFHD 8L/3V/3B</v>
      </c>
      <c r="D816" s="75" t="n">
        <v>46100</v>
      </c>
      <c r="E81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81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816" s="1" t="n">
        <v>1</v>
      </c>
      <c r="I816" s="1" t="n">
        <f aca="false">(salidas26[[#This Row],[CANT JUEGOS ]]*salidas26[[#This Row],[PRECIO JUEGO]])</f>
        <v>150</v>
      </c>
      <c r="J816" s="1" t="n">
        <f aca="false">(salidas26[[#This Row],[CANT BARRAS]]*salidas26[[#This Row],[PRECIO BARRA]])</f>
        <v>0</v>
      </c>
      <c r="K816" s="1" t="n">
        <v>150</v>
      </c>
      <c r="L816" s="1" t="s">
        <v>502</v>
      </c>
      <c r="M816" s="1" t="s">
        <v>665</v>
      </c>
    </row>
    <row r="817" customFormat="false" ht="15" hidden="false" customHeight="false" outlineLevel="0" collapsed="false">
      <c r="A817" s="1" t="n">
        <v>585</v>
      </c>
      <c r="B817" s="1" t="n">
        <v>8015</v>
      </c>
      <c r="C81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817" s="75" t="n">
        <v>46100</v>
      </c>
      <c r="E81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81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817" s="1" t="n">
        <v>1</v>
      </c>
      <c r="I817" s="1" t="n">
        <f aca="false">(salidas26[[#This Row],[CANT JUEGOS ]]*salidas26[[#This Row],[PRECIO JUEGO]])</f>
        <v>60</v>
      </c>
      <c r="J817" s="1" t="n">
        <f aca="false">(salidas26[[#This Row],[CANT BARRAS]]*salidas26[[#This Row],[PRECIO BARRA]])</f>
        <v>0</v>
      </c>
      <c r="K817" s="1" t="n">
        <v>60</v>
      </c>
      <c r="L817" s="1" t="s">
        <v>502</v>
      </c>
      <c r="M817" s="1" t="s">
        <v>518</v>
      </c>
    </row>
    <row r="818" customFormat="false" ht="15" hidden="false" customHeight="false" outlineLevel="0" collapsed="false">
      <c r="A818" s="1" t="n">
        <v>586</v>
      </c>
      <c r="B818" s="1" t="n">
        <v>6000</v>
      </c>
      <c r="C81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SKYWORTH 2B/6LED/3V </v>
      </c>
      <c r="D818" s="75" t="n">
        <v>46100</v>
      </c>
      <c r="E81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81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818" s="1" t="n">
        <v>1</v>
      </c>
      <c r="I818" s="1" t="n">
        <f aca="false">(salidas26[[#This Row],[CANT JUEGOS ]]*salidas26[[#This Row],[PRECIO JUEGO]])</f>
        <v>60</v>
      </c>
      <c r="J818" s="1" t="n">
        <f aca="false">(salidas26[[#This Row],[CANT BARRAS]]*salidas26[[#This Row],[PRECIO BARRA]])</f>
        <v>0</v>
      </c>
      <c r="K818" s="1" t="n">
        <v>60</v>
      </c>
      <c r="L818" s="1" t="s">
        <v>502</v>
      </c>
      <c r="M818" s="1" t="s">
        <v>518</v>
      </c>
    </row>
    <row r="819" customFormat="false" ht="15" hidden="false" customHeight="false" outlineLevel="0" collapsed="false">
      <c r="A819" s="1" t="n">
        <v>587</v>
      </c>
      <c r="B819" s="1" t="n">
        <v>1024</v>
      </c>
      <c r="C81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32LN5100- 3B/6L-6-7-6 POLA</v>
      </c>
      <c r="D819" s="75" t="n">
        <v>46100</v>
      </c>
      <c r="E81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100</v>
      </c>
      <c r="F81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819" s="1" t="n">
        <v>1</v>
      </c>
      <c r="I819" s="1" t="n">
        <f aca="false">(salidas26[[#This Row],[CANT JUEGOS ]]*salidas26[[#This Row],[PRECIO JUEGO]])</f>
        <v>100</v>
      </c>
      <c r="J819" s="1" t="n">
        <f aca="false">(salidas26[[#This Row],[CANT BARRAS]]*salidas26[[#This Row],[PRECIO BARRA]])</f>
        <v>0</v>
      </c>
      <c r="K819" s="1" t="n">
        <v>90</v>
      </c>
      <c r="L819" s="1" t="s">
        <v>502</v>
      </c>
      <c r="M819" s="1" t="s">
        <v>518</v>
      </c>
    </row>
    <row r="820" customFormat="false" ht="15" hidden="false" customHeight="false" outlineLevel="0" collapsed="false">
      <c r="A820" s="1" t="n">
        <v>588</v>
      </c>
      <c r="B820" s="1" t="n">
        <v>7004</v>
      </c>
      <c r="C82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IRT LED4060SFHD 8L/3V/3B</v>
      </c>
      <c r="D820" s="75" t="n">
        <v>46100</v>
      </c>
      <c r="E82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82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820" s="1" t="n">
        <v>1</v>
      </c>
      <c r="I820" s="1" t="n">
        <f aca="false">(salidas26[[#This Row],[CANT JUEGOS ]]*salidas26[[#This Row],[PRECIO JUEGO]])</f>
        <v>150</v>
      </c>
      <c r="J820" s="1" t="n">
        <f aca="false">(salidas26[[#This Row],[CANT BARRAS]]*salidas26[[#This Row],[PRECIO BARRA]])</f>
        <v>0</v>
      </c>
      <c r="K820" s="1" t="n">
        <v>120</v>
      </c>
      <c r="L820" s="1" t="s">
        <v>502</v>
      </c>
      <c r="M820" s="1" t="s">
        <v>534</v>
      </c>
    </row>
    <row r="821" customFormat="false" ht="15" hidden="false" customHeight="false" outlineLevel="0" collapsed="false">
      <c r="A821" s="1" t="n">
        <v>589</v>
      </c>
      <c r="B821" s="1" t="n">
        <v>8021</v>
      </c>
      <c r="C82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JVC RECTO /2B</v>
      </c>
      <c r="D821" s="75" t="n">
        <v>46100</v>
      </c>
      <c r="E82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82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821" s="1" t="n">
        <v>2</v>
      </c>
      <c r="I821" s="1" t="n">
        <f aca="false">(salidas26[[#This Row],[CANT JUEGOS ]]*salidas26[[#This Row],[PRECIO JUEGO]])</f>
        <v>120</v>
      </c>
      <c r="J821" s="1" t="n">
        <f aca="false">(salidas26[[#This Row],[CANT BARRAS]]*salidas26[[#This Row],[PRECIO BARRA]])</f>
        <v>0</v>
      </c>
      <c r="K821" s="1" t="n">
        <v>96</v>
      </c>
      <c r="L821" s="1" t="s">
        <v>502</v>
      </c>
      <c r="M821" s="1" t="s">
        <v>534</v>
      </c>
    </row>
    <row r="822" customFormat="false" ht="15" hidden="false" customHeight="false" outlineLevel="0" collapsed="false">
      <c r="A822" s="1" t="n">
        <v>590</v>
      </c>
      <c r="B822" s="1" t="n">
        <v>7002</v>
      </c>
      <c r="C82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F1000 KONKA 6L/LED3250HDD/CRONW TV3277D IRT</v>
      </c>
      <c r="D822" s="75" t="n">
        <v>46100</v>
      </c>
      <c r="E82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82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822" s="1" t="n">
        <v>1</v>
      </c>
      <c r="I822" s="1" t="n">
        <f aca="false">(salidas26[[#This Row],[CANT JUEGOS ]]*salidas26[[#This Row],[PRECIO JUEGO]])</f>
        <v>70</v>
      </c>
      <c r="J822" s="1" t="n">
        <f aca="false">(salidas26[[#This Row],[CANT BARRAS]]*salidas26[[#This Row],[PRECIO BARRA]])</f>
        <v>0</v>
      </c>
      <c r="K822" s="1" t="n">
        <v>56</v>
      </c>
      <c r="L822" s="1" t="s">
        <v>502</v>
      </c>
      <c r="M822" s="1" t="s">
        <v>534</v>
      </c>
    </row>
    <row r="823" customFormat="false" ht="15" hidden="false" customHeight="false" outlineLevel="0" collapsed="false">
      <c r="A823" s="1" t="n">
        <v>591</v>
      </c>
      <c r="B823" s="1" t="n">
        <v>6021</v>
      </c>
      <c r="C82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MASTERG 55U4700 - 55 TOSHIBA 8B/5-6L</v>
      </c>
      <c r="D823" s="75" t="n">
        <v>46101</v>
      </c>
      <c r="E82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82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37.5</v>
      </c>
      <c r="G823" s="1" t="n">
        <v>1</v>
      </c>
      <c r="I823" s="1" t="n">
        <f aca="false">(salidas26[[#This Row],[CANT JUEGOS ]]*salidas26[[#This Row],[PRECIO JUEGO]])</f>
        <v>300</v>
      </c>
      <c r="J823" s="1" t="n">
        <f aca="false">(salidas26[[#This Row],[CANT BARRAS]]*salidas26[[#This Row],[PRECIO BARRA]])</f>
        <v>0</v>
      </c>
      <c r="K823" s="1" t="n">
        <v>380</v>
      </c>
      <c r="L823" s="1" t="s">
        <v>533</v>
      </c>
      <c r="M823" s="1" t="s">
        <v>720</v>
      </c>
    </row>
    <row r="824" customFormat="false" ht="15" hidden="false" customHeight="false" outlineLevel="0" collapsed="false">
      <c r="A824" s="1" t="n">
        <v>592</v>
      </c>
      <c r="B824" s="1" t="n">
        <v>8130</v>
      </c>
      <c r="C82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LUPA NORMAL 6V/2W S/C</v>
      </c>
      <c r="D824" s="75" t="n">
        <v>46101</v>
      </c>
      <c r="E82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82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824" s="1" t="n">
        <v>24</v>
      </c>
      <c r="I824" s="1" t="n">
        <f aca="false">(salidas26[[#This Row],[CANT JUEGOS ]]*salidas26[[#This Row],[PRECIO JUEGO]])</f>
        <v>0</v>
      </c>
      <c r="J824" s="1" t="n">
        <f aca="false">(salidas26[[#This Row],[CANT BARRAS]]*salidas26[[#This Row],[PRECIO BARRA]])</f>
        <v>84</v>
      </c>
      <c r="K824" s="1" t="n">
        <v>84</v>
      </c>
      <c r="L824" s="1" t="s">
        <v>502</v>
      </c>
      <c r="M824" s="1" t="s">
        <v>721</v>
      </c>
    </row>
    <row r="825" customFormat="false" ht="15" hidden="false" customHeight="false" outlineLevel="0" collapsed="false">
      <c r="A825" s="1" t="n">
        <v>593</v>
      </c>
      <c r="B825" s="1" t="n">
        <v>2000</v>
      </c>
      <c r="C82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D825" s="75" t="n">
        <v>46101</v>
      </c>
      <c r="E82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82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825" s="1" t="n">
        <v>1</v>
      </c>
      <c r="I825" s="1" t="n">
        <f aca="false">(salidas26[[#This Row],[CANT JUEGOS ]]*salidas26[[#This Row],[PRECIO JUEGO]])</f>
        <v>80</v>
      </c>
      <c r="J825" s="1" t="n">
        <f aca="false">(salidas26[[#This Row],[CANT BARRAS]]*salidas26[[#This Row],[PRECIO BARRA]])</f>
        <v>0</v>
      </c>
      <c r="K825" s="1" t="n">
        <v>80</v>
      </c>
      <c r="L825" s="1" t="s">
        <v>533</v>
      </c>
      <c r="M825" s="1" t="s">
        <v>703</v>
      </c>
    </row>
    <row r="826" customFormat="false" ht="15" hidden="false" customHeight="false" outlineLevel="0" collapsed="false">
      <c r="A826" s="1" t="n">
        <v>594</v>
      </c>
      <c r="B826" s="1" t="n">
        <v>1069</v>
      </c>
      <c r="C82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47LB6500- 8B/6V</v>
      </c>
      <c r="D826" s="75" t="n">
        <v>46101</v>
      </c>
      <c r="E82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82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31.25</v>
      </c>
      <c r="G826" s="1" t="n">
        <v>1</v>
      </c>
      <c r="I826" s="1" t="n">
        <f aca="false">(salidas26[[#This Row],[CANT JUEGOS ]]*salidas26[[#This Row],[PRECIO JUEGO]])</f>
        <v>250</v>
      </c>
      <c r="J826" s="1" t="n">
        <f aca="false">(salidas26[[#This Row],[CANT BARRAS]]*salidas26[[#This Row],[PRECIO BARRA]])</f>
        <v>0</v>
      </c>
      <c r="K826" s="1" t="n">
        <v>250</v>
      </c>
      <c r="L826" s="1" t="s">
        <v>502</v>
      </c>
      <c r="M826" s="1" t="s">
        <v>505</v>
      </c>
    </row>
    <row r="827" customFormat="false" ht="15" hidden="false" customHeight="false" outlineLevel="0" collapsed="false">
      <c r="A827" s="1" t="n">
        <v>595</v>
      </c>
      <c r="B827" s="1" t="n">
        <v>1066</v>
      </c>
      <c r="C82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47LA6130-12B/3V</v>
      </c>
      <c r="D827" s="75" t="n">
        <v>46101</v>
      </c>
      <c r="E82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82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827" s="1" t="n">
        <v>1</v>
      </c>
      <c r="I827" s="1" t="n">
        <f aca="false">(salidas26[[#This Row],[CANT JUEGOS ]]*salidas26[[#This Row],[PRECIO JUEGO]])</f>
        <v>240</v>
      </c>
      <c r="J827" s="1" t="n">
        <f aca="false">(salidas26[[#This Row],[CANT BARRAS]]*salidas26[[#This Row],[PRECIO BARRA]])</f>
        <v>0</v>
      </c>
      <c r="M827" s="1" t="s">
        <v>546</v>
      </c>
    </row>
    <row r="828" customFormat="false" ht="15" hidden="false" customHeight="false" outlineLevel="0" collapsed="false">
      <c r="A828" s="1" t="n">
        <v>596</v>
      </c>
      <c r="B828" s="1" t="n">
        <v>3000</v>
      </c>
      <c r="C82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32B8000 3B/10LED/3V </v>
      </c>
      <c r="D828" s="75" t="n">
        <v>46101</v>
      </c>
      <c r="E82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82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828" s="1" t="n">
        <v>1</v>
      </c>
      <c r="I828" s="1" t="n">
        <f aca="false">(salidas26[[#This Row],[CANT JUEGOS ]]*salidas26[[#This Row],[PRECIO JUEGO]])</f>
        <v>90</v>
      </c>
      <c r="J828" s="1" t="n">
        <f aca="false">(salidas26[[#This Row],[CANT BARRAS]]*salidas26[[#This Row],[PRECIO BARRA]])</f>
        <v>0</v>
      </c>
      <c r="K828" s="1" t="n">
        <v>100</v>
      </c>
      <c r="L828" s="1" t="s">
        <v>502</v>
      </c>
      <c r="M828" s="1" t="s">
        <v>722</v>
      </c>
    </row>
    <row r="829" customFormat="false" ht="15" hidden="false" customHeight="false" outlineLevel="0" collapsed="false">
      <c r="A829" s="1" t="n">
        <v>597</v>
      </c>
      <c r="B829" s="1" t="n">
        <v>8124</v>
      </c>
      <c r="C82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LUPA NORMAL 3V/2W S/C </v>
      </c>
      <c r="D829" s="75" t="n">
        <v>46101</v>
      </c>
      <c r="E82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82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829" s="1" t="n">
        <v>12</v>
      </c>
      <c r="I829" s="1" t="n">
        <f aca="false">(salidas26[[#This Row],[CANT JUEGOS ]]*salidas26[[#This Row],[PRECIO JUEGO]])</f>
        <v>0</v>
      </c>
      <c r="J829" s="1" t="n">
        <f aca="false">(salidas26[[#This Row],[CANT BARRAS]]*salidas26[[#This Row],[PRECIO BARRA]])</f>
        <v>42</v>
      </c>
      <c r="K829" s="1" t="n">
        <v>40</v>
      </c>
      <c r="L829" s="1" t="s">
        <v>502</v>
      </c>
      <c r="M829" s="1" t="s">
        <v>518</v>
      </c>
    </row>
    <row r="830" customFormat="false" ht="15" hidden="false" customHeight="false" outlineLevel="0" collapsed="false">
      <c r="A830" s="1" t="n">
        <v>598</v>
      </c>
      <c r="B830" s="1" t="n">
        <v>2104</v>
      </c>
      <c r="C83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UN82TU7000/18B/5L</v>
      </c>
      <c r="D830" s="75" t="n">
        <v>46101</v>
      </c>
      <c r="E83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600</v>
      </c>
      <c r="F83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830" s="1" t="n">
        <v>1</v>
      </c>
      <c r="I830" s="1" t="n">
        <f aca="false">(salidas26[[#This Row],[CANT JUEGOS ]]*salidas26[[#This Row],[PRECIO JUEGO]])</f>
        <v>600</v>
      </c>
      <c r="J830" s="1" t="n">
        <f aca="false">(salidas26[[#This Row],[CANT BARRAS]]*salidas26[[#This Row],[PRECIO BARRA]])</f>
        <v>0</v>
      </c>
      <c r="K830" s="1" t="n">
        <v>550</v>
      </c>
      <c r="L830" s="1" t="s">
        <v>502</v>
      </c>
      <c r="M830" s="1" t="s">
        <v>723</v>
      </c>
    </row>
    <row r="831" customFormat="false" ht="15" hidden="false" customHeight="false" outlineLevel="0" collapsed="false">
      <c r="A831" s="1" t="n">
        <v>599</v>
      </c>
      <c r="B831" s="1" t="n">
        <v>8015</v>
      </c>
      <c r="C83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831" s="75" t="n">
        <v>46101</v>
      </c>
      <c r="E83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83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831" s="1" t="n">
        <v>3</v>
      </c>
      <c r="I831" s="1" t="n">
        <f aca="false">(salidas26[[#This Row],[CANT JUEGOS ]]*salidas26[[#This Row],[PRECIO JUEGO]])</f>
        <v>180</v>
      </c>
      <c r="J831" s="1" t="n">
        <f aca="false">(salidas26[[#This Row],[CANT BARRAS]]*salidas26[[#This Row],[PRECIO BARRA]])</f>
        <v>0</v>
      </c>
      <c r="K831" s="1" t="n">
        <v>150</v>
      </c>
      <c r="L831" s="1" t="s">
        <v>502</v>
      </c>
      <c r="M831" s="1" t="s">
        <v>518</v>
      </c>
    </row>
    <row r="832" customFormat="false" ht="15" hidden="false" customHeight="false" outlineLevel="0" collapsed="false">
      <c r="A832" s="1" t="n">
        <v>600</v>
      </c>
      <c r="B832" s="1" t="n">
        <v>1078</v>
      </c>
      <c r="C83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49LB-LF/10B</v>
      </c>
      <c r="D832" s="75" t="n">
        <v>46101</v>
      </c>
      <c r="E83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83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28</v>
      </c>
      <c r="G832" s="1" t="n">
        <v>1</v>
      </c>
      <c r="I832" s="1" t="n">
        <f aca="false">(salidas26[[#This Row],[CANT JUEGOS ]]*salidas26[[#This Row],[PRECIO JUEGO]])</f>
        <v>280</v>
      </c>
      <c r="J832" s="1" t="n">
        <f aca="false">(salidas26[[#This Row],[CANT BARRAS]]*salidas26[[#This Row],[PRECIO BARRA]])</f>
        <v>0</v>
      </c>
      <c r="K832" s="1" t="n">
        <v>280</v>
      </c>
      <c r="L832" s="1" t="s">
        <v>533</v>
      </c>
      <c r="M832" s="1" t="s">
        <v>519</v>
      </c>
    </row>
    <row r="833" customFormat="false" ht="15" hidden="false" customHeight="false" outlineLevel="0" collapsed="false">
      <c r="A833" s="1" t="n">
        <v>601</v>
      </c>
      <c r="B833" s="1" t="n">
        <v>2064</v>
      </c>
      <c r="C83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UN50AU7000G/6B</v>
      </c>
      <c r="D833" s="75" t="n">
        <v>46102</v>
      </c>
      <c r="E83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83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41.6666666666667</v>
      </c>
      <c r="G833" s="1" t="n">
        <v>1</v>
      </c>
      <c r="I833" s="1" t="n">
        <f aca="false">(salidas26[[#This Row],[CANT JUEGOS ]]*salidas26[[#This Row],[PRECIO JUEGO]])</f>
        <v>250</v>
      </c>
      <c r="J833" s="1" t="n">
        <f aca="false">(salidas26[[#This Row],[CANT BARRAS]]*salidas26[[#This Row],[PRECIO BARRA]])</f>
        <v>0</v>
      </c>
      <c r="K833" s="1" t="n">
        <v>230</v>
      </c>
      <c r="L833" s="1" t="s">
        <v>601</v>
      </c>
      <c r="M833" s="1" t="s">
        <v>724</v>
      </c>
    </row>
    <row r="834" customFormat="false" ht="15" hidden="false" customHeight="false" outlineLevel="0" collapsed="false">
      <c r="A834" s="1" t="n">
        <v>602</v>
      </c>
      <c r="B834" s="1" t="n">
        <v>4003</v>
      </c>
      <c r="C83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DAEWOO 8L/3V - 3B</v>
      </c>
      <c r="D834" s="75" t="n">
        <v>46102</v>
      </c>
      <c r="E83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83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834" s="1" t="n">
        <v>1</v>
      </c>
      <c r="I834" s="1" t="n">
        <f aca="false">(salidas26[[#This Row],[CANT JUEGOS ]]*salidas26[[#This Row],[PRECIO JUEGO]])</f>
        <v>90</v>
      </c>
      <c r="J834" s="1" t="n">
        <f aca="false">(salidas26[[#This Row],[CANT BARRAS]]*salidas26[[#This Row],[PRECIO BARRA]])</f>
        <v>0</v>
      </c>
      <c r="K834" s="1" t="n">
        <v>80</v>
      </c>
      <c r="L834" s="1" t="s">
        <v>601</v>
      </c>
      <c r="M834" s="1" t="s">
        <v>724</v>
      </c>
    </row>
    <row r="835" customFormat="false" ht="15" hidden="false" customHeight="false" outlineLevel="0" collapsed="false">
      <c r="A835" s="1" t="n">
        <v>603</v>
      </c>
      <c r="B835" s="1" t="n">
        <v>2095</v>
      </c>
      <c r="C83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UN60AU8000G-60BU8000/2B</v>
      </c>
      <c r="D835" s="75" t="n">
        <v>46102</v>
      </c>
      <c r="E83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83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125</v>
      </c>
      <c r="G835" s="1" t="n">
        <v>1</v>
      </c>
      <c r="I835" s="1" t="n">
        <f aca="false">(salidas26[[#This Row],[CANT JUEGOS ]]*salidas26[[#This Row],[PRECIO JUEGO]])</f>
        <v>250</v>
      </c>
      <c r="J835" s="1" t="n">
        <f aca="false">(salidas26[[#This Row],[CANT BARRAS]]*salidas26[[#This Row],[PRECIO BARRA]])</f>
        <v>0</v>
      </c>
      <c r="K835" s="1" t="n">
        <v>280</v>
      </c>
      <c r="L835" s="1" t="s">
        <v>533</v>
      </c>
      <c r="M835" s="1" t="s">
        <v>503</v>
      </c>
    </row>
    <row r="836" customFormat="false" ht="15" hidden="false" customHeight="false" outlineLevel="0" collapsed="false">
      <c r="A836" s="1" t="n">
        <v>604</v>
      </c>
      <c r="B836" s="1" t="n">
        <v>8068</v>
      </c>
      <c r="C83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3V/10L/4B</v>
      </c>
      <c r="D836" s="75" t="n">
        <v>46102</v>
      </c>
      <c r="E83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83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836" s="1" t="n">
        <v>1</v>
      </c>
      <c r="I836" s="1" t="n">
        <f aca="false">(salidas26[[#This Row],[CANT JUEGOS ]]*salidas26[[#This Row],[PRECIO JUEGO]])</f>
        <v>220</v>
      </c>
      <c r="J836" s="1" t="n">
        <f aca="false">(salidas26[[#This Row],[CANT BARRAS]]*salidas26[[#This Row],[PRECIO BARRA]])</f>
        <v>0</v>
      </c>
      <c r="K836" s="1" t="n">
        <v>220</v>
      </c>
      <c r="L836" s="1" t="s">
        <v>502</v>
      </c>
      <c r="M836" s="1" t="s">
        <v>683</v>
      </c>
    </row>
    <row r="837" customFormat="false" ht="15" hidden="false" customHeight="false" outlineLevel="0" collapsed="false">
      <c r="A837" s="1" t="n">
        <v>605</v>
      </c>
      <c r="B837" s="1" t="n">
        <v>8070</v>
      </c>
      <c r="C83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JVC KB527</v>
      </c>
      <c r="D837" s="75" t="n">
        <v>46102</v>
      </c>
      <c r="E83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83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62.5</v>
      </c>
      <c r="G837" s="1" t="n">
        <v>1</v>
      </c>
      <c r="I837" s="1" t="n">
        <f aca="false">(salidas26[[#This Row],[CANT JUEGOS ]]*salidas26[[#This Row],[PRECIO JUEGO]])</f>
        <v>250</v>
      </c>
      <c r="J837" s="1" t="n">
        <f aca="false">(salidas26[[#This Row],[CANT BARRAS]]*salidas26[[#This Row],[PRECIO BARRA]])</f>
        <v>0</v>
      </c>
      <c r="K837" s="1" t="n">
        <v>230</v>
      </c>
      <c r="L837" s="1" t="s">
        <v>502</v>
      </c>
      <c r="M837" s="1" t="s">
        <v>524</v>
      </c>
    </row>
    <row r="838" customFormat="false" ht="15" hidden="false" customHeight="false" outlineLevel="0" collapsed="false">
      <c r="A838" s="1" t="n">
        <v>606</v>
      </c>
      <c r="B838" s="1" t="n">
        <v>8100</v>
      </c>
      <c r="C83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JVC 58KB527</v>
      </c>
      <c r="D838" s="75" t="n">
        <v>46102</v>
      </c>
      <c r="E83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83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838" s="1" t="n">
        <v>1</v>
      </c>
      <c r="I838" s="1" t="n">
        <f aca="false">(salidas26[[#This Row],[CANT JUEGOS ]]*salidas26[[#This Row],[PRECIO JUEGO]])</f>
        <v>300</v>
      </c>
      <c r="J838" s="1" t="n">
        <f aca="false">(salidas26[[#This Row],[CANT BARRAS]]*salidas26[[#This Row],[PRECIO BARRA]])</f>
        <v>0</v>
      </c>
      <c r="K838" s="1" t="n">
        <v>300</v>
      </c>
      <c r="L838" s="1" t="s">
        <v>502</v>
      </c>
      <c r="M838" s="1" t="s">
        <v>518</v>
      </c>
    </row>
    <row r="839" customFormat="false" ht="15" hidden="false" customHeight="false" outlineLevel="0" collapsed="false">
      <c r="A839" s="1" t="n">
        <v>608</v>
      </c>
      <c r="B839" s="1" t="n">
        <v>1069</v>
      </c>
      <c r="C83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47LB6500- 8B/6V</v>
      </c>
      <c r="D839" s="75" t="n">
        <v>46104</v>
      </c>
      <c r="E83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83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31.25</v>
      </c>
      <c r="G839" s="1" t="n">
        <v>1</v>
      </c>
      <c r="I839" s="1" t="n">
        <f aca="false">(salidas26[[#This Row],[CANT JUEGOS ]]*salidas26[[#This Row],[PRECIO JUEGO]])</f>
        <v>250</v>
      </c>
      <c r="J839" s="1" t="n">
        <f aca="false">(salidas26[[#This Row],[CANT BARRAS]]*salidas26[[#This Row],[PRECIO BARRA]])</f>
        <v>0</v>
      </c>
      <c r="K839" s="1" t="n">
        <v>250</v>
      </c>
      <c r="L839" s="1" t="s">
        <v>533</v>
      </c>
      <c r="M839" s="1" t="s">
        <v>545</v>
      </c>
    </row>
    <row r="840" customFormat="false" ht="15" hidden="false" customHeight="false" outlineLevel="0" collapsed="false">
      <c r="A840" s="1" t="n">
        <v>609</v>
      </c>
      <c r="B840" s="1" t="n">
        <v>2000</v>
      </c>
      <c r="C84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D840" s="75" t="n">
        <v>46104</v>
      </c>
      <c r="E84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84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840" s="1" t="n">
        <v>1</v>
      </c>
      <c r="I840" s="1" t="n">
        <f aca="false">(salidas26[[#This Row],[CANT JUEGOS ]]*salidas26[[#This Row],[PRECIO JUEGO]])</f>
        <v>80</v>
      </c>
      <c r="J840" s="1" t="n">
        <f aca="false">(salidas26[[#This Row],[CANT BARRAS]]*salidas26[[#This Row],[PRECIO BARRA]])</f>
        <v>0</v>
      </c>
      <c r="K840" s="1" t="n">
        <v>70</v>
      </c>
      <c r="L840" s="1" t="s">
        <v>502</v>
      </c>
      <c r="M840" s="1" t="s">
        <v>579</v>
      </c>
    </row>
    <row r="841" customFormat="false" ht="15" hidden="false" customHeight="false" outlineLevel="0" collapsed="false">
      <c r="A841" s="1" t="n">
        <v>610</v>
      </c>
      <c r="B841" s="1" t="n">
        <v>8100</v>
      </c>
      <c r="C84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JVC 58KB527</v>
      </c>
      <c r="D841" s="75" t="n">
        <v>46104</v>
      </c>
      <c r="E84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84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841" s="1" t="n">
        <v>1</v>
      </c>
      <c r="I841" s="1" t="n">
        <f aca="false">(salidas26[[#This Row],[CANT JUEGOS ]]*salidas26[[#This Row],[PRECIO JUEGO]])</f>
        <v>300</v>
      </c>
      <c r="J841" s="1" t="n">
        <f aca="false">(salidas26[[#This Row],[CANT BARRAS]]*salidas26[[#This Row],[PRECIO BARRA]])</f>
        <v>0</v>
      </c>
      <c r="K841" s="1" t="n">
        <v>300</v>
      </c>
      <c r="L841" s="1" t="s">
        <v>502</v>
      </c>
      <c r="M841" s="1" t="s">
        <v>505</v>
      </c>
    </row>
    <row r="842" customFormat="false" ht="15" hidden="false" customHeight="false" outlineLevel="0" collapsed="false">
      <c r="A842" s="1" t="n">
        <v>611</v>
      </c>
      <c r="B842" s="1" t="n">
        <v>8003</v>
      </c>
      <c r="C84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24 PULG</v>
      </c>
      <c r="D842" s="75" t="n">
        <v>46104</v>
      </c>
      <c r="E84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84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842" s="1" t="n">
        <v>1</v>
      </c>
      <c r="I842" s="1" t="n">
        <f aca="false">(salidas26[[#This Row],[CANT JUEGOS ]]*salidas26[[#This Row],[PRECIO JUEGO]])</f>
        <v>70</v>
      </c>
      <c r="J842" s="1" t="n">
        <f aca="false">(salidas26[[#This Row],[CANT BARRAS]]*salidas26[[#This Row],[PRECIO BARRA]])</f>
        <v>0</v>
      </c>
      <c r="K842" s="1" t="n">
        <v>60</v>
      </c>
      <c r="L842" s="1" t="s">
        <v>502</v>
      </c>
      <c r="M842" s="1" t="s">
        <v>505</v>
      </c>
    </row>
    <row r="843" customFormat="false" ht="15" hidden="false" customHeight="false" outlineLevel="0" collapsed="false">
      <c r="A843" s="1" t="n">
        <v>612</v>
      </c>
      <c r="B843" s="1" t="n">
        <v>3000</v>
      </c>
      <c r="C84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32B8000 3B/10LED/3V </v>
      </c>
      <c r="D843" s="75" t="n">
        <v>46104</v>
      </c>
      <c r="E84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84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843" s="1" t="n">
        <v>1</v>
      </c>
      <c r="I843" s="1" t="n">
        <f aca="false">(salidas26[[#This Row],[CANT JUEGOS ]]*salidas26[[#This Row],[PRECIO JUEGO]])</f>
        <v>90</v>
      </c>
      <c r="J843" s="1" t="n">
        <f aca="false">(salidas26[[#This Row],[CANT BARRAS]]*salidas26[[#This Row],[PRECIO BARRA]])</f>
        <v>0</v>
      </c>
      <c r="K843" s="1" t="n">
        <v>90</v>
      </c>
      <c r="L843" s="1" t="s">
        <v>533</v>
      </c>
      <c r="M843" s="1" t="s">
        <v>506</v>
      </c>
    </row>
    <row r="844" customFormat="false" ht="15" hidden="false" customHeight="false" outlineLevel="0" collapsed="false">
      <c r="A844" s="1" t="n">
        <v>613</v>
      </c>
      <c r="B844" s="1" t="n">
        <v>2000</v>
      </c>
      <c r="C84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D844" s="75" t="n">
        <v>46104</v>
      </c>
      <c r="E84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84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844" s="1" t="n">
        <v>1</v>
      </c>
      <c r="I844" s="1" t="n">
        <f aca="false">(salidas26[[#This Row],[CANT JUEGOS ]]*salidas26[[#This Row],[PRECIO JUEGO]])</f>
        <v>80</v>
      </c>
      <c r="J844" s="1" t="n">
        <f aca="false">(salidas26[[#This Row],[CANT BARRAS]]*salidas26[[#This Row],[PRECIO BARRA]])</f>
        <v>0</v>
      </c>
      <c r="K844" s="1" t="n">
        <v>80</v>
      </c>
      <c r="L844" s="1" t="s">
        <v>533</v>
      </c>
      <c r="M844" s="1" t="s">
        <v>506</v>
      </c>
    </row>
    <row r="845" customFormat="false" ht="15" hidden="false" customHeight="false" outlineLevel="0" collapsed="false">
      <c r="A845" s="1" t="n">
        <v>614</v>
      </c>
      <c r="B845" s="1" t="n">
        <v>2039</v>
      </c>
      <c r="C84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UN48H4200/8B</v>
      </c>
      <c r="D845" s="75" t="n">
        <v>46104</v>
      </c>
      <c r="E84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84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845" s="1" t="n">
        <v>1</v>
      </c>
      <c r="I845" s="1" t="n">
        <f aca="false">(salidas26[[#This Row],[CANT JUEGOS ]]*salidas26[[#This Row],[PRECIO JUEGO]])</f>
        <v>280</v>
      </c>
      <c r="J845" s="1" t="n">
        <f aca="false">(salidas26[[#This Row],[CANT BARRAS]]*salidas26[[#This Row],[PRECIO BARRA]])</f>
        <v>0</v>
      </c>
      <c r="K845" s="1" t="n">
        <v>250</v>
      </c>
      <c r="L845" s="1" t="s">
        <v>533</v>
      </c>
      <c r="M845" s="1" t="s">
        <v>603</v>
      </c>
    </row>
    <row r="846" customFormat="false" ht="15" hidden="false" customHeight="false" outlineLevel="0" collapsed="false">
      <c r="A846" s="1" t="n">
        <v>615</v>
      </c>
      <c r="B846" s="1" t="n">
        <v>1078</v>
      </c>
      <c r="C84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49LB-LF/10B</v>
      </c>
      <c r="D846" s="75" t="n">
        <v>46104</v>
      </c>
      <c r="E84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84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28</v>
      </c>
      <c r="G846" s="1" t="n">
        <v>1</v>
      </c>
      <c r="I846" s="1" t="n">
        <f aca="false">(salidas26[[#This Row],[CANT JUEGOS ]]*salidas26[[#This Row],[PRECIO JUEGO]])</f>
        <v>280</v>
      </c>
      <c r="J846" s="1" t="n">
        <f aca="false">(salidas26[[#This Row],[CANT BARRAS]]*salidas26[[#This Row],[PRECIO BARRA]])</f>
        <v>0</v>
      </c>
      <c r="M846" s="1" t="s">
        <v>546</v>
      </c>
    </row>
    <row r="847" customFormat="false" ht="15" hidden="false" customHeight="false" outlineLevel="0" collapsed="false">
      <c r="A847" s="1" t="n">
        <v>616</v>
      </c>
      <c r="B847" s="1" t="n">
        <v>3027</v>
      </c>
      <c r="C84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50U6600 5L/9B</v>
      </c>
      <c r="D847" s="75" t="n">
        <v>46104</v>
      </c>
      <c r="E84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84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31.1111111111111</v>
      </c>
      <c r="G847" s="1" t="n">
        <v>1</v>
      </c>
      <c r="I847" s="1" t="n">
        <f aca="false">(salidas26[[#This Row],[CANT JUEGOS ]]*salidas26[[#This Row],[PRECIO JUEGO]])</f>
        <v>280</v>
      </c>
      <c r="J847" s="1" t="n">
        <f aca="false">(salidas26[[#This Row],[CANT BARRAS]]*salidas26[[#This Row],[PRECIO BARRA]])</f>
        <v>0</v>
      </c>
      <c r="M847" s="1" t="s">
        <v>546</v>
      </c>
    </row>
    <row r="848" customFormat="false" ht="15" hidden="false" customHeight="false" outlineLevel="0" collapsed="false">
      <c r="A848" s="1" t="n">
        <v>617</v>
      </c>
      <c r="B848" s="1" t="n">
        <v>8123</v>
      </c>
      <c r="C84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3V/2W S/C  DIF. 180º</v>
      </c>
      <c r="D848" s="75" t="n">
        <v>46105</v>
      </c>
      <c r="E84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84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848" s="1" t="n">
        <v>50</v>
      </c>
      <c r="I848" s="1" t="n">
        <f aca="false">(salidas26[[#This Row],[CANT JUEGOS ]]*salidas26[[#This Row],[PRECIO JUEGO]])</f>
        <v>0</v>
      </c>
      <c r="J848" s="1" t="n">
        <f aca="false">(salidas26[[#This Row],[CANT BARRAS]]*salidas26[[#This Row],[PRECIO BARRA]])</f>
        <v>175</v>
      </c>
      <c r="K848" s="1" t="n">
        <v>175</v>
      </c>
      <c r="L848" s="1" t="s">
        <v>533</v>
      </c>
      <c r="M848" s="1" t="s">
        <v>503</v>
      </c>
    </row>
    <row r="849" customFormat="false" ht="15" hidden="false" customHeight="false" outlineLevel="0" collapsed="false">
      <c r="A849" s="1" t="n">
        <v>618</v>
      </c>
      <c r="B849" s="1" t="n">
        <v>6027</v>
      </c>
      <c r="C84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HISENSE K321UW/10B reemplazo 55 6L/3V/10B</v>
      </c>
      <c r="D849" s="75" t="n">
        <v>46105</v>
      </c>
      <c r="E84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84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28</v>
      </c>
      <c r="G849" s="1" t="n">
        <v>1</v>
      </c>
      <c r="I849" s="1" t="n">
        <f aca="false">(salidas26[[#This Row],[CANT JUEGOS ]]*salidas26[[#This Row],[PRECIO JUEGO]])</f>
        <v>280</v>
      </c>
      <c r="J849" s="1" t="n">
        <f aca="false">(salidas26[[#This Row],[CANT BARRAS]]*salidas26[[#This Row],[PRECIO BARRA]])</f>
        <v>0</v>
      </c>
      <c r="K849" s="1" t="n">
        <v>250</v>
      </c>
      <c r="L849" s="1" t="s">
        <v>502</v>
      </c>
      <c r="M849" s="1" t="s">
        <v>603</v>
      </c>
    </row>
    <row r="850" customFormat="false" ht="15" hidden="false" customHeight="false" outlineLevel="0" collapsed="false">
      <c r="A850" s="1" t="n">
        <v>619</v>
      </c>
      <c r="B850" s="1" t="n">
        <v>2075</v>
      </c>
      <c r="C85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UN55NU7100-UN55RU7100/2B EDGE</v>
      </c>
      <c r="D850" s="75" t="n">
        <v>46105</v>
      </c>
      <c r="E85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85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100</v>
      </c>
      <c r="G850" s="1" t="n">
        <v>1</v>
      </c>
      <c r="I850" s="1" t="n">
        <f aca="false">(salidas26[[#This Row],[CANT JUEGOS ]]*salidas26[[#This Row],[PRECIO JUEGO]])</f>
        <v>200</v>
      </c>
      <c r="J850" s="1" t="n">
        <f aca="false">(salidas26[[#This Row],[CANT BARRAS]]*salidas26[[#This Row],[PRECIO BARRA]])</f>
        <v>0</v>
      </c>
      <c r="K850" s="1" t="n">
        <v>190</v>
      </c>
      <c r="L850" s="1" t="s">
        <v>502</v>
      </c>
      <c r="M850" s="1" t="s">
        <v>603</v>
      </c>
    </row>
    <row r="851" customFormat="false" ht="15" hidden="false" customHeight="false" outlineLevel="0" collapsed="false">
      <c r="A851" s="1" t="n">
        <v>620</v>
      </c>
      <c r="B851" s="1" t="n">
        <v>8124</v>
      </c>
      <c r="C85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LUPA NORMAL 3V/2W S/C </v>
      </c>
      <c r="D851" s="75" t="n">
        <v>46105</v>
      </c>
      <c r="E85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85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851" s="1" t="n">
        <v>20</v>
      </c>
      <c r="I851" s="1" t="n">
        <f aca="false">(salidas26[[#This Row],[CANT JUEGOS ]]*salidas26[[#This Row],[PRECIO JUEGO]])</f>
        <v>0</v>
      </c>
      <c r="J851" s="1" t="n">
        <f aca="false">(salidas26[[#This Row],[CANT BARRAS]]*salidas26[[#This Row],[PRECIO BARRA]])</f>
        <v>70</v>
      </c>
      <c r="K851" s="1" t="n">
        <v>70</v>
      </c>
      <c r="L851" s="1" t="s">
        <v>502</v>
      </c>
      <c r="M851" s="1" t="s">
        <v>603</v>
      </c>
    </row>
    <row r="852" customFormat="false" ht="15" hidden="false" customHeight="false" outlineLevel="0" collapsed="false">
      <c r="A852" s="1" t="n">
        <v>621</v>
      </c>
      <c r="B852" s="1" t="n">
        <v>4009</v>
      </c>
      <c r="C85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43-DAEWO L43R630BKS/ 8B</v>
      </c>
      <c r="D852" s="75" t="n">
        <v>46105</v>
      </c>
      <c r="E85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85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852" s="1" t="n">
        <v>1</v>
      </c>
      <c r="I852" s="1" t="n">
        <f aca="false">(salidas26[[#This Row],[CANT JUEGOS ]]*salidas26[[#This Row],[PRECIO JUEGO]])</f>
        <v>160</v>
      </c>
      <c r="J852" s="1" t="n">
        <f aca="false">(salidas26[[#This Row],[CANT BARRAS]]*salidas26[[#This Row],[PRECIO BARRA]])</f>
        <v>0</v>
      </c>
      <c r="K852" s="1" t="n">
        <v>150</v>
      </c>
      <c r="L852" s="1" t="s">
        <v>502</v>
      </c>
      <c r="M852" s="1" t="s">
        <v>519</v>
      </c>
    </row>
    <row r="853" customFormat="false" ht="15" hidden="false" customHeight="false" outlineLevel="0" collapsed="false">
      <c r="A853" s="1" t="n">
        <v>622</v>
      </c>
      <c r="B853" s="1" t="n">
        <v>2024</v>
      </c>
      <c r="C85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UN43J5202/ 3 BARRAS/8L/3V</v>
      </c>
      <c r="D853" s="75" t="n">
        <v>46105</v>
      </c>
      <c r="E85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85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853" s="1" t="n">
        <v>1</v>
      </c>
      <c r="I853" s="1" t="n">
        <f aca="false">(salidas26[[#This Row],[CANT JUEGOS ]]*salidas26[[#This Row],[PRECIO JUEGO]])</f>
        <v>180</v>
      </c>
      <c r="J853" s="1" t="n">
        <f aca="false">(salidas26[[#This Row],[CANT BARRAS]]*salidas26[[#This Row],[PRECIO BARRA]])</f>
        <v>0</v>
      </c>
      <c r="K853" s="1" t="n">
        <v>180</v>
      </c>
      <c r="L853" s="1" t="s">
        <v>502</v>
      </c>
      <c r="M853" s="1" t="s">
        <v>505</v>
      </c>
    </row>
    <row r="854" customFormat="false" ht="15" hidden="false" customHeight="false" outlineLevel="0" collapsed="false">
      <c r="A854" s="1" t="n">
        <v>623</v>
      </c>
      <c r="B854" s="1" t="n">
        <v>6000</v>
      </c>
      <c r="C85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SKYWORTH 2B/6LED/3V </v>
      </c>
      <c r="D854" s="75" t="n">
        <v>46105</v>
      </c>
      <c r="E85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85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854" s="1" t="n">
        <v>1</v>
      </c>
      <c r="I854" s="1" t="n">
        <f aca="false">(salidas26[[#This Row],[CANT JUEGOS ]]*salidas26[[#This Row],[PRECIO JUEGO]])</f>
        <v>60</v>
      </c>
      <c r="J854" s="1" t="n">
        <f aca="false">(salidas26[[#This Row],[CANT BARRAS]]*salidas26[[#This Row],[PRECIO BARRA]])</f>
        <v>0</v>
      </c>
      <c r="K854" s="1" t="n">
        <v>60</v>
      </c>
      <c r="L854" s="1" t="s">
        <v>502</v>
      </c>
      <c r="M854" s="1" t="s">
        <v>725</v>
      </c>
    </row>
    <row r="855" customFormat="false" ht="15" hidden="false" customHeight="false" outlineLevel="0" collapsed="false">
      <c r="A855" s="1" t="n">
        <v>624</v>
      </c>
      <c r="B855" s="1" t="n">
        <v>2075</v>
      </c>
      <c r="C85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UN55NU7100-UN55RU7100/2B EDGE</v>
      </c>
      <c r="D855" s="75" t="n">
        <v>46105</v>
      </c>
      <c r="E85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85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100</v>
      </c>
      <c r="G855" s="1" t="n">
        <v>1</v>
      </c>
      <c r="I855" s="1" t="n">
        <f aca="false">(salidas26[[#This Row],[CANT JUEGOS ]]*salidas26[[#This Row],[PRECIO JUEGO]])</f>
        <v>200</v>
      </c>
      <c r="J855" s="1" t="n">
        <f aca="false">(salidas26[[#This Row],[CANT BARRAS]]*salidas26[[#This Row],[PRECIO BARRA]])</f>
        <v>0</v>
      </c>
      <c r="K855" s="1" t="n">
        <v>200</v>
      </c>
      <c r="L855" s="1" t="s">
        <v>533</v>
      </c>
      <c r="M855" s="1" t="s">
        <v>503</v>
      </c>
    </row>
    <row r="856" customFormat="false" ht="15" hidden="false" customHeight="false" outlineLevel="0" collapsed="false">
      <c r="A856" s="1" t="n">
        <v>626</v>
      </c>
      <c r="B856" s="1" t="n">
        <v>8015</v>
      </c>
      <c r="C85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856" s="75" t="n">
        <v>46105</v>
      </c>
      <c r="E85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85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856" s="1" t="n">
        <v>1</v>
      </c>
      <c r="I856" s="1" t="n">
        <f aca="false">(salidas26[[#This Row],[CANT JUEGOS ]]*salidas26[[#This Row],[PRECIO JUEGO]])</f>
        <v>60</v>
      </c>
      <c r="J856" s="1" t="n">
        <f aca="false">(salidas26[[#This Row],[CANT BARRAS]]*salidas26[[#This Row],[PRECIO BARRA]])</f>
        <v>0</v>
      </c>
      <c r="K856" s="1" t="n">
        <v>50</v>
      </c>
      <c r="L856" s="1" t="s">
        <v>502</v>
      </c>
      <c r="M856" s="1" t="s">
        <v>691</v>
      </c>
    </row>
    <row r="857" customFormat="false" ht="15" hidden="false" customHeight="false" outlineLevel="0" collapsed="false">
      <c r="A857" s="1" t="n">
        <v>627</v>
      </c>
      <c r="B857" s="1" t="n">
        <v>4021</v>
      </c>
      <c r="C85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DAEWOO LS50U1   8B/4L/3v</v>
      </c>
      <c r="D857" s="75" t="n">
        <v>46105</v>
      </c>
      <c r="E85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85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25</v>
      </c>
      <c r="H857" s="1" t="n">
        <v>6</v>
      </c>
      <c r="I857" s="1" t="n">
        <f aca="false">(salidas26[[#This Row],[CANT JUEGOS ]]*salidas26[[#This Row],[PRECIO JUEGO]])</f>
        <v>0</v>
      </c>
      <c r="J857" s="1" t="n">
        <f aca="false">(salidas26[[#This Row],[CANT BARRAS]]*salidas26[[#This Row],[PRECIO BARRA]])</f>
        <v>150</v>
      </c>
      <c r="K857" s="1" t="n">
        <v>150</v>
      </c>
      <c r="L857" s="1" t="s">
        <v>533</v>
      </c>
      <c r="M857" s="1" t="s">
        <v>719</v>
      </c>
    </row>
    <row r="858" customFormat="false" ht="15" hidden="false" customHeight="false" outlineLevel="0" collapsed="false">
      <c r="A858" s="1" t="n">
        <v>628</v>
      </c>
      <c r="B858" s="1" t="n">
        <v>2065</v>
      </c>
      <c r="C85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UN50AU/BU8000 2B EDGE</v>
      </c>
      <c r="D858" s="75" t="n">
        <v>46106</v>
      </c>
      <c r="E85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85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110</v>
      </c>
      <c r="G858" s="1" t="n">
        <v>1</v>
      </c>
      <c r="I858" s="1" t="n">
        <f aca="false">(salidas26[[#This Row],[CANT JUEGOS ]]*salidas26[[#This Row],[PRECIO JUEGO]])</f>
        <v>220</v>
      </c>
      <c r="J858" s="1" t="n">
        <f aca="false">(salidas26[[#This Row],[CANT BARRAS]]*salidas26[[#This Row],[PRECIO BARRA]])</f>
        <v>0</v>
      </c>
      <c r="K858" s="1" t="n">
        <v>200</v>
      </c>
      <c r="L858" s="1" t="s">
        <v>502</v>
      </c>
      <c r="M858" s="1" t="s">
        <v>508</v>
      </c>
    </row>
    <row r="859" customFormat="false" ht="15" hidden="false" customHeight="false" outlineLevel="0" collapsed="false">
      <c r="A859" s="1" t="n">
        <v>629</v>
      </c>
      <c r="B859" s="1" t="n">
        <v>2078</v>
      </c>
      <c r="C85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UN55NU7095G/9L/4B</v>
      </c>
      <c r="D859" s="75" t="n">
        <v>46106</v>
      </c>
      <c r="E85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85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62.5</v>
      </c>
      <c r="G859" s="1" t="n">
        <v>1</v>
      </c>
      <c r="H859" s="1" t="n">
        <v>1</v>
      </c>
      <c r="I859" s="1" t="n">
        <f aca="false">(salidas26[[#This Row],[CANT JUEGOS ]]*salidas26[[#This Row],[PRECIO JUEGO]])</f>
        <v>250</v>
      </c>
      <c r="J859" s="1" t="n">
        <f aca="false">(salidas26[[#This Row],[CANT BARRAS]]*salidas26[[#This Row],[PRECIO BARRA]])</f>
        <v>62.5</v>
      </c>
      <c r="K859" s="1" t="n">
        <v>300</v>
      </c>
      <c r="L859" s="1" t="s">
        <v>502</v>
      </c>
      <c r="M859" s="1" t="s">
        <v>614</v>
      </c>
    </row>
    <row r="860" customFormat="false" ht="15" hidden="false" customHeight="false" outlineLevel="0" collapsed="false">
      <c r="A860" s="1" t="n">
        <v>630</v>
      </c>
      <c r="B860" s="1" t="n">
        <v>8015</v>
      </c>
      <c r="C86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860" s="75" t="n">
        <v>46107</v>
      </c>
      <c r="E86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86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860" s="1" t="n">
        <v>1</v>
      </c>
      <c r="I860" s="1" t="n">
        <f aca="false">(salidas26[[#This Row],[CANT JUEGOS ]]*salidas26[[#This Row],[PRECIO JUEGO]])</f>
        <v>60</v>
      </c>
      <c r="J860" s="1" t="n">
        <f aca="false">(salidas26[[#This Row],[CANT BARRAS]]*salidas26[[#This Row],[PRECIO BARRA]])</f>
        <v>0</v>
      </c>
      <c r="K860" s="1" t="n">
        <v>50</v>
      </c>
      <c r="L860" s="1" t="s">
        <v>502</v>
      </c>
      <c r="M860" s="1" t="s">
        <v>726</v>
      </c>
    </row>
    <row r="861" customFormat="false" ht="15" hidden="false" customHeight="false" outlineLevel="0" collapsed="false">
      <c r="A861" s="1" t="n">
        <v>631</v>
      </c>
      <c r="B861" s="1" t="n">
        <v>1015</v>
      </c>
      <c r="C86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32LH500B-32LK500 3B/7L/3V</v>
      </c>
      <c r="D861" s="75" t="n">
        <v>46107</v>
      </c>
      <c r="E86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86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861" s="1" t="n">
        <v>1</v>
      </c>
      <c r="I861" s="1" t="n">
        <f aca="false">(salidas26[[#This Row],[CANT JUEGOS ]]*salidas26[[#This Row],[PRECIO JUEGO]])</f>
        <v>80</v>
      </c>
      <c r="J861" s="1" t="n">
        <f aca="false">(salidas26[[#This Row],[CANT BARRAS]]*salidas26[[#This Row],[PRECIO BARRA]])</f>
        <v>0</v>
      </c>
      <c r="K861" s="1" t="n">
        <v>80</v>
      </c>
      <c r="L861" s="1" t="s">
        <v>502</v>
      </c>
      <c r="M861" s="1" t="s">
        <v>726</v>
      </c>
    </row>
    <row r="862" customFormat="false" ht="15" hidden="false" customHeight="false" outlineLevel="0" collapsed="false">
      <c r="A862" s="1" t="n">
        <v>632</v>
      </c>
      <c r="B862" s="1" t="n">
        <v>1036</v>
      </c>
      <c r="C86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42LA6130-42LN5400  10B/3V</v>
      </c>
      <c r="D862" s="75" t="n">
        <v>46107</v>
      </c>
      <c r="E86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86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18</v>
      </c>
      <c r="G862" s="1" t="n">
        <v>1</v>
      </c>
      <c r="I862" s="1" t="n">
        <f aca="false">(salidas26[[#This Row],[CANT JUEGOS ]]*salidas26[[#This Row],[PRECIO JUEGO]])</f>
        <v>180</v>
      </c>
      <c r="J862" s="1" t="n">
        <f aca="false">(salidas26[[#This Row],[CANT BARRAS]]*salidas26[[#This Row],[PRECIO BARRA]])</f>
        <v>0</v>
      </c>
      <c r="K862" s="1" t="n">
        <v>180</v>
      </c>
      <c r="L862" s="1" t="s">
        <v>533</v>
      </c>
      <c r="M862" s="1" t="s">
        <v>519</v>
      </c>
    </row>
    <row r="863" customFormat="false" ht="15" hidden="false" customHeight="false" outlineLevel="0" collapsed="false">
      <c r="A863" s="1" t="n">
        <v>633</v>
      </c>
      <c r="B863" s="1" t="n">
        <v>7004</v>
      </c>
      <c r="C86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IRT LED4060SFHD 8L/3V/3B</v>
      </c>
      <c r="D863" s="75" t="n">
        <v>46107</v>
      </c>
      <c r="E86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86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863" s="1" t="n">
        <v>1</v>
      </c>
      <c r="I863" s="1" t="n">
        <f aca="false">(salidas26[[#This Row],[CANT JUEGOS ]]*salidas26[[#This Row],[PRECIO JUEGO]])</f>
        <v>150</v>
      </c>
      <c r="J863" s="1" t="n">
        <f aca="false">(salidas26[[#This Row],[CANT BARRAS]]*salidas26[[#This Row],[PRECIO BARRA]])</f>
        <v>0</v>
      </c>
      <c r="K863" s="1" t="n">
        <v>140</v>
      </c>
      <c r="L863" s="1" t="s">
        <v>502</v>
      </c>
      <c r="M863" s="1" t="s">
        <v>665</v>
      </c>
    </row>
    <row r="864" customFormat="false" ht="15" hidden="false" customHeight="false" outlineLevel="0" collapsed="false">
      <c r="A864" s="1" t="n">
        <v>634</v>
      </c>
      <c r="B864" s="1" t="n">
        <v>8015</v>
      </c>
      <c r="C86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864" s="75" t="n">
        <v>46107</v>
      </c>
      <c r="E86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86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864" s="1" t="n">
        <v>1</v>
      </c>
      <c r="I864" s="1" t="n">
        <f aca="false">(salidas26[[#This Row],[CANT JUEGOS ]]*salidas26[[#This Row],[PRECIO JUEGO]])</f>
        <v>60</v>
      </c>
      <c r="J864" s="1" t="n">
        <f aca="false">(salidas26[[#This Row],[CANT BARRAS]]*salidas26[[#This Row],[PRECIO BARRA]])</f>
        <v>0</v>
      </c>
      <c r="K864" s="1" t="n">
        <v>60</v>
      </c>
      <c r="L864" s="1" t="s">
        <v>502</v>
      </c>
      <c r="M864" s="1" t="s">
        <v>579</v>
      </c>
    </row>
    <row r="865" customFormat="false" ht="15" hidden="false" customHeight="false" outlineLevel="0" collapsed="false">
      <c r="A865" s="1" t="n">
        <v>635</v>
      </c>
      <c r="B865" s="1" t="n">
        <v>2090</v>
      </c>
      <c r="C86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UN58FH/12B</v>
      </c>
      <c r="D865" s="75" t="n">
        <v>46107</v>
      </c>
      <c r="E86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86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29.1666666666667</v>
      </c>
      <c r="G865" s="1" t="n">
        <v>1</v>
      </c>
      <c r="I865" s="1" t="n">
        <f aca="false">(salidas26[[#This Row],[CANT JUEGOS ]]*salidas26[[#This Row],[PRECIO JUEGO]])</f>
        <v>350</v>
      </c>
      <c r="J865" s="1" t="n">
        <f aca="false">(salidas26[[#This Row],[CANT BARRAS]]*salidas26[[#This Row],[PRECIO BARRA]])</f>
        <v>0</v>
      </c>
      <c r="M865" s="1" t="s">
        <v>727</v>
      </c>
    </row>
    <row r="866" customFormat="false" ht="15" hidden="false" customHeight="false" outlineLevel="0" collapsed="false">
      <c r="A866" s="1" t="n">
        <v>636</v>
      </c>
      <c r="B866" s="1" t="n">
        <v>8015</v>
      </c>
      <c r="C86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866" s="75" t="n">
        <v>46107</v>
      </c>
      <c r="E86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86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866" s="1" t="n">
        <v>1</v>
      </c>
      <c r="I866" s="1" t="n">
        <f aca="false">(salidas26[[#This Row],[CANT JUEGOS ]]*salidas26[[#This Row],[PRECIO JUEGO]])</f>
        <v>60</v>
      </c>
      <c r="J866" s="1" t="n">
        <f aca="false">(salidas26[[#This Row],[CANT BARRAS]]*salidas26[[#This Row],[PRECIO BARRA]])</f>
        <v>0</v>
      </c>
      <c r="K866" s="1" t="n">
        <v>60</v>
      </c>
      <c r="L866" s="1" t="s">
        <v>502</v>
      </c>
      <c r="M866" s="1" t="s">
        <v>507</v>
      </c>
    </row>
    <row r="867" customFormat="false" ht="15" hidden="false" customHeight="false" outlineLevel="0" collapsed="false">
      <c r="A867" s="1" t="n">
        <v>638</v>
      </c>
      <c r="B867" s="1" t="n">
        <v>1033</v>
      </c>
      <c r="C86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D867" s="75" t="n">
        <v>46107</v>
      </c>
      <c r="E86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86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867" s="1" t="n">
        <v>1</v>
      </c>
      <c r="I867" s="1" t="n">
        <f aca="false">(salidas26[[#This Row],[CANT JUEGOS ]]*salidas26[[#This Row],[PRECIO JUEGO]])</f>
        <v>180</v>
      </c>
      <c r="J867" s="1" t="n">
        <f aca="false">(salidas26[[#This Row],[CANT BARRAS]]*salidas26[[#This Row],[PRECIO BARRA]])</f>
        <v>0</v>
      </c>
      <c r="K867" s="1" t="n">
        <v>170</v>
      </c>
      <c r="L867" s="1" t="s">
        <v>502</v>
      </c>
      <c r="M867" s="1" t="s">
        <v>507</v>
      </c>
    </row>
    <row r="868" customFormat="false" ht="15" hidden="false" customHeight="false" outlineLevel="0" collapsed="false">
      <c r="A868" s="1" t="n">
        <v>639</v>
      </c>
      <c r="B868" s="1" t="n">
        <v>8081</v>
      </c>
      <c r="C86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CHINO 12L/3B- 4S55X</v>
      </c>
      <c r="D868" s="75" t="n">
        <v>46107</v>
      </c>
      <c r="E86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86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150</v>
      </c>
      <c r="G868" s="1" t="n">
        <v>1</v>
      </c>
      <c r="I868" s="1" t="n">
        <f aca="false">(salidas26[[#This Row],[CANT JUEGOS ]]*salidas26[[#This Row],[PRECIO JUEGO]])</f>
        <v>300</v>
      </c>
      <c r="J868" s="1" t="n">
        <f aca="false">(salidas26[[#This Row],[CANT BARRAS]]*salidas26[[#This Row],[PRECIO BARRA]])</f>
        <v>0</v>
      </c>
      <c r="K868" s="1" t="n">
        <v>280</v>
      </c>
      <c r="L868" s="1" t="s">
        <v>533</v>
      </c>
      <c r="M868" s="1" t="s">
        <v>728</v>
      </c>
    </row>
    <row r="869" customFormat="false" ht="15" hidden="false" customHeight="false" outlineLevel="0" collapsed="false">
      <c r="A869" s="1" t="n">
        <v>640</v>
      </c>
      <c r="B869" s="1" t="n">
        <v>6021</v>
      </c>
      <c r="C86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MASTERG 55U4700 - 55 TOSHIBA 8B/5-6L</v>
      </c>
      <c r="D869" s="75" t="n">
        <v>46107</v>
      </c>
      <c r="E86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86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37.5</v>
      </c>
      <c r="G869" s="1" t="n">
        <v>1</v>
      </c>
      <c r="I869" s="1" t="n">
        <f aca="false">(salidas26[[#This Row],[CANT JUEGOS ]]*salidas26[[#This Row],[PRECIO JUEGO]])</f>
        <v>300</v>
      </c>
      <c r="J869" s="1" t="n">
        <f aca="false">(salidas26[[#This Row],[CANT BARRAS]]*salidas26[[#This Row],[PRECIO BARRA]])</f>
        <v>0</v>
      </c>
      <c r="K869" s="1" t="n">
        <v>280</v>
      </c>
      <c r="L869" s="1" t="s">
        <v>533</v>
      </c>
      <c r="M869" s="1" t="s">
        <v>728</v>
      </c>
    </row>
    <row r="870" customFormat="false" ht="15" hidden="false" customHeight="false" outlineLevel="0" collapsed="false">
      <c r="A870" s="1" t="n">
        <v>641</v>
      </c>
      <c r="B870" s="1" t="n">
        <v>5002</v>
      </c>
      <c r="C87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PANASONIC 7L/3V/3B</v>
      </c>
      <c r="D870" s="75" t="n">
        <v>46107</v>
      </c>
      <c r="E87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87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870" s="1" t="n">
        <v>1</v>
      </c>
      <c r="I870" s="1" t="n">
        <f aca="false">(salidas26[[#This Row],[CANT JUEGOS ]]*salidas26[[#This Row],[PRECIO JUEGO]])</f>
        <v>90</v>
      </c>
      <c r="J870" s="1" t="n">
        <f aca="false">(salidas26[[#This Row],[CANT BARRAS]]*salidas26[[#This Row],[PRECIO BARRA]])</f>
        <v>0</v>
      </c>
      <c r="K870" s="1" t="n">
        <v>90</v>
      </c>
      <c r="L870" s="1" t="s">
        <v>502</v>
      </c>
      <c r="M870" s="1" t="s">
        <v>518</v>
      </c>
    </row>
    <row r="871" customFormat="false" ht="15" hidden="false" customHeight="false" outlineLevel="0" collapsed="false">
      <c r="A871" s="1" t="n">
        <v>642</v>
      </c>
      <c r="B871" s="1" t="n">
        <v>1000</v>
      </c>
      <c r="C87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LA -3B/3V/7-7L</v>
      </c>
      <c r="D871" s="75" t="n">
        <v>46107</v>
      </c>
      <c r="E87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87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871" s="1" t="n">
        <v>1</v>
      </c>
      <c r="I871" s="1" t="n">
        <f aca="false">(salidas26[[#This Row],[CANT JUEGOS ]]*salidas26[[#This Row],[PRECIO JUEGO]])</f>
        <v>80</v>
      </c>
      <c r="J871" s="1" t="n">
        <f aca="false">(salidas26[[#This Row],[CANT BARRAS]]*salidas26[[#This Row],[PRECIO BARRA]])</f>
        <v>0</v>
      </c>
      <c r="K871" s="1" t="n">
        <v>80</v>
      </c>
      <c r="L871" s="1" t="s">
        <v>502</v>
      </c>
      <c r="M871" s="1" t="s">
        <v>693</v>
      </c>
    </row>
    <row r="872" customFormat="false" ht="15" hidden="false" customHeight="false" outlineLevel="0" collapsed="false">
      <c r="A872" s="1" t="n">
        <v>643</v>
      </c>
      <c r="B872" s="1" t="n">
        <v>1012</v>
      </c>
      <c r="C87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32LB620B-32LF620B -3B/6V/6L</v>
      </c>
      <c r="D872" s="75" t="n">
        <v>46107</v>
      </c>
      <c r="E87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87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872" s="1" t="n">
        <v>1</v>
      </c>
      <c r="I872" s="1" t="n">
        <f aca="false">(salidas26[[#This Row],[CANT JUEGOS ]]*salidas26[[#This Row],[PRECIO JUEGO]])</f>
        <v>90</v>
      </c>
      <c r="J872" s="1" t="n">
        <f aca="false">(salidas26[[#This Row],[CANT BARRAS]]*salidas26[[#This Row],[PRECIO BARRA]])</f>
        <v>0</v>
      </c>
      <c r="K872" s="1" t="n">
        <v>90</v>
      </c>
      <c r="L872" s="1" t="s">
        <v>502</v>
      </c>
      <c r="M872" s="1" t="s">
        <v>563</v>
      </c>
    </row>
    <row r="873" customFormat="false" ht="15" hidden="false" customHeight="false" outlineLevel="0" collapsed="false">
      <c r="A873" s="1" t="n">
        <v>644</v>
      </c>
      <c r="B873" s="1" t="n">
        <v>8015</v>
      </c>
      <c r="C87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873" s="75" t="n">
        <v>46107</v>
      </c>
      <c r="E87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87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873" s="1" t="n">
        <v>1</v>
      </c>
      <c r="I873" s="1" t="n">
        <f aca="false">(salidas26[[#This Row],[CANT JUEGOS ]]*salidas26[[#This Row],[PRECIO JUEGO]])</f>
        <v>60</v>
      </c>
      <c r="J873" s="1" t="n">
        <f aca="false">(salidas26[[#This Row],[CANT BARRAS]]*salidas26[[#This Row],[PRECIO BARRA]])</f>
        <v>0</v>
      </c>
      <c r="K873" s="1" t="n">
        <v>60</v>
      </c>
      <c r="L873" s="1" t="s">
        <v>502</v>
      </c>
      <c r="M873" s="1" t="s">
        <v>573</v>
      </c>
    </row>
    <row r="874" customFormat="false" ht="15" hidden="false" customHeight="false" outlineLevel="0" collapsed="false">
      <c r="A874" s="1" t="n">
        <v>645</v>
      </c>
      <c r="B874" s="1" t="n">
        <v>4011</v>
      </c>
      <c r="C87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DAEWO L43V780BTS 3B/7LED/3V</v>
      </c>
      <c r="D874" s="75" t="n">
        <v>46107</v>
      </c>
      <c r="E87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87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874" s="1" t="n">
        <v>1</v>
      </c>
      <c r="I874" s="1" t="n">
        <f aca="false">(salidas26[[#This Row],[CANT JUEGOS ]]*salidas26[[#This Row],[PRECIO JUEGO]])</f>
        <v>160</v>
      </c>
      <c r="J874" s="1" t="n">
        <f aca="false">(salidas26[[#This Row],[CANT BARRAS]]*salidas26[[#This Row],[PRECIO BARRA]])</f>
        <v>0</v>
      </c>
      <c r="K874" s="1" t="n">
        <v>150</v>
      </c>
      <c r="L874" s="1" t="s">
        <v>502</v>
      </c>
      <c r="M874" s="1" t="s">
        <v>518</v>
      </c>
    </row>
    <row r="875" customFormat="false" ht="15" hidden="false" customHeight="false" outlineLevel="0" collapsed="false">
      <c r="A875" s="1" t="n">
        <v>646</v>
      </c>
      <c r="B875" s="1" t="n">
        <v>4021</v>
      </c>
      <c r="C87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DAEWOO LS50U1   8B/4L/3v</v>
      </c>
      <c r="D875" s="75" t="n">
        <v>46109</v>
      </c>
      <c r="E87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87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25</v>
      </c>
      <c r="G875" s="1" t="n">
        <v>1</v>
      </c>
      <c r="I875" s="1" t="n">
        <f aca="false">(salidas26[[#This Row],[CANT JUEGOS ]]*salidas26[[#This Row],[PRECIO JUEGO]])</f>
        <v>200</v>
      </c>
      <c r="J875" s="1" t="n">
        <f aca="false">(salidas26[[#This Row],[CANT BARRAS]]*salidas26[[#This Row],[PRECIO BARRA]])</f>
        <v>0</v>
      </c>
      <c r="K875" s="1" t="n">
        <v>200</v>
      </c>
      <c r="L875" s="1" t="s">
        <v>533</v>
      </c>
      <c r="M875" s="1" t="s">
        <v>603</v>
      </c>
    </row>
    <row r="876" customFormat="false" ht="15" hidden="false" customHeight="false" outlineLevel="0" collapsed="false">
      <c r="A876" s="1" t="n">
        <v>647</v>
      </c>
      <c r="B876" s="1" t="n">
        <v>1069</v>
      </c>
      <c r="C87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47LB6500- 8B/6V</v>
      </c>
      <c r="D876" s="75" t="n">
        <v>46109</v>
      </c>
      <c r="E87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87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31.25</v>
      </c>
      <c r="G876" s="1" t="n">
        <v>1</v>
      </c>
      <c r="I876" s="1" t="n">
        <f aca="false">(salidas26[[#This Row],[CANT JUEGOS ]]*salidas26[[#This Row],[PRECIO JUEGO]])</f>
        <v>250</v>
      </c>
      <c r="J876" s="1" t="n">
        <f aca="false">(salidas26[[#This Row],[CANT BARRAS]]*salidas26[[#This Row],[PRECIO BARRA]])</f>
        <v>0</v>
      </c>
      <c r="K876" s="1" t="n">
        <v>250</v>
      </c>
      <c r="L876" s="1" t="s">
        <v>502</v>
      </c>
      <c r="M876" s="1" t="s">
        <v>518</v>
      </c>
    </row>
    <row r="877" customFormat="false" ht="15" hidden="false" customHeight="false" outlineLevel="0" collapsed="false">
      <c r="A877" s="1" t="n">
        <v>648</v>
      </c>
      <c r="B877" s="1" t="n">
        <v>1138</v>
      </c>
      <c r="C87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55UJ6300-55LJ5500/10B</v>
      </c>
      <c r="D877" s="75" t="n">
        <v>46109</v>
      </c>
      <c r="E87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87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28</v>
      </c>
      <c r="G877" s="1" t="n">
        <v>1</v>
      </c>
      <c r="I877" s="1" t="n">
        <f aca="false">(salidas26[[#This Row],[CANT JUEGOS ]]*salidas26[[#This Row],[PRECIO JUEGO]])</f>
        <v>280</v>
      </c>
      <c r="J877" s="1" t="n">
        <f aca="false">(salidas26[[#This Row],[CANT BARRAS]]*salidas26[[#This Row],[PRECIO BARRA]])</f>
        <v>0</v>
      </c>
      <c r="K877" s="1" t="n">
        <v>280</v>
      </c>
      <c r="L877" s="1" t="s">
        <v>502</v>
      </c>
      <c r="M877" s="1" t="s">
        <v>729</v>
      </c>
    </row>
    <row r="878" customFormat="false" ht="15" hidden="false" customHeight="false" outlineLevel="0" collapsed="false">
      <c r="A878" s="1" t="n">
        <v>649</v>
      </c>
      <c r="B878" s="1" t="n">
        <v>8078</v>
      </c>
      <c r="C87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55/5LED/6V/8B</v>
      </c>
      <c r="D878" s="75" t="n">
        <v>46109</v>
      </c>
      <c r="E87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87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878" s="1" t="n">
        <v>1</v>
      </c>
      <c r="I878" s="1" t="n">
        <f aca="false">(salidas26[[#This Row],[CANT JUEGOS ]]*salidas26[[#This Row],[PRECIO JUEGO]])</f>
        <v>300</v>
      </c>
      <c r="J878" s="1" t="n">
        <f aca="false">(salidas26[[#This Row],[CANT BARRAS]]*salidas26[[#This Row],[PRECIO BARRA]])</f>
        <v>0</v>
      </c>
      <c r="K878" s="1" t="n">
        <v>250</v>
      </c>
      <c r="L878" s="1" t="s">
        <v>533</v>
      </c>
      <c r="M878" s="1" t="s">
        <v>503</v>
      </c>
    </row>
    <row r="879" customFormat="false" ht="15" hidden="false" customHeight="false" outlineLevel="0" collapsed="false">
      <c r="A879" s="1" t="n">
        <v>650</v>
      </c>
      <c r="B879" s="1" t="n">
        <v>6022</v>
      </c>
      <c r="C87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SKYWORTH SUC9350Pro /10L</v>
      </c>
      <c r="D879" s="75" t="n">
        <v>46108</v>
      </c>
      <c r="E87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87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70</v>
      </c>
      <c r="G879" s="1" t="n">
        <v>1</v>
      </c>
      <c r="I879" s="1" t="n">
        <f aca="false">(salidas26[[#This Row],[CANT JUEGOS ]]*salidas26[[#This Row],[PRECIO JUEGO]])</f>
        <v>350</v>
      </c>
      <c r="J879" s="1" t="n">
        <f aca="false">(salidas26[[#This Row],[CANT BARRAS]]*salidas26[[#This Row],[PRECIO BARRA]])</f>
        <v>0</v>
      </c>
      <c r="K879" s="1" t="n">
        <v>350</v>
      </c>
      <c r="L879" s="1" t="s">
        <v>533</v>
      </c>
      <c r="M879" s="1" t="s">
        <v>730</v>
      </c>
    </row>
    <row r="880" customFormat="false" ht="15" hidden="false" customHeight="false" outlineLevel="0" collapsed="false">
      <c r="A880" s="1" t="n">
        <v>651</v>
      </c>
      <c r="B880" s="1" t="n">
        <v>3000</v>
      </c>
      <c r="C88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32B8000 3B/10LED/3V </v>
      </c>
      <c r="D880" s="75" t="n">
        <v>46108</v>
      </c>
      <c r="E88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88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880" s="1" t="n">
        <v>1</v>
      </c>
      <c r="I880" s="1" t="n">
        <f aca="false">(salidas26[[#This Row],[CANT JUEGOS ]]*salidas26[[#This Row],[PRECIO JUEGO]])</f>
        <v>90</v>
      </c>
      <c r="J880" s="1" t="n">
        <f aca="false">(salidas26[[#This Row],[CANT BARRAS]]*salidas26[[#This Row],[PRECIO BARRA]])</f>
        <v>0</v>
      </c>
      <c r="K880" s="1" t="n">
        <v>72</v>
      </c>
      <c r="L880" s="1" t="s">
        <v>502</v>
      </c>
      <c r="M880" s="1" t="s">
        <v>534</v>
      </c>
    </row>
    <row r="881" customFormat="false" ht="31.3" hidden="false" customHeight="false" outlineLevel="0" collapsed="false">
      <c r="A881" s="1" t="n">
        <v>652</v>
      </c>
      <c r="B881" s="1" t="n">
        <v>8012</v>
      </c>
      <c r="C881" s="76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CHANCHONG CD1000 8L/3V/DIF. 180/3B 
32 CHANCHONG CD2000U 4B A 150 BS</v>
      </c>
      <c r="D881" s="75" t="n">
        <v>46108</v>
      </c>
      <c r="E88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100</v>
      </c>
      <c r="F88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881" s="1" t="n">
        <v>1</v>
      </c>
      <c r="I881" s="1" t="n">
        <f aca="false">(salidas26[[#This Row],[CANT JUEGOS ]]*salidas26[[#This Row],[PRECIO JUEGO]])</f>
        <v>100</v>
      </c>
      <c r="J881" s="1" t="n">
        <f aca="false">(salidas26[[#This Row],[CANT BARRAS]]*salidas26[[#This Row],[PRECIO BARRA]])</f>
        <v>0</v>
      </c>
      <c r="K881" s="1" t="n">
        <v>80</v>
      </c>
      <c r="L881" s="1" t="s">
        <v>502</v>
      </c>
      <c r="M881" s="1" t="s">
        <v>534</v>
      </c>
    </row>
    <row r="882" customFormat="false" ht="15" hidden="false" customHeight="false" outlineLevel="0" collapsed="false">
      <c r="A882" s="1" t="n">
        <v>653</v>
      </c>
      <c r="B882" s="1" t="n">
        <v>1121</v>
      </c>
      <c r="C88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LM8600</v>
      </c>
      <c r="D882" s="75" t="n">
        <v>46108</v>
      </c>
      <c r="E88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88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150</v>
      </c>
      <c r="G882" s="1" t="n">
        <v>1</v>
      </c>
      <c r="I882" s="1" t="n">
        <f aca="false">(salidas26[[#This Row],[CANT JUEGOS ]]*salidas26[[#This Row],[PRECIO JUEGO]])</f>
        <v>300</v>
      </c>
      <c r="J882" s="1" t="n">
        <f aca="false">(salidas26[[#This Row],[CANT BARRAS]]*salidas26[[#This Row],[PRECIO BARRA]])</f>
        <v>0</v>
      </c>
      <c r="K882" s="1" t="n">
        <v>176</v>
      </c>
      <c r="L882" s="1" t="s">
        <v>502</v>
      </c>
      <c r="M882" s="1" t="s">
        <v>534</v>
      </c>
    </row>
    <row r="883" customFormat="false" ht="15" hidden="false" customHeight="false" outlineLevel="0" collapsed="false">
      <c r="A883" s="1" t="n">
        <v>654</v>
      </c>
      <c r="B883" s="1" t="n">
        <v>7018</v>
      </c>
      <c r="C88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IRT 5L/3V KONKA- CROWN-TV5577SD/9L/9B</v>
      </c>
      <c r="D883" s="75" t="n">
        <v>46108</v>
      </c>
      <c r="E88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88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31.1111111111111</v>
      </c>
      <c r="G883" s="1" t="n">
        <v>1</v>
      </c>
      <c r="I883" s="1" t="n">
        <f aca="false">(salidas26[[#This Row],[CANT JUEGOS ]]*salidas26[[#This Row],[PRECIO JUEGO]])</f>
        <v>280</v>
      </c>
      <c r="J883" s="1" t="n">
        <f aca="false">(salidas26[[#This Row],[CANT BARRAS]]*salidas26[[#This Row],[PRECIO BARRA]])</f>
        <v>0</v>
      </c>
      <c r="K883" s="1" t="n">
        <v>224</v>
      </c>
      <c r="L883" s="1" t="s">
        <v>502</v>
      </c>
      <c r="M883" s="1" t="s">
        <v>534</v>
      </c>
    </row>
    <row r="884" customFormat="false" ht="15" hidden="false" customHeight="false" outlineLevel="0" collapsed="false">
      <c r="A884" s="1" t="n">
        <v>655</v>
      </c>
      <c r="B884" s="1" t="n">
        <v>6007</v>
      </c>
      <c r="C88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TB70000 SKYWORTH 3B</v>
      </c>
      <c r="D884" s="75" t="n">
        <v>46108</v>
      </c>
      <c r="E88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88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884" s="1" t="n">
        <v>1</v>
      </c>
      <c r="I884" s="1" t="n">
        <f aca="false">(salidas26[[#This Row],[CANT JUEGOS ]]*salidas26[[#This Row],[PRECIO JUEGO]])</f>
        <v>180</v>
      </c>
      <c r="J884" s="1" t="n">
        <f aca="false">(salidas26[[#This Row],[CANT BARRAS]]*salidas26[[#This Row],[PRECIO BARRA]])</f>
        <v>0</v>
      </c>
      <c r="K884" s="1" t="n">
        <v>144</v>
      </c>
      <c r="L884" s="1" t="s">
        <v>533</v>
      </c>
      <c r="M884" s="1" t="s">
        <v>534</v>
      </c>
    </row>
    <row r="885" customFormat="false" ht="15" hidden="false" customHeight="false" outlineLevel="0" collapsed="false">
      <c r="A885" s="1" t="n">
        <v>656</v>
      </c>
      <c r="B885" s="1" t="n">
        <v>1036</v>
      </c>
      <c r="C88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42LA6130-42LN5400  10B/3V</v>
      </c>
      <c r="D885" s="75" t="n">
        <v>46106</v>
      </c>
      <c r="E88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88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18</v>
      </c>
      <c r="G885" s="1" t="n">
        <v>1</v>
      </c>
      <c r="I885" s="1" t="n">
        <f aca="false">(salidas26[[#This Row],[CANT JUEGOS ]]*salidas26[[#This Row],[PRECIO JUEGO]])</f>
        <v>180</v>
      </c>
      <c r="J885" s="1" t="n">
        <f aca="false">(salidas26[[#This Row],[CANT BARRAS]]*salidas26[[#This Row],[PRECIO BARRA]])</f>
        <v>0</v>
      </c>
      <c r="K885" s="1" t="n">
        <v>144</v>
      </c>
      <c r="L885" s="1" t="s">
        <v>502</v>
      </c>
      <c r="M885" s="1" t="s">
        <v>534</v>
      </c>
    </row>
    <row r="886" customFormat="false" ht="15" hidden="false" customHeight="false" outlineLevel="0" collapsed="false">
      <c r="A886" s="1" t="n">
        <v>657</v>
      </c>
      <c r="B886" s="1" t="n">
        <v>6007</v>
      </c>
      <c r="C88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TB70000 SKYWORTH 3B</v>
      </c>
      <c r="D886" s="75" t="n">
        <v>46106</v>
      </c>
      <c r="E88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88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886" s="1" t="n">
        <v>1</v>
      </c>
      <c r="I886" s="1" t="n">
        <f aca="false">(salidas26[[#This Row],[CANT JUEGOS ]]*salidas26[[#This Row],[PRECIO JUEGO]])</f>
        <v>180</v>
      </c>
      <c r="J886" s="1" t="n">
        <f aca="false">(salidas26[[#This Row],[CANT BARRAS]]*salidas26[[#This Row],[PRECIO BARRA]])</f>
        <v>0</v>
      </c>
      <c r="K886" s="1" t="n">
        <v>144</v>
      </c>
      <c r="L886" s="1" t="s">
        <v>502</v>
      </c>
      <c r="M886" s="1" t="s">
        <v>534</v>
      </c>
    </row>
    <row r="887" customFormat="false" ht="15" hidden="false" customHeight="false" outlineLevel="0" collapsed="false">
      <c r="A887" s="1" t="n">
        <v>658</v>
      </c>
      <c r="B887" s="1" t="n">
        <v>1015</v>
      </c>
      <c r="C88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32LH500B-32LK500 3B/7L/3V</v>
      </c>
      <c r="D887" s="75" t="n">
        <v>46106</v>
      </c>
      <c r="E88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88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887" s="1" t="n">
        <v>1</v>
      </c>
      <c r="I887" s="1" t="n">
        <f aca="false">(salidas26[[#This Row],[CANT JUEGOS ]]*salidas26[[#This Row],[PRECIO JUEGO]])</f>
        <v>80</v>
      </c>
      <c r="J887" s="1" t="n">
        <f aca="false">(salidas26[[#This Row],[CANT BARRAS]]*salidas26[[#This Row],[PRECIO BARRA]])</f>
        <v>0</v>
      </c>
      <c r="K887" s="1" t="n">
        <v>64</v>
      </c>
      <c r="L887" s="1" t="s">
        <v>502</v>
      </c>
      <c r="M887" s="1" t="s">
        <v>534</v>
      </c>
    </row>
    <row r="888" customFormat="false" ht="15" hidden="false" customHeight="false" outlineLevel="0" collapsed="false">
      <c r="A888" s="1" t="n">
        <v>659</v>
      </c>
      <c r="B888" s="1" t="n">
        <v>2087</v>
      </c>
      <c r="C88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UN58NU7100 /2B EDGE</v>
      </c>
      <c r="D888" s="75" t="n">
        <v>46108</v>
      </c>
      <c r="E88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88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120</v>
      </c>
      <c r="G888" s="1" t="n">
        <v>1</v>
      </c>
      <c r="I888" s="1" t="n">
        <f aca="false">(salidas26[[#This Row],[CANT JUEGOS ]]*salidas26[[#This Row],[PRECIO JUEGO]])</f>
        <v>240</v>
      </c>
      <c r="J888" s="1" t="n">
        <f aca="false">(salidas26[[#This Row],[CANT BARRAS]]*salidas26[[#This Row],[PRECIO BARRA]])</f>
        <v>0</v>
      </c>
      <c r="K888" s="1" t="n">
        <v>200</v>
      </c>
      <c r="L888" s="1" t="s">
        <v>533</v>
      </c>
      <c r="M888" s="1" t="s">
        <v>709</v>
      </c>
    </row>
    <row r="889" customFormat="false" ht="15" hidden="false" customHeight="false" outlineLevel="0" collapsed="false">
      <c r="A889" s="1" t="n">
        <v>660</v>
      </c>
      <c r="B889" s="1" t="n">
        <v>8015</v>
      </c>
      <c r="C88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889" s="75" t="n">
        <v>46109</v>
      </c>
      <c r="E88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88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889" s="1" t="n">
        <v>2</v>
      </c>
      <c r="I889" s="1" t="n">
        <f aca="false">(salidas26[[#This Row],[CANT JUEGOS ]]*salidas26[[#This Row],[PRECIO JUEGO]])</f>
        <v>120</v>
      </c>
      <c r="J889" s="1" t="n">
        <f aca="false">(salidas26[[#This Row],[CANT BARRAS]]*salidas26[[#This Row],[PRECIO BARRA]])</f>
        <v>0</v>
      </c>
      <c r="K889" s="1" t="n">
        <v>100</v>
      </c>
      <c r="L889" s="1" t="s">
        <v>533</v>
      </c>
      <c r="M889" s="1" t="s">
        <v>511</v>
      </c>
    </row>
    <row r="890" customFormat="false" ht="15" hidden="false" customHeight="false" outlineLevel="0" collapsed="false">
      <c r="A890" s="1" t="n">
        <v>661</v>
      </c>
      <c r="B890" s="1" t="n">
        <v>6027</v>
      </c>
      <c r="C89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HISENSE K321UW/10B reemplazo 55 6L/3V/10B</v>
      </c>
      <c r="D890" s="75" t="n">
        <v>46109</v>
      </c>
      <c r="E89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89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28</v>
      </c>
      <c r="H890" s="1" t="n">
        <v>2</v>
      </c>
      <c r="I890" s="1" t="n">
        <f aca="false">(salidas26[[#This Row],[CANT JUEGOS ]]*salidas26[[#This Row],[PRECIO JUEGO]])</f>
        <v>0</v>
      </c>
      <c r="J890" s="1" t="n">
        <f aca="false">(salidas26[[#This Row],[CANT BARRAS]]*salidas26[[#This Row],[PRECIO BARRA]])</f>
        <v>56</v>
      </c>
      <c r="K890" s="1" t="n">
        <v>50</v>
      </c>
      <c r="L890" s="1" t="s">
        <v>533</v>
      </c>
      <c r="M890" s="1" t="s">
        <v>511</v>
      </c>
    </row>
    <row r="891" customFormat="false" ht="15" hidden="false" customHeight="false" outlineLevel="0" collapsed="false">
      <c r="A891" s="1" t="n">
        <v>662</v>
      </c>
      <c r="B891" s="1" t="n">
        <v>2087</v>
      </c>
      <c r="C89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UN58NU7100 /2B EDGE</v>
      </c>
      <c r="D891" s="75" t="n">
        <v>46109</v>
      </c>
      <c r="E89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89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120</v>
      </c>
      <c r="G891" s="1" t="n">
        <v>1</v>
      </c>
      <c r="I891" s="1" t="n">
        <f aca="false">(salidas26[[#This Row],[CANT JUEGOS ]]*salidas26[[#This Row],[PRECIO JUEGO]])</f>
        <v>240</v>
      </c>
      <c r="J891" s="1" t="n">
        <f aca="false">(salidas26[[#This Row],[CANT BARRAS]]*salidas26[[#This Row],[PRECIO BARRA]])</f>
        <v>0</v>
      </c>
      <c r="K891" s="1" t="n">
        <v>240</v>
      </c>
      <c r="L891" s="1" t="s">
        <v>533</v>
      </c>
      <c r="M891" s="1" t="s">
        <v>731</v>
      </c>
    </row>
    <row r="892" customFormat="false" ht="15" hidden="false" customHeight="false" outlineLevel="0" collapsed="false">
      <c r="A892" s="1" t="n">
        <v>663</v>
      </c>
      <c r="B892" s="1" t="n">
        <v>3033</v>
      </c>
      <c r="C89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55B8000 14B/2B DE 8L Y 12B DE 7L</v>
      </c>
      <c r="D892" s="75" t="n">
        <v>46111</v>
      </c>
      <c r="E89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320</v>
      </c>
      <c r="F89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22.8571428571429</v>
      </c>
      <c r="G892" s="1" t="n">
        <v>1</v>
      </c>
      <c r="I892" s="1" t="n">
        <f aca="false">(salidas26[[#This Row],[CANT JUEGOS ]]*salidas26[[#This Row],[PRECIO JUEGO]])</f>
        <v>320</v>
      </c>
      <c r="J892" s="1" t="n">
        <f aca="false">(salidas26[[#This Row],[CANT BARRAS]]*salidas26[[#This Row],[PRECIO BARRA]])</f>
        <v>0</v>
      </c>
      <c r="K892" s="1" t="n">
        <v>300</v>
      </c>
      <c r="L892" s="1" t="s">
        <v>502</v>
      </c>
      <c r="M892" s="1" t="s">
        <v>642</v>
      </c>
    </row>
    <row r="893" customFormat="false" ht="15" hidden="false" customHeight="false" outlineLevel="0" collapsed="false">
      <c r="A893" s="1" t="n">
        <v>664</v>
      </c>
      <c r="B893" s="1" t="n">
        <v>1138</v>
      </c>
      <c r="C89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55UJ6300-55LJ5500/10B</v>
      </c>
      <c r="D893" s="75" t="n">
        <v>46111</v>
      </c>
      <c r="E89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89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28</v>
      </c>
      <c r="G893" s="1" t="n">
        <v>1</v>
      </c>
      <c r="I893" s="1" t="n">
        <f aca="false">(salidas26[[#This Row],[CANT JUEGOS ]]*salidas26[[#This Row],[PRECIO JUEGO]])</f>
        <v>280</v>
      </c>
      <c r="J893" s="1" t="n">
        <f aca="false">(salidas26[[#This Row],[CANT BARRAS]]*salidas26[[#This Row],[PRECIO BARRA]])</f>
        <v>0</v>
      </c>
      <c r="K893" s="1" t="n">
        <v>280</v>
      </c>
      <c r="L893" s="1" t="s">
        <v>502</v>
      </c>
      <c r="M893" s="1" t="s">
        <v>503</v>
      </c>
    </row>
    <row r="894" customFormat="false" ht="15" hidden="false" customHeight="false" outlineLevel="0" collapsed="false">
      <c r="A894" s="1" t="n">
        <v>665</v>
      </c>
      <c r="B894" s="1" t="n">
        <v>2021</v>
      </c>
      <c r="C89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UN40F5000-F6400/14 B</v>
      </c>
      <c r="D894" s="75" t="n">
        <v>46111</v>
      </c>
      <c r="E89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89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18.5714285714286</v>
      </c>
      <c r="G894" s="1" t="n">
        <v>1</v>
      </c>
      <c r="I894" s="1" t="n">
        <f aca="false">(salidas26[[#This Row],[CANT JUEGOS ]]*salidas26[[#This Row],[PRECIO JUEGO]])</f>
        <v>260</v>
      </c>
      <c r="J894" s="1" t="n">
        <f aca="false">(salidas26[[#This Row],[CANT BARRAS]]*salidas26[[#This Row],[PRECIO BARRA]])</f>
        <v>0</v>
      </c>
      <c r="K894" s="1" t="n">
        <v>250</v>
      </c>
      <c r="L894" s="1" t="s">
        <v>502</v>
      </c>
      <c r="M894" s="1" t="s">
        <v>560</v>
      </c>
    </row>
    <row r="895" customFormat="false" ht="15" hidden="false" customHeight="false" outlineLevel="0" collapsed="false">
      <c r="A895" s="1" t="n">
        <v>666</v>
      </c>
      <c r="B895" s="1" t="n">
        <v>1102</v>
      </c>
      <c r="C89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50LA6200/12B/3V</v>
      </c>
      <c r="D895" s="75" t="n">
        <v>46111</v>
      </c>
      <c r="E89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89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23.3333333333333</v>
      </c>
      <c r="G895" s="1" t="n">
        <v>1</v>
      </c>
      <c r="I895" s="1" t="n">
        <f aca="false">(salidas26[[#This Row],[CANT JUEGOS ]]*salidas26[[#This Row],[PRECIO JUEGO]])</f>
        <v>280</v>
      </c>
      <c r="J895" s="1" t="n">
        <f aca="false">(salidas26[[#This Row],[CANT BARRAS]]*salidas26[[#This Row],[PRECIO BARRA]])</f>
        <v>0</v>
      </c>
      <c r="K895" s="1" t="n">
        <v>250</v>
      </c>
      <c r="L895" s="1" t="s">
        <v>502</v>
      </c>
      <c r="M895" s="1" t="s">
        <v>603</v>
      </c>
    </row>
    <row r="896" customFormat="false" ht="15" hidden="false" customHeight="false" outlineLevel="0" collapsed="false">
      <c r="A896" s="1" t="n">
        <v>667</v>
      </c>
      <c r="B896" s="1" t="n">
        <v>1121</v>
      </c>
      <c r="C89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LM8600</v>
      </c>
      <c r="D896" s="75" t="n">
        <v>46108</v>
      </c>
      <c r="E89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89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150</v>
      </c>
      <c r="G896" s="1" t="n">
        <v>1</v>
      </c>
      <c r="I896" s="1" t="n">
        <f aca="false">(salidas26[[#This Row],[CANT JUEGOS ]]*salidas26[[#This Row],[PRECIO JUEGO]])</f>
        <v>300</v>
      </c>
      <c r="J896" s="1" t="n">
        <f aca="false">(salidas26[[#This Row],[CANT BARRAS]]*salidas26[[#This Row],[PRECIO BARRA]])</f>
        <v>0</v>
      </c>
      <c r="M896" s="1" t="s">
        <v>732</v>
      </c>
    </row>
    <row r="897" customFormat="false" ht="15" hidden="false" customHeight="false" outlineLevel="0" collapsed="false">
      <c r="A897" s="1" t="n">
        <v>669</v>
      </c>
      <c r="B897" s="1" t="n">
        <v>6015</v>
      </c>
      <c r="C89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49L4700 TOSHIBA 4B/8L</v>
      </c>
      <c r="D897" s="75" t="n">
        <v>46111</v>
      </c>
      <c r="E89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89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897" s="1" t="n">
        <v>1</v>
      </c>
      <c r="I897" s="1" t="n">
        <f aca="false">(salidas26[[#This Row],[CANT JUEGOS ]]*salidas26[[#This Row],[PRECIO JUEGO]])</f>
        <v>220</v>
      </c>
      <c r="J897" s="1" t="n">
        <f aca="false">(salidas26[[#This Row],[CANT BARRAS]]*salidas26[[#This Row],[PRECIO BARRA]])</f>
        <v>0</v>
      </c>
      <c r="K897" s="1" t="n">
        <v>220</v>
      </c>
      <c r="L897" s="1" t="s">
        <v>502</v>
      </c>
      <c r="M897" s="1" t="s">
        <v>503</v>
      </c>
    </row>
    <row r="898" customFormat="false" ht="15" hidden="false" customHeight="false" outlineLevel="0" collapsed="false">
      <c r="A898" s="1" t="n">
        <v>670</v>
      </c>
      <c r="B898" s="1" t="n">
        <v>6012</v>
      </c>
      <c r="C89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 MASTER G/8B DAEWOO L49S780BTS</v>
      </c>
      <c r="D898" s="75" t="n">
        <v>46111</v>
      </c>
      <c r="E89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89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27.5</v>
      </c>
      <c r="G898" s="1" t="n">
        <v>1</v>
      </c>
      <c r="I898" s="1" t="n">
        <f aca="false">(salidas26[[#This Row],[CANT JUEGOS ]]*salidas26[[#This Row],[PRECIO JUEGO]])</f>
        <v>220</v>
      </c>
      <c r="J898" s="1" t="n">
        <f aca="false">(salidas26[[#This Row],[CANT BARRAS]]*salidas26[[#This Row],[PRECIO BARRA]])</f>
        <v>0</v>
      </c>
      <c r="K898" s="1" t="n">
        <v>210</v>
      </c>
      <c r="L898" s="1" t="s">
        <v>502</v>
      </c>
      <c r="M898" s="1" t="s">
        <v>579</v>
      </c>
    </row>
    <row r="899" customFormat="false" ht="15" hidden="false" customHeight="false" outlineLevel="0" collapsed="false">
      <c r="A899" s="1" t="n">
        <v>671</v>
      </c>
      <c r="B899" s="1" t="n">
        <v>4021</v>
      </c>
      <c r="C89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DAEWOO LS50U1   8B/4L/3v</v>
      </c>
      <c r="D899" s="75" t="n">
        <v>46111</v>
      </c>
      <c r="E89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89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25</v>
      </c>
      <c r="G899" s="1" t="n">
        <v>1</v>
      </c>
      <c r="H899" s="1" t="n">
        <v>2</v>
      </c>
      <c r="I899" s="1" t="n">
        <f aca="false">(salidas26[[#This Row],[CANT JUEGOS ]]*salidas26[[#This Row],[PRECIO JUEGO]])</f>
        <v>200</v>
      </c>
      <c r="J899" s="1" t="n">
        <f aca="false">(salidas26[[#This Row],[CANT BARRAS]]*salidas26[[#This Row],[PRECIO BARRA]])</f>
        <v>50</v>
      </c>
      <c r="K899" s="1" t="n">
        <v>50</v>
      </c>
      <c r="L899" s="1" t="s">
        <v>502</v>
      </c>
      <c r="M899" s="1" t="s">
        <v>719</v>
      </c>
    </row>
    <row r="900" customFormat="false" ht="15" hidden="false" customHeight="false" outlineLevel="0" collapsed="false">
      <c r="A900" s="1" t="n">
        <v>672</v>
      </c>
      <c r="B900" s="1" t="n">
        <v>4001</v>
      </c>
      <c r="C90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D2900 TCL</v>
      </c>
      <c r="D900" s="75" t="n">
        <v>46111</v>
      </c>
      <c r="E90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90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00" s="1" t="n">
        <v>1</v>
      </c>
      <c r="I900" s="1" t="n">
        <f aca="false">(salidas26[[#This Row],[CANT JUEGOS ]]*salidas26[[#This Row],[PRECIO JUEGO]])</f>
        <v>60</v>
      </c>
      <c r="J900" s="1" t="n">
        <f aca="false">(salidas26[[#This Row],[CANT BARRAS]]*salidas26[[#This Row],[PRECIO BARRA]])</f>
        <v>0</v>
      </c>
      <c r="K900" s="1" t="n">
        <v>50</v>
      </c>
      <c r="L900" s="1" t="s">
        <v>502</v>
      </c>
      <c r="M900" s="1" t="s">
        <v>573</v>
      </c>
    </row>
    <row r="901" customFormat="false" ht="15" hidden="false" customHeight="false" outlineLevel="0" collapsed="false">
      <c r="A901" s="1" t="n">
        <v>673</v>
      </c>
      <c r="B901" s="1" t="n">
        <v>1011</v>
      </c>
      <c r="C90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32LK540 6L/3V /2B</v>
      </c>
      <c r="D901" s="75" t="n">
        <v>46111</v>
      </c>
      <c r="E90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90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901" s="1" t="n">
        <v>1</v>
      </c>
      <c r="I901" s="1" t="n">
        <f aca="false">(salidas26[[#This Row],[CANT JUEGOS ]]*salidas26[[#This Row],[PRECIO JUEGO]])</f>
        <v>70</v>
      </c>
      <c r="J901" s="1" t="n">
        <f aca="false">(salidas26[[#This Row],[CANT BARRAS]]*salidas26[[#This Row],[PRECIO BARRA]])</f>
        <v>0</v>
      </c>
      <c r="K901" s="1" t="n">
        <v>60</v>
      </c>
      <c r="L901" s="1" t="s">
        <v>502</v>
      </c>
      <c r="M901" s="1" t="s">
        <v>733</v>
      </c>
    </row>
    <row r="902" customFormat="false" ht="15" hidden="false" customHeight="false" outlineLevel="0" collapsed="false">
      <c r="A902" s="1" t="n">
        <v>674</v>
      </c>
      <c r="B902" s="1" t="n">
        <v>3015</v>
      </c>
      <c r="C90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48M600 10B/8 - 8 LEDS/3V</v>
      </c>
      <c r="D902" s="75" t="n">
        <v>46111</v>
      </c>
      <c r="E90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90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</v>
      </c>
      <c r="G902" s="1" t="n">
        <v>1</v>
      </c>
      <c r="H902" s="1" t="n">
        <v>2</v>
      </c>
      <c r="I902" s="1" t="n">
        <f aca="false">(salidas26[[#This Row],[CANT JUEGOS ]]*salidas26[[#This Row],[PRECIO JUEGO]])</f>
        <v>260</v>
      </c>
      <c r="J902" s="1" t="n">
        <f aca="false">(salidas26[[#This Row],[CANT BARRAS]]*salidas26[[#This Row],[PRECIO BARRA]])</f>
        <v>52</v>
      </c>
      <c r="K902" s="1" t="n">
        <v>50</v>
      </c>
      <c r="L902" s="1" t="s">
        <v>502</v>
      </c>
      <c r="M902" s="1" t="s">
        <v>632</v>
      </c>
    </row>
    <row r="903" customFormat="false" ht="15" hidden="false" customHeight="false" outlineLevel="0" collapsed="false">
      <c r="A903" s="1" t="n">
        <v>675</v>
      </c>
      <c r="B903" s="1" t="n">
        <v>8068</v>
      </c>
      <c r="C90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3V/10L/4B</v>
      </c>
      <c r="D903" s="75" t="n">
        <v>46111</v>
      </c>
      <c r="E90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90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903" s="1" t="n">
        <v>1</v>
      </c>
      <c r="I903" s="1" t="n">
        <f aca="false">(salidas26[[#This Row],[CANT JUEGOS ]]*salidas26[[#This Row],[PRECIO JUEGO]])</f>
        <v>220</v>
      </c>
      <c r="J903" s="1" t="n">
        <f aca="false">(salidas26[[#This Row],[CANT BARRAS]]*salidas26[[#This Row],[PRECIO BARRA]])</f>
        <v>0</v>
      </c>
      <c r="K903" s="1" t="n">
        <v>200</v>
      </c>
      <c r="L903" s="1" t="s">
        <v>502</v>
      </c>
      <c r="M903" s="1" t="s">
        <v>560</v>
      </c>
    </row>
    <row r="904" customFormat="false" ht="15" hidden="false" customHeight="false" outlineLevel="0" collapsed="false">
      <c r="B904" s="1" t="n">
        <v>7004</v>
      </c>
      <c r="C90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IRT LED4060SFHD 8L/3V/3B</v>
      </c>
      <c r="D904" s="75" t="n">
        <v>46111</v>
      </c>
      <c r="E90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90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904" s="1" t="n">
        <v>3</v>
      </c>
      <c r="I904" s="1" t="n">
        <f aca="false">(salidas26[[#This Row],[CANT JUEGOS ]]*salidas26[[#This Row],[PRECIO JUEGO]])</f>
        <v>450</v>
      </c>
      <c r="J904" s="1" t="n">
        <f aca="false">(salidas26[[#This Row],[CANT BARRAS]]*salidas26[[#This Row],[PRECIO BARRA]])</f>
        <v>0</v>
      </c>
      <c r="M904" s="1" t="s">
        <v>712</v>
      </c>
    </row>
    <row r="905" customFormat="false" ht="15" hidden="false" customHeight="false" outlineLevel="0" collapsed="false">
      <c r="B905" s="1" t="n">
        <v>6000</v>
      </c>
      <c r="C90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SKYWORTH 2B/6LED/3V </v>
      </c>
      <c r="D905" s="75" t="n">
        <v>46111</v>
      </c>
      <c r="E90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90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05" s="1" t="n">
        <v>1</v>
      </c>
      <c r="I905" s="1" t="n">
        <f aca="false">(salidas26[[#This Row],[CANT JUEGOS ]]*salidas26[[#This Row],[PRECIO JUEGO]])</f>
        <v>60</v>
      </c>
      <c r="J905" s="1" t="n">
        <f aca="false">(salidas26[[#This Row],[CANT BARRAS]]*salidas26[[#This Row],[PRECIO BARRA]])</f>
        <v>0</v>
      </c>
      <c r="M905" s="1" t="s">
        <v>712</v>
      </c>
    </row>
    <row r="906" customFormat="false" ht="31.3" hidden="false" customHeight="false" outlineLevel="0" collapsed="false">
      <c r="B906" s="1" t="n">
        <v>8012</v>
      </c>
      <c r="C906" s="76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CHANCHONG CD1000 8L/3V/DIF. 180/3B 
32 CHANCHONG CD2000U 4B A 150 BS</v>
      </c>
      <c r="D906" s="75" t="n">
        <v>46111</v>
      </c>
      <c r="E90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100</v>
      </c>
      <c r="F90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906" s="1" t="n">
        <v>3</v>
      </c>
      <c r="I906" s="1" t="n">
        <f aca="false">(salidas26[[#This Row],[CANT JUEGOS ]]*salidas26[[#This Row],[PRECIO JUEGO]])</f>
        <v>300</v>
      </c>
      <c r="J906" s="1" t="n">
        <f aca="false">(salidas26[[#This Row],[CANT BARRAS]]*salidas26[[#This Row],[PRECIO BARRA]])</f>
        <v>0</v>
      </c>
      <c r="M906" s="1" t="s">
        <v>734</v>
      </c>
    </row>
    <row r="907" customFormat="false" ht="15" hidden="false" customHeight="false" outlineLevel="0" collapsed="false">
      <c r="B907" s="1" t="n">
        <v>7002</v>
      </c>
      <c r="C90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F1000 KONKA 6L/LED3250HDD/CRONW TV3277D IRT</v>
      </c>
      <c r="D907" s="75" t="n">
        <v>46111</v>
      </c>
      <c r="E90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90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907" s="1" t="n">
        <v>2</v>
      </c>
      <c r="I907" s="1" t="n">
        <f aca="false">(salidas26[[#This Row],[CANT JUEGOS ]]*salidas26[[#This Row],[PRECIO JUEGO]])</f>
        <v>140</v>
      </c>
      <c r="J907" s="1" t="n">
        <f aca="false">(salidas26[[#This Row],[CANT BARRAS]]*salidas26[[#This Row],[PRECIO BARRA]])</f>
        <v>0</v>
      </c>
      <c r="M907" s="1" t="s">
        <v>712</v>
      </c>
    </row>
    <row r="908" customFormat="false" ht="15" hidden="false" customHeight="false" outlineLevel="0" collapsed="false">
      <c r="A908" s="1" t="n">
        <v>676</v>
      </c>
      <c r="B908" s="1" t="n">
        <v>1081</v>
      </c>
      <c r="C90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49LF5400 2B EL JUEGO </v>
      </c>
      <c r="D908" s="75" t="n">
        <v>46111</v>
      </c>
      <c r="E90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90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100</v>
      </c>
      <c r="G908" s="1" t="n">
        <v>1</v>
      </c>
      <c r="I908" s="1" t="n">
        <f aca="false">(salidas26[[#This Row],[CANT JUEGOS ]]*salidas26[[#This Row],[PRECIO JUEGO]])</f>
        <v>200</v>
      </c>
      <c r="J908" s="1" t="n">
        <f aca="false">(salidas26[[#This Row],[CANT BARRAS]]*salidas26[[#This Row],[PRECIO BARRA]])</f>
        <v>0</v>
      </c>
      <c r="K908" s="1" t="n">
        <v>160</v>
      </c>
      <c r="L908" s="1" t="s">
        <v>502</v>
      </c>
      <c r="M908" s="1" t="s">
        <v>534</v>
      </c>
    </row>
    <row r="909" customFormat="false" ht="15" hidden="false" customHeight="false" outlineLevel="0" collapsed="false">
      <c r="A909" s="1" t="n">
        <v>677</v>
      </c>
      <c r="B909" s="1" t="n">
        <v>7002</v>
      </c>
      <c r="C90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F1000 KONKA 6L/LED3250HDD/CRONW TV3277D IRT</v>
      </c>
      <c r="D909" s="75" t="n">
        <v>46111</v>
      </c>
      <c r="E90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90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909" s="1" t="n">
        <v>2</v>
      </c>
      <c r="I909" s="1" t="n">
        <f aca="false">(salidas26[[#This Row],[CANT JUEGOS ]]*salidas26[[#This Row],[PRECIO JUEGO]])</f>
        <v>140</v>
      </c>
      <c r="J909" s="1" t="n">
        <f aca="false">(salidas26[[#This Row],[CANT BARRAS]]*salidas26[[#This Row],[PRECIO BARRA]])</f>
        <v>0</v>
      </c>
      <c r="K909" s="1" t="n">
        <v>112</v>
      </c>
      <c r="L909" s="1" t="s">
        <v>502</v>
      </c>
      <c r="M909" s="1" t="s">
        <v>534</v>
      </c>
    </row>
    <row r="910" customFormat="false" ht="15" hidden="false" customHeight="false" outlineLevel="0" collapsed="false">
      <c r="A910" s="1" t="n">
        <v>678</v>
      </c>
      <c r="B910" s="1" t="n">
        <v>1120</v>
      </c>
      <c r="C91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55LM6200/2B</v>
      </c>
      <c r="D910" s="75" t="n">
        <v>46111</v>
      </c>
      <c r="E91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91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110</v>
      </c>
      <c r="G910" s="1" t="n">
        <v>1</v>
      </c>
      <c r="I910" s="1" t="n">
        <f aca="false">(salidas26[[#This Row],[CANT JUEGOS ]]*salidas26[[#This Row],[PRECIO JUEGO]])</f>
        <v>220</v>
      </c>
      <c r="J910" s="1" t="n">
        <f aca="false">(salidas26[[#This Row],[CANT BARRAS]]*salidas26[[#This Row],[PRECIO BARRA]])</f>
        <v>0</v>
      </c>
      <c r="K910" s="1" t="n">
        <v>176</v>
      </c>
      <c r="L910" s="1" t="s">
        <v>502</v>
      </c>
      <c r="M910" s="1" t="s">
        <v>534</v>
      </c>
    </row>
    <row r="911" customFormat="false" ht="15" hidden="false" customHeight="false" outlineLevel="0" collapsed="false">
      <c r="A911" s="1" t="n">
        <v>679</v>
      </c>
      <c r="B911" s="1" t="n">
        <v>8068</v>
      </c>
      <c r="C91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3V/10L/4B</v>
      </c>
      <c r="D911" s="75" t="n">
        <v>46112</v>
      </c>
      <c r="E91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91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911" s="1" t="n">
        <v>1</v>
      </c>
      <c r="I911" s="1" t="n">
        <f aca="false">(salidas26[[#This Row],[CANT JUEGOS ]]*salidas26[[#This Row],[PRECIO JUEGO]])</f>
        <v>220</v>
      </c>
      <c r="J911" s="1" t="n">
        <f aca="false">(salidas26[[#This Row],[CANT BARRAS]]*salidas26[[#This Row],[PRECIO BARRA]])</f>
        <v>0</v>
      </c>
      <c r="K911" s="1" t="n">
        <v>200</v>
      </c>
      <c r="L911" s="1" t="s">
        <v>502</v>
      </c>
      <c r="M911" s="1" t="s">
        <v>503</v>
      </c>
    </row>
    <row r="912" customFormat="false" ht="15" hidden="false" customHeight="false" outlineLevel="0" collapsed="false">
      <c r="B912" s="1" t="n">
        <v>2078</v>
      </c>
      <c r="C91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UN55NU7095G/9L/4B</v>
      </c>
      <c r="D912" s="75" t="n">
        <v>46112</v>
      </c>
      <c r="E91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91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62.5</v>
      </c>
      <c r="G912" s="1" t="n">
        <v>1</v>
      </c>
      <c r="H912" s="1" t="n">
        <v>1</v>
      </c>
      <c r="I912" s="1" t="n">
        <f aca="false">(salidas26[[#This Row],[CANT JUEGOS ]]*salidas26[[#This Row],[PRECIO JUEGO]])</f>
        <v>250</v>
      </c>
      <c r="J912" s="1" t="n">
        <f aca="false">(salidas26[[#This Row],[CANT BARRAS]]*salidas26[[#This Row],[PRECIO BARRA]])</f>
        <v>62.5</v>
      </c>
      <c r="K912" s="1" t="n">
        <v>50</v>
      </c>
      <c r="L912" s="1" t="s">
        <v>533</v>
      </c>
      <c r="M912" s="1" t="s">
        <v>735</v>
      </c>
    </row>
    <row r="913" customFormat="false" ht="15" hidden="false" customHeight="false" outlineLevel="0" collapsed="false">
      <c r="A913" s="1" t="n">
        <v>680</v>
      </c>
      <c r="B913" s="1" t="n">
        <v>2078</v>
      </c>
      <c r="C91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UN55NU7095G/9L/4B</v>
      </c>
      <c r="D913" s="75" t="n">
        <v>46112</v>
      </c>
      <c r="E91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91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62.5</v>
      </c>
      <c r="G913" s="1" t="n">
        <v>1</v>
      </c>
      <c r="I913" s="1" t="n">
        <f aca="false">(salidas26[[#This Row],[CANT JUEGOS ]]*salidas26[[#This Row],[PRECIO JUEGO]])</f>
        <v>250</v>
      </c>
      <c r="J913" s="1" t="n">
        <f aca="false">(salidas26[[#This Row],[CANT BARRAS]]*salidas26[[#This Row],[PRECIO BARRA]])</f>
        <v>0</v>
      </c>
      <c r="K913" s="1" t="n">
        <v>250</v>
      </c>
      <c r="L913" s="1" t="s">
        <v>533</v>
      </c>
      <c r="M913" s="1" t="s">
        <v>511</v>
      </c>
    </row>
    <row r="914" customFormat="false" ht="15" hidden="false" customHeight="false" outlineLevel="0" collapsed="false">
      <c r="A914" s="1" t="n">
        <v>681</v>
      </c>
      <c r="B914" s="1" t="n">
        <v>2039</v>
      </c>
      <c r="C91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UN48H4200/8B</v>
      </c>
      <c r="D914" s="75" t="n">
        <v>46112</v>
      </c>
      <c r="E91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91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914" s="1" t="n">
        <v>1</v>
      </c>
      <c r="I914" s="1" t="n">
        <f aca="false">(salidas26[[#This Row],[CANT JUEGOS ]]*salidas26[[#This Row],[PRECIO JUEGO]])</f>
        <v>280</v>
      </c>
      <c r="J914" s="1" t="n">
        <f aca="false">(salidas26[[#This Row],[CANT BARRAS]]*salidas26[[#This Row],[PRECIO BARRA]])</f>
        <v>0</v>
      </c>
      <c r="K914" s="1" t="n">
        <v>260</v>
      </c>
      <c r="L914" s="1" t="s">
        <v>533</v>
      </c>
      <c r="M914" s="1" t="s">
        <v>511</v>
      </c>
    </row>
    <row r="915" customFormat="false" ht="15" hidden="false" customHeight="false" outlineLevel="0" collapsed="false">
      <c r="A915" s="1" t="n">
        <v>682</v>
      </c>
      <c r="B915" s="1" t="n">
        <v>3001</v>
      </c>
      <c r="C91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32B7000 3B/10LED/3V DOBLE CONECTOR</v>
      </c>
      <c r="D915" s="75" t="n">
        <v>46112</v>
      </c>
      <c r="E91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100</v>
      </c>
      <c r="F91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915" s="1" t="n">
        <v>1</v>
      </c>
      <c r="I915" s="1" t="n">
        <f aca="false">(salidas26[[#This Row],[CANT JUEGOS ]]*salidas26[[#This Row],[PRECIO JUEGO]])</f>
        <v>100</v>
      </c>
      <c r="J915" s="1" t="n">
        <f aca="false">(salidas26[[#This Row],[CANT BARRAS]]*salidas26[[#This Row],[PRECIO BARRA]])</f>
        <v>0</v>
      </c>
      <c r="K915" s="1" t="n">
        <v>100</v>
      </c>
      <c r="L915" s="1" t="s">
        <v>502</v>
      </c>
      <c r="M915" s="1" t="s">
        <v>503</v>
      </c>
    </row>
    <row r="916" customFormat="false" ht="15" hidden="false" customHeight="false" outlineLevel="0" collapsed="false">
      <c r="A916" s="1" t="n">
        <v>683</v>
      </c>
      <c r="B916" s="1" t="n">
        <v>3003</v>
      </c>
      <c r="C91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40B8000 4B/12LED/3V</v>
      </c>
      <c r="D916" s="75" t="n">
        <v>46112</v>
      </c>
      <c r="E91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91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916" s="1" t="n">
        <v>1</v>
      </c>
      <c r="I916" s="1" t="n">
        <f aca="false">(salidas26[[#This Row],[CANT JUEGOS ]]*salidas26[[#This Row],[PRECIO JUEGO]])</f>
        <v>160</v>
      </c>
      <c r="J916" s="1" t="n">
        <f aca="false">(salidas26[[#This Row],[CANT BARRAS]]*salidas26[[#This Row],[PRECIO BARRA]])</f>
        <v>0</v>
      </c>
      <c r="K916" s="1" t="n">
        <v>160</v>
      </c>
      <c r="L916" s="1" t="s">
        <v>533</v>
      </c>
      <c r="M916" s="1" t="s">
        <v>503</v>
      </c>
    </row>
    <row r="917" customFormat="false" ht="15" hidden="false" customHeight="false" outlineLevel="0" collapsed="false">
      <c r="A917" s="1" t="n">
        <v>684</v>
      </c>
      <c r="B917" s="1" t="n">
        <v>3015</v>
      </c>
      <c r="C91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48M600 10B/8 - 8 LEDS/3V</v>
      </c>
      <c r="D917" s="75" t="n">
        <v>46112</v>
      </c>
      <c r="E91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91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</v>
      </c>
      <c r="G917" s="1" t="n">
        <v>1</v>
      </c>
      <c r="I917" s="1" t="n">
        <f aca="false">(salidas26[[#This Row],[CANT JUEGOS ]]*salidas26[[#This Row],[PRECIO JUEGO]])</f>
        <v>260</v>
      </c>
      <c r="J917" s="1" t="n">
        <f aca="false">(salidas26[[#This Row],[CANT BARRAS]]*salidas26[[#This Row],[PRECIO BARRA]])</f>
        <v>0</v>
      </c>
      <c r="K917" s="1" t="n">
        <v>250</v>
      </c>
      <c r="L917" s="1" t="s">
        <v>533</v>
      </c>
      <c r="M917" s="1" t="s">
        <v>503</v>
      </c>
    </row>
    <row r="918" customFormat="false" ht="15" hidden="false" customHeight="false" outlineLevel="0" collapsed="false">
      <c r="A918" s="1" t="n">
        <v>685</v>
      </c>
      <c r="B918" s="1" t="n">
        <v>8015</v>
      </c>
      <c r="C91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918" s="75" t="n">
        <v>46112</v>
      </c>
      <c r="E91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91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18" s="1" t="n">
        <v>2</v>
      </c>
      <c r="I918" s="1" t="n">
        <f aca="false">(salidas26[[#This Row],[CANT JUEGOS ]]*salidas26[[#This Row],[PRECIO JUEGO]])</f>
        <v>120</v>
      </c>
      <c r="J918" s="1" t="n">
        <f aca="false">(salidas26[[#This Row],[CANT BARRAS]]*salidas26[[#This Row],[PRECIO BARRA]])</f>
        <v>0</v>
      </c>
      <c r="K918" s="1" t="n">
        <v>96</v>
      </c>
      <c r="L918" s="1" t="s">
        <v>533</v>
      </c>
      <c r="M918" s="1" t="s">
        <v>534</v>
      </c>
    </row>
    <row r="919" customFormat="false" ht="31.3" hidden="false" customHeight="false" outlineLevel="0" collapsed="false">
      <c r="A919" s="1" t="n">
        <v>686</v>
      </c>
      <c r="B919" s="1" t="n">
        <v>8012</v>
      </c>
      <c r="C919" s="76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CHANCHONG CD1000 8L/3V/DIF. 180/3B 
32 CHANCHONG CD2000U 4B A 150 BS</v>
      </c>
      <c r="D919" s="75" t="n">
        <v>46112</v>
      </c>
      <c r="E91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100</v>
      </c>
      <c r="F91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919" s="1" t="n">
        <v>2</v>
      </c>
      <c r="I919" s="1" t="n">
        <f aca="false">(salidas26[[#This Row],[CANT JUEGOS ]]*salidas26[[#This Row],[PRECIO JUEGO]])</f>
        <v>200</v>
      </c>
      <c r="J919" s="1" t="n">
        <f aca="false">(salidas26[[#This Row],[CANT BARRAS]]*salidas26[[#This Row],[PRECIO BARRA]])</f>
        <v>0</v>
      </c>
      <c r="K919" s="1" t="n">
        <v>160</v>
      </c>
      <c r="L919" s="1" t="s">
        <v>533</v>
      </c>
      <c r="M919" s="1" t="s">
        <v>534</v>
      </c>
    </row>
    <row r="920" customFormat="false" ht="15" hidden="false" customHeight="false" outlineLevel="0" collapsed="false">
      <c r="A920" s="1" t="n">
        <v>687</v>
      </c>
      <c r="B920" s="1" t="n">
        <v>6009</v>
      </c>
      <c r="C92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L4700 TOSHIBA/6B (180 Bs) -43UJ-6200/LG/8B (200 BS)</v>
      </c>
      <c r="D920" s="75" t="n">
        <v>46112</v>
      </c>
      <c r="E92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92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H920" s="1" t="n">
        <v>6</v>
      </c>
      <c r="I920" s="1" t="n">
        <f aca="false">(salidas26[[#This Row],[CANT JUEGOS ]]*salidas26[[#This Row],[PRECIO JUEGO]])</f>
        <v>0</v>
      </c>
      <c r="J920" s="1" t="n">
        <f aca="false">(salidas26[[#This Row],[CANT BARRAS]]*salidas26[[#This Row],[PRECIO BARRA]])</f>
        <v>135</v>
      </c>
      <c r="K920" s="1" t="n">
        <v>144</v>
      </c>
      <c r="L920" s="1" t="s">
        <v>533</v>
      </c>
      <c r="M920" s="1" t="s">
        <v>534</v>
      </c>
    </row>
    <row r="921" customFormat="false" ht="15" hidden="false" customHeight="false" outlineLevel="0" collapsed="false">
      <c r="A921" s="1" t="n">
        <v>688</v>
      </c>
      <c r="B921" s="1" t="n">
        <v>7002</v>
      </c>
      <c r="C92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F1000 KONKA 6L/LED3250HDD/CRONW TV3277D IRT</v>
      </c>
      <c r="D921" s="75" t="n">
        <v>46112</v>
      </c>
      <c r="E92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92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921" s="1" t="n">
        <v>1</v>
      </c>
      <c r="I921" s="1" t="n">
        <f aca="false">(salidas26[[#This Row],[CANT JUEGOS ]]*salidas26[[#This Row],[PRECIO JUEGO]])</f>
        <v>70</v>
      </c>
      <c r="J921" s="1" t="n">
        <f aca="false">(salidas26[[#This Row],[CANT BARRAS]]*salidas26[[#This Row],[PRECIO BARRA]])</f>
        <v>0</v>
      </c>
      <c r="K921" s="1" t="n">
        <v>56</v>
      </c>
      <c r="L921" s="1" t="s">
        <v>533</v>
      </c>
      <c r="M921" s="1" t="s">
        <v>534</v>
      </c>
    </row>
    <row r="922" customFormat="false" ht="15" hidden="false" customHeight="false" outlineLevel="0" collapsed="false">
      <c r="A922" s="1" t="n">
        <v>689</v>
      </c>
      <c r="B922" s="1" t="n">
        <v>2075</v>
      </c>
      <c r="C92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UN55NU7100-UN55RU7100/2B EDGE</v>
      </c>
      <c r="D922" s="75" t="n">
        <v>46112</v>
      </c>
      <c r="E92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92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100</v>
      </c>
      <c r="G922" s="1" t="n">
        <v>1</v>
      </c>
      <c r="I922" s="1" t="n">
        <f aca="false">(salidas26[[#This Row],[CANT JUEGOS ]]*salidas26[[#This Row],[PRECIO JUEGO]])</f>
        <v>200</v>
      </c>
      <c r="J922" s="1" t="n">
        <f aca="false">(salidas26[[#This Row],[CANT BARRAS]]*salidas26[[#This Row],[PRECIO BARRA]])</f>
        <v>0</v>
      </c>
      <c r="K922" s="1" t="n">
        <v>200</v>
      </c>
      <c r="L922" s="1" t="s">
        <v>502</v>
      </c>
      <c r="M922" s="1" t="s">
        <v>642</v>
      </c>
    </row>
    <row r="923" customFormat="false" ht="15" hidden="false" customHeight="false" outlineLevel="0" collapsed="false">
      <c r="A923" s="1" t="n">
        <v>690</v>
      </c>
      <c r="B923" s="1" t="n">
        <v>2012</v>
      </c>
      <c r="C92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UN40J5000 -40J5200-40M5000 8L/3B</v>
      </c>
      <c r="D923" s="75" t="n">
        <v>46112</v>
      </c>
      <c r="E92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92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923" s="1" t="n">
        <v>1</v>
      </c>
      <c r="I923" s="1" t="n">
        <f aca="false">(salidas26[[#This Row],[CANT JUEGOS ]]*salidas26[[#This Row],[PRECIO JUEGO]])</f>
        <v>160</v>
      </c>
      <c r="J923" s="1" t="n">
        <f aca="false">(salidas26[[#This Row],[CANT BARRAS]]*salidas26[[#This Row],[PRECIO BARRA]])</f>
        <v>0</v>
      </c>
      <c r="K923" s="1" t="n">
        <v>162</v>
      </c>
      <c r="L923" s="1" t="s">
        <v>533</v>
      </c>
      <c r="M923" s="1" t="s">
        <v>546</v>
      </c>
    </row>
    <row r="924" customFormat="false" ht="15" hidden="false" customHeight="false" outlineLevel="0" collapsed="false">
      <c r="A924" s="1" t="n">
        <v>691</v>
      </c>
      <c r="B924" s="1" t="n">
        <v>1012</v>
      </c>
      <c r="C92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32LB620B-32LF620B -3B/6V/6L</v>
      </c>
      <c r="D924" s="75" t="n">
        <v>46112</v>
      </c>
      <c r="E92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92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24" s="1" t="n">
        <v>1</v>
      </c>
      <c r="I924" s="1" t="n">
        <f aca="false">(salidas26[[#This Row],[CANT JUEGOS ]]*salidas26[[#This Row],[PRECIO JUEGO]])</f>
        <v>90</v>
      </c>
      <c r="J924" s="1" t="n">
        <f aca="false">(salidas26[[#This Row],[CANT BARRAS]]*salidas26[[#This Row],[PRECIO BARRA]])</f>
        <v>0</v>
      </c>
      <c r="K924" s="1" t="n">
        <v>90</v>
      </c>
      <c r="L924" s="1" t="s">
        <v>502</v>
      </c>
      <c r="M924" s="1" t="s">
        <v>507</v>
      </c>
    </row>
    <row r="925" customFormat="false" ht="15" hidden="false" customHeight="false" outlineLevel="0" collapsed="false">
      <c r="A925" s="1" t="n">
        <v>692</v>
      </c>
      <c r="B925" s="1" t="n">
        <v>2091</v>
      </c>
      <c r="C92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UN65 H6400</v>
      </c>
      <c r="D925" s="75" t="n">
        <v>46112</v>
      </c>
      <c r="E92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700</v>
      </c>
      <c r="F925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G925" s="1" t="n">
        <v>1</v>
      </c>
      <c r="I925" s="1" t="n">
        <f aca="false">(salidas26[[#This Row],[CANT JUEGOS ]]*salidas26[[#This Row],[PRECIO JUEGO]])</f>
        <v>700</v>
      </c>
      <c r="J925" s="1" t="e">
        <f aca="false">(salidas26[[#This Row],[CANT BARRAS]]*salidas26[[#This Row],[PRECIO BARRA]])</f>
        <v>#VALUE!</v>
      </c>
      <c r="K925" s="1" t="n">
        <v>650</v>
      </c>
      <c r="L925" s="1" t="s">
        <v>502</v>
      </c>
      <c r="M925" s="1" t="s">
        <v>736</v>
      </c>
    </row>
    <row r="926" customFormat="false" ht="15" hidden="false" customHeight="false" outlineLevel="0" collapsed="false">
      <c r="A926" s="1" t="n">
        <v>693</v>
      </c>
      <c r="B926" s="1" t="n">
        <v>8015</v>
      </c>
      <c r="C92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926" s="75" t="n">
        <v>46112</v>
      </c>
      <c r="E92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92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26" s="1" t="n">
        <v>1</v>
      </c>
      <c r="I926" s="1" t="n">
        <f aca="false">(salidas26[[#This Row],[CANT JUEGOS ]]*salidas26[[#This Row],[PRECIO JUEGO]])</f>
        <v>60</v>
      </c>
      <c r="J926" s="1" t="n">
        <f aca="false">(salidas26[[#This Row],[CANT BARRAS]]*salidas26[[#This Row],[PRECIO BARRA]])</f>
        <v>0</v>
      </c>
      <c r="K926" s="1" t="n">
        <v>60</v>
      </c>
      <c r="L926" s="1" t="s">
        <v>502</v>
      </c>
      <c r="M926" s="1" t="s">
        <v>518</v>
      </c>
    </row>
    <row r="927" customFormat="false" ht="15" hidden="false" customHeight="false" outlineLevel="0" collapsed="false">
      <c r="A927" s="1" t="n">
        <v>694</v>
      </c>
      <c r="B927" s="1" t="n">
        <v>5006</v>
      </c>
      <c r="C92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KDL-32R304B/3B</v>
      </c>
      <c r="D927" s="75" t="n">
        <v>46112</v>
      </c>
      <c r="E92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92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27" s="1" t="n">
        <v>1</v>
      </c>
      <c r="I927" s="1" t="n">
        <f aca="false">(salidas26[[#This Row],[CANT JUEGOS ]]*salidas26[[#This Row],[PRECIO JUEGO]])</f>
        <v>90</v>
      </c>
      <c r="J927" s="1" t="n">
        <f aca="false">(salidas26[[#This Row],[CANT BARRAS]]*salidas26[[#This Row],[PRECIO BARRA]])</f>
        <v>0</v>
      </c>
      <c r="K927" s="1" t="n">
        <v>90</v>
      </c>
      <c r="L927" s="1" t="s">
        <v>502</v>
      </c>
      <c r="M927" s="1" t="s">
        <v>733</v>
      </c>
    </row>
    <row r="928" customFormat="false" ht="15" hidden="false" customHeight="false" outlineLevel="0" collapsed="false">
      <c r="A928" s="1" t="n">
        <v>695</v>
      </c>
      <c r="B928" s="1" t="n">
        <v>6132</v>
      </c>
      <c r="C92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SKYWORTH-65 UB7500 10B</v>
      </c>
      <c r="D928" s="75" t="n">
        <v>46112</v>
      </c>
      <c r="E92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420</v>
      </c>
      <c r="F92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42</v>
      </c>
      <c r="G928" s="1" t="n">
        <v>1</v>
      </c>
      <c r="I928" s="1" t="n">
        <f aca="false">(salidas26[[#This Row],[CANT JUEGOS ]]*salidas26[[#This Row],[PRECIO JUEGO]])</f>
        <v>420</v>
      </c>
      <c r="J928" s="1" t="n">
        <f aca="false">(salidas26[[#This Row],[CANT BARRAS]]*salidas26[[#This Row],[PRECIO BARRA]])</f>
        <v>0</v>
      </c>
      <c r="M928" s="1" t="s">
        <v>508</v>
      </c>
    </row>
    <row r="929" customFormat="false" ht="15" hidden="false" customHeight="false" outlineLevel="0" collapsed="false">
      <c r="A929" s="1" t="n">
        <v>696</v>
      </c>
      <c r="B929" s="1" t="n">
        <v>2105</v>
      </c>
      <c r="C92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UN85AU8000G  4B EGDE</v>
      </c>
      <c r="D929" s="75" t="n">
        <v>46112</v>
      </c>
      <c r="E92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600</v>
      </c>
      <c r="F92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150</v>
      </c>
      <c r="G929" s="1" t="n">
        <v>1</v>
      </c>
      <c r="I929" s="1" t="n">
        <f aca="false">(salidas26[[#This Row],[CANT JUEGOS ]]*salidas26[[#This Row],[PRECIO JUEGO]])</f>
        <v>600</v>
      </c>
      <c r="J929" s="1" t="n">
        <f aca="false">(salidas26[[#This Row],[CANT BARRAS]]*salidas26[[#This Row],[PRECIO BARRA]])</f>
        <v>0</v>
      </c>
      <c r="K929" s="1" t="n">
        <v>480</v>
      </c>
      <c r="L929" s="1" t="s">
        <v>502</v>
      </c>
      <c r="M929" s="1" t="s">
        <v>534</v>
      </c>
    </row>
    <row r="930" customFormat="false" ht="15" hidden="false" customHeight="false" outlineLevel="0" collapsed="false">
      <c r="A930" s="1" t="n">
        <v>697</v>
      </c>
      <c r="B930" s="1" t="n">
        <v>8033</v>
      </c>
      <c r="C93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930" s="75" t="n">
        <v>46113</v>
      </c>
      <c r="E93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93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930" s="1" t="n">
        <v>1</v>
      </c>
      <c r="I930" s="1" t="n">
        <f aca="false">(salidas26[[#This Row],[CANT JUEGOS ]]*salidas26[[#This Row],[PRECIO JUEGO]])</f>
        <v>150</v>
      </c>
      <c r="J930" s="1" t="n">
        <f aca="false">(salidas26[[#This Row],[CANT BARRAS]]*salidas26[[#This Row],[PRECIO BARRA]])</f>
        <v>0</v>
      </c>
      <c r="K930" s="1" t="n">
        <v>150</v>
      </c>
      <c r="L930" s="1" t="s">
        <v>502</v>
      </c>
      <c r="M930" s="1" t="s">
        <v>737</v>
      </c>
    </row>
    <row r="931" customFormat="false" ht="15" hidden="false" customHeight="false" outlineLevel="0" collapsed="false">
      <c r="A931" s="1" t="n">
        <v>698</v>
      </c>
      <c r="B931" s="1" t="n">
        <v>1033</v>
      </c>
      <c r="C93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D931" s="75" t="n">
        <v>46113</v>
      </c>
      <c r="E93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93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931" s="1" t="n">
        <v>2</v>
      </c>
      <c r="I931" s="1" t="n">
        <f aca="false">(salidas26[[#This Row],[CANT JUEGOS ]]*salidas26[[#This Row],[PRECIO JUEGO]])</f>
        <v>360</v>
      </c>
      <c r="J931" s="1" t="n">
        <f aca="false">(salidas26[[#This Row],[CANT BARRAS]]*salidas26[[#This Row],[PRECIO BARRA]])</f>
        <v>0</v>
      </c>
      <c r="K931" s="1" t="n">
        <v>396</v>
      </c>
      <c r="L931" s="1" t="s">
        <v>533</v>
      </c>
      <c r="M931" s="1" t="s">
        <v>546</v>
      </c>
    </row>
    <row r="932" customFormat="false" ht="15" hidden="false" customHeight="false" outlineLevel="0" collapsed="false">
      <c r="A932" s="1" t="n">
        <v>699</v>
      </c>
      <c r="B932" s="1" t="n">
        <v>8015</v>
      </c>
      <c r="C93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932" s="75" t="n">
        <v>46113</v>
      </c>
      <c r="E93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93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32" s="1" t="n">
        <v>1</v>
      </c>
      <c r="I932" s="1" t="n">
        <f aca="false">(salidas26[[#This Row],[CANT JUEGOS ]]*salidas26[[#This Row],[PRECIO JUEGO]])</f>
        <v>60</v>
      </c>
      <c r="J932" s="1" t="n">
        <f aca="false">(salidas26[[#This Row],[CANT BARRAS]]*salidas26[[#This Row],[PRECIO BARRA]])</f>
        <v>0</v>
      </c>
      <c r="K932" s="1" t="n">
        <v>40</v>
      </c>
      <c r="L932" s="1" t="s">
        <v>533</v>
      </c>
      <c r="M932" s="1" t="s">
        <v>517</v>
      </c>
    </row>
    <row r="933" customFormat="false" ht="15" hidden="false" customHeight="false" outlineLevel="0" collapsed="false">
      <c r="A933" s="1" t="n">
        <v>700</v>
      </c>
      <c r="B933" s="1" t="n">
        <v>6015</v>
      </c>
      <c r="C93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49L4700 TOSHIBA 4B/8L</v>
      </c>
      <c r="D933" s="75" t="n">
        <v>46113</v>
      </c>
      <c r="E93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93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933" s="1" t="n">
        <v>1</v>
      </c>
      <c r="I933" s="1" t="n">
        <f aca="false">(salidas26[[#This Row],[CANT JUEGOS ]]*salidas26[[#This Row],[PRECIO JUEGO]])</f>
        <v>220</v>
      </c>
      <c r="J933" s="1" t="n">
        <f aca="false">(salidas26[[#This Row],[CANT BARRAS]]*salidas26[[#This Row],[PRECIO BARRA]])</f>
        <v>0</v>
      </c>
      <c r="K933" s="1" t="n">
        <v>120</v>
      </c>
      <c r="L933" s="1" t="s">
        <v>533</v>
      </c>
      <c r="M933" s="1" t="s">
        <v>517</v>
      </c>
    </row>
    <row r="934" customFormat="false" ht="15" hidden="false" customHeight="false" outlineLevel="0" collapsed="false">
      <c r="A934" s="1" t="n">
        <v>701</v>
      </c>
      <c r="B934" s="1" t="n">
        <v>1132</v>
      </c>
      <c r="C93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55UH8500/2B</v>
      </c>
      <c r="D934" s="75" t="n">
        <v>46113</v>
      </c>
      <c r="E93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93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130</v>
      </c>
      <c r="G934" s="1" t="n">
        <v>1</v>
      </c>
      <c r="I934" s="1" t="n">
        <f aca="false">(salidas26[[#This Row],[CANT JUEGOS ]]*salidas26[[#This Row],[PRECIO JUEGO]])</f>
        <v>260</v>
      </c>
      <c r="J934" s="1" t="n">
        <f aca="false">(salidas26[[#This Row],[CANT BARRAS]]*salidas26[[#This Row],[PRECIO BARRA]])</f>
        <v>0</v>
      </c>
      <c r="K934" s="1" t="n">
        <v>260</v>
      </c>
      <c r="L934" s="1" t="s">
        <v>502</v>
      </c>
      <c r="M934" s="1" t="s">
        <v>738</v>
      </c>
    </row>
    <row r="935" customFormat="false" ht="15" hidden="false" customHeight="false" outlineLevel="0" collapsed="false">
      <c r="A935" s="1" t="n">
        <v>702</v>
      </c>
      <c r="B935" s="1" t="n">
        <v>5012</v>
      </c>
      <c r="C93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KDL-40R455 SONY/10B</v>
      </c>
      <c r="D935" s="75" t="n">
        <v>46113</v>
      </c>
      <c r="E93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93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935" s="1" t="n">
        <v>1</v>
      </c>
      <c r="I935" s="1" t="n">
        <f aca="false">(salidas26[[#This Row],[CANT JUEGOS ]]*salidas26[[#This Row],[PRECIO JUEGO]])</f>
        <v>200</v>
      </c>
      <c r="J935" s="1" t="n">
        <f aca="false">(salidas26[[#This Row],[CANT BARRAS]]*salidas26[[#This Row],[PRECIO BARRA]])</f>
        <v>0</v>
      </c>
      <c r="K935" s="1" t="n">
        <v>180</v>
      </c>
      <c r="L935" s="1" t="s">
        <v>502</v>
      </c>
      <c r="M935" s="1" t="s">
        <v>507</v>
      </c>
    </row>
    <row r="936" customFormat="false" ht="15" hidden="false" customHeight="false" outlineLevel="0" collapsed="false">
      <c r="A936" s="1" t="n">
        <v>703</v>
      </c>
      <c r="B936" s="1" t="n">
        <v>6008</v>
      </c>
      <c r="C93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SKYWORTH SUC9350 8L /3B</v>
      </c>
      <c r="D936" s="75" t="n">
        <v>46114</v>
      </c>
      <c r="E93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93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936" s="1" t="n">
        <v>1</v>
      </c>
      <c r="I936" s="1" t="n">
        <f aca="false">(salidas26[[#This Row],[CANT JUEGOS ]]*salidas26[[#This Row],[PRECIO JUEGO]])</f>
        <v>180</v>
      </c>
      <c r="J936" s="1" t="n">
        <f aca="false">(salidas26[[#This Row],[CANT BARRAS]]*salidas26[[#This Row],[PRECIO BARRA]])</f>
        <v>0</v>
      </c>
      <c r="K936" s="1" t="n">
        <v>180</v>
      </c>
      <c r="L936" s="1" t="s">
        <v>533</v>
      </c>
      <c r="M936" s="1" t="s">
        <v>506</v>
      </c>
    </row>
    <row r="937" customFormat="false" ht="15" hidden="false" customHeight="false" outlineLevel="0" collapsed="false">
      <c r="A937" s="1" t="n">
        <v>704</v>
      </c>
      <c r="B937" s="1" t="n">
        <v>8033</v>
      </c>
      <c r="C93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937" s="75" t="n">
        <v>46114</v>
      </c>
      <c r="E93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93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937" s="1" t="n">
        <v>1</v>
      </c>
      <c r="I937" s="1" t="n">
        <f aca="false">(salidas26[[#This Row],[CANT JUEGOS ]]*salidas26[[#This Row],[PRECIO JUEGO]])</f>
        <v>150</v>
      </c>
      <c r="J937" s="1" t="n">
        <f aca="false">(salidas26[[#This Row],[CANT BARRAS]]*salidas26[[#This Row],[PRECIO BARRA]])</f>
        <v>0</v>
      </c>
      <c r="K937" s="1" t="n">
        <v>140</v>
      </c>
      <c r="L937" s="1" t="s">
        <v>502</v>
      </c>
      <c r="M937" s="1" t="s">
        <v>560</v>
      </c>
    </row>
    <row r="938" customFormat="false" ht="15" hidden="false" customHeight="false" outlineLevel="0" collapsed="false">
      <c r="A938" s="1" t="n">
        <v>705</v>
      </c>
      <c r="B938" s="1" t="n">
        <v>7000</v>
      </c>
      <c r="C93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IRT/6L/2B/6V</v>
      </c>
      <c r="D938" s="75" t="n">
        <v>46116</v>
      </c>
      <c r="E93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93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38" s="1" t="n">
        <v>2</v>
      </c>
      <c r="I938" s="1" t="n">
        <f aca="false">(salidas26[[#This Row],[CANT JUEGOS ]]*salidas26[[#This Row],[PRECIO JUEGO]])</f>
        <v>120</v>
      </c>
      <c r="J938" s="1" t="n">
        <f aca="false">(salidas26[[#This Row],[CANT BARRAS]]*salidas26[[#This Row],[PRECIO BARRA]])</f>
        <v>0</v>
      </c>
      <c r="K938" s="1" t="n">
        <v>96</v>
      </c>
      <c r="L938" s="1" t="s">
        <v>502</v>
      </c>
      <c r="M938" s="1" t="s">
        <v>534</v>
      </c>
    </row>
    <row r="939" customFormat="false" ht="15" hidden="false" customHeight="false" outlineLevel="0" collapsed="false">
      <c r="A939" s="1" t="n">
        <v>706</v>
      </c>
      <c r="B939" s="1" t="n">
        <v>1102</v>
      </c>
      <c r="C93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50LA6200/12B/3V</v>
      </c>
      <c r="D939" s="75" t="n">
        <v>46116</v>
      </c>
      <c r="E93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93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23.3333333333333</v>
      </c>
      <c r="G939" s="1" t="n">
        <v>1</v>
      </c>
      <c r="I939" s="1" t="n">
        <f aca="false">(salidas26[[#This Row],[CANT JUEGOS ]]*salidas26[[#This Row],[PRECIO JUEGO]])</f>
        <v>280</v>
      </c>
      <c r="J939" s="1" t="n">
        <f aca="false">(salidas26[[#This Row],[CANT BARRAS]]*salidas26[[#This Row],[PRECIO BARRA]])</f>
        <v>0</v>
      </c>
      <c r="K939" s="1" t="n">
        <v>224</v>
      </c>
      <c r="L939" s="1" t="s">
        <v>502</v>
      </c>
      <c r="M939" s="1" t="s">
        <v>534</v>
      </c>
    </row>
    <row r="940" customFormat="false" ht="15" hidden="false" customHeight="false" outlineLevel="0" collapsed="false">
      <c r="A940" s="1" t="n">
        <v>707</v>
      </c>
      <c r="B940" s="1" t="n">
        <v>1132</v>
      </c>
      <c r="C94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55UH8500/2B</v>
      </c>
      <c r="D940" s="75" t="n">
        <v>46116</v>
      </c>
      <c r="E94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94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130</v>
      </c>
      <c r="G940" s="1" t="n">
        <v>1</v>
      </c>
      <c r="I940" s="1" t="n">
        <f aca="false">(salidas26[[#This Row],[CANT JUEGOS ]]*salidas26[[#This Row],[PRECIO JUEGO]])</f>
        <v>260</v>
      </c>
      <c r="J940" s="1" t="n">
        <f aca="false">(salidas26[[#This Row],[CANT BARRAS]]*salidas26[[#This Row],[PRECIO BARRA]])</f>
        <v>0</v>
      </c>
      <c r="K940" s="1" t="n">
        <v>208</v>
      </c>
      <c r="L940" s="1" t="s">
        <v>502</v>
      </c>
      <c r="M940" s="1" t="s">
        <v>534</v>
      </c>
    </row>
    <row r="941" customFormat="false" ht="15" hidden="false" customHeight="false" outlineLevel="0" collapsed="false">
      <c r="A941" s="1" t="n">
        <v>708</v>
      </c>
      <c r="B941" s="1" t="n">
        <v>8055</v>
      </c>
      <c r="C94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PREMIER 8L/3V/3B 8047SF43SF</v>
      </c>
      <c r="D941" s="75" t="n">
        <v>46116</v>
      </c>
      <c r="E94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94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941" s="1" t="n">
        <v>1</v>
      </c>
      <c r="I941" s="1" t="n">
        <f aca="false">(salidas26[[#This Row],[CANT JUEGOS ]]*salidas26[[#This Row],[PRECIO JUEGO]])</f>
        <v>180</v>
      </c>
      <c r="J941" s="1" t="n">
        <f aca="false">(salidas26[[#This Row],[CANT BARRAS]]*salidas26[[#This Row],[PRECIO BARRA]])</f>
        <v>0</v>
      </c>
      <c r="K941" s="1" t="n">
        <v>170</v>
      </c>
      <c r="L941" s="1" t="s">
        <v>502</v>
      </c>
      <c r="M941" s="1" t="s">
        <v>519</v>
      </c>
    </row>
    <row r="942" customFormat="false" ht="15" hidden="false" customHeight="false" outlineLevel="0" collapsed="false">
      <c r="A942" s="1" t="n">
        <v>709</v>
      </c>
      <c r="B942" s="1" t="n">
        <v>7000</v>
      </c>
      <c r="C94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IRT/6L/2B/6V</v>
      </c>
      <c r="D942" s="75" t="n">
        <v>46116</v>
      </c>
      <c r="E94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94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42" s="1" t="n">
        <v>1</v>
      </c>
      <c r="I942" s="1" t="n">
        <f aca="false">(salidas26[[#This Row],[CANT JUEGOS ]]*salidas26[[#This Row],[PRECIO JUEGO]])</f>
        <v>60</v>
      </c>
      <c r="J942" s="1" t="n">
        <f aca="false">(salidas26[[#This Row],[CANT BARRAS]]*salidas26[[#This Row],[PRECIO BARRA]])</f>
        <v>0</v>
      </c>
      <c r="K942" s="1" t="n">
        <v>60</v>
      </c>
      <c r="L942" s="1" t="s">
        <v>533</v>
      </c>
      <c r="M942" s="1" t="s">
        <v>518</v>
      </c>
    </row>
    <row r="943" customFormat="false" ht="15" hidden="false" customHeight="false" outlineLevel="0" collapsed="false">
      <c r="A943" s="1" t="n">
        <v>710</v>
      </c>
      <c r="B943" s="1" t="n">
        <v>8015</v>
      </c>
      <c r="C94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943" s="75" t="n">
        <v>46116</v>
      </c>
      <c r="E94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94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43" s="1" t="n">
        <v>2</v>
      </c>
      <c r="I943" s="1" t="n">
        <f aca="false">(salidas26[[#This Row],[CANT JUEGOS ]]*salidas26[[#This Row],[PRECIO JUEGO]])</f>
        <v>120</v>
      </c>
      <c r="J943" s="1" t="n">
        <f aca="false">(salidas26[[#This Row],[CANT BARRAS]]*salidas26[[#This Row],[PRECIO BARRA]])</f>
        <v>0</v>
      </c>
      <c r="K943" s="1" t="n">
        <v>100</v>
      </c>
      <c r="L943" s="1" t="s">
        <v>533</v>
      </c>
      <c r="M943" s="1" t="s">
        <v>511</v>
      </c>
    </row>
    <row r="944" customFormat="false" ht="15" hidden="false" customHeight="false" outlineLevel="0" collapsed="false">
      <c r="A944" s="1" t="n">
        <v>711</v>
      </c>
      <c r="B944" s="1" t="n">
        <v>8033</v>
      </c>
      <c r="C94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944" s="75" t="n">
        <v>46116</v>
      </c>
      <c r="E94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94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944" s="1" t="n">
        <v>2</v>
      </c>
      <c r="I944" s="1" t="n">
        <f aca="false">(salidas26[[#This Row],[CANT JUEGOS ]]*salidas26[[#This Row],[PRECIO JUEGO]])</f>
        <v>300</v>
      </c>
      <c r="J944" s="1" t="n">
        <f aca="false">(salidas26[[#This Row],[CANT BARRAS]]*salidas26[[#This Row],[PRECIO BARRA]])</f>
        <v>0</v>
      </c>
      <c r="K944" s="1" t="n">
        <v>260</v>
      </c>
      <c r="L944" s="1" t="s">
        <v>533</v>
      </c>
      <c r="M944" s="1" t="s">
        <v>511</v>
      </c>
    </row>
    <row r="945" customFormat="false" ht="15" hidden="false" customHeight="false" outlineLevel="0" collapsed="false">
      <c r="A945" s="1" t="n">
        <v>712</v>
      </c>
      <c r="B945" s="1" t="n">
        <v>1036</v>
      </c>
      <c r="C94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42LA6130-42LN5400  10B/3V</v>
      </c>
      <c r="D945" s="75" t="n">
        <v>46116</v>
      </c>
      <c r="E94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94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18</v>
      </c>
      <c r="G945" s="1" t="n">
        <v>1</v>
      </c>
      <c r="I945" s="1" t="n">
        <f aca="false">(salidas26[[#This Row],[CANT JUEGOS ]]*salidas26[[#This Row],[PRECIO JUEGO]])</f>
        <v>180</v>
      </c>
      <c r="J945" s="1" t="n">
        <f aca="false">(salidas26[[#This Row],[CANT BARRAS]]*salidas26[[#This Row],[PRECIO BARRA]])</f>
        <v>0</v>
      </c>
      <c r="K945" s="1" t="n">
        <v>180</v>
      </c>
      <c r="L945" s="1" t="s">
        <v>502</v>
      </c>
      <c r="M945" s="1" t="s">
        <v>518</v>
      </c>
    </row>
    <row r="946" customFormat="false" ht="15" hidden="false" customHeight="false" outlineLevel="0" collapsed="false">
      <c r="A946" s="1" t="n">
        <v>713</v>
      </c>
      <c r="B946" s="1" t="n">
        <v>1015</v>
      </c>
      <c r="C94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32LH500B-32LK500 3B/7L/3V</v>
      </c>
      <c r="D946" s="75" t="n">
        <v>46116</v>
      </c>
      <c r="E94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94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946" s="1" t="n">
        <v>1</v>
      </c>
      <c r="I946" s="1" t="n">
        <f aca="false">(salidas26[[#This Row],[CANT JUEGOS ]]*salidas26[[#This Row],[PRECIO JUEGO]])</f>
        <v>80</v>
      </c>
      <c r="J946" s="1" t="n">
        <f aca="false">(salidas26[[#This Row],[CANT BARRAS]]*salidas26[[#This Row],[PRECIO BARRA]])</f>
        <v>0</v>
      </c>
      <c r="K946" s="1" t="n">
        <v>80</v>
      </c>
      <c r="L946" s="1" t="s">
        <v>502</v>
      </c>
      <c r="M946" s="1" t="s">
        <v>739</v>
      </c>
    </row>
    <row r="947" customFormat="false" ht="15" hidden="false" customHeight="false" outlineLevel="0" collapsed="false">
      <c r="A947" s="1" t="n">
        <v>714</v>
      </c>
      <c r="B947" s="1" t="n">
        <v>7000</v>
      </c>
      <c r="C94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IRT/6L/2B/6V</v>
      </c>
      <c r="D947" s="75" t="n">
        <v>46116</v>
      </c>
      <c r="E94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94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47" s="1" t="n">
        <v>1</v>
      </c>
      <c r="I947" s="1" t="n">
        <f aca="false">(salidas26[[#This Row],[CANT JUEGOS ]]*salidas26[[#This Row],[PRECIO JUEGO]])</f>
        <v>60</v>
      </c>
      <c r="J947" s="1" t="n">
        <f aca="false">(salidas26[[#This Row],[CANT BARRAS]]*salidas26[[#This Row],[PRECIO BARRA]])</f>
        <v>0</v>
      </c>
      <c r="K947" s="1" t="n">
        <v>60</v>
      </c>
      <c r="L947" s="1" t="s">
        <v>533</v>
      </c>
      <c r="M947" s="1" t="s">
        <v>740</v>
      </c>
    </row>
    <row r="948" customFormat="false" ht="15" hidden="false" customHeight="false" outlineLevel="0" collapsed="false">
      <c r="A948" s="1" t="n">
        <v>715</v>
      </c>
      <c r="B948" s="1" t="n">
        <v>4003</v>
      </c>
      <c r="C94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DAEWOO 8L/3V - 3B</v>
      </c>
      <c r="D948" s="75" t="n">
        <v>46116</v>
      </c>
      <c r="E94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94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48" s="1" t="n">
        <v>1</v>
      </c>
      <c r="I948" s="1" t="n">
        <f aca="false">(salidas26[[#This Row],[CANT JUEGOS ]]*salidas26[[#This Row],[PRECIO JUEGO]])</f>
        <v>90</v>
      </c>
      <c r="J948" s="1" t="n">
        <f aca="false">(salidas26[[#This Row],[CANT BARRAS]]*salidas26[[#This Row],[PRECIO BARRA]])</f>
        <v>0</v>
      </c>
      <c r="K948" s="1" t="n">
        <v>80</v>
      </c>
      <c r="L948" s="1" t="s">
        <v>502</v>
      </c>
      <c r="M948" s="1" t="s">
        <v>508</v>
      </c>
    </row>
    <row r="949" customFormat="false" ht="15" hidden="false" customHeight="false" outlineLevel="0" collapsed="false">
      <c r="A949" s="1" t="n">
        <v>716</v>
      </c>
      <c r="B949" s="1" t="n">
        <v>1012</v>
      </c>
      <c r="C94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32LB620B-32LF620B -3B/6V/6L</v>
      </c>
      <c r="D949" s="75" t="n">
        <v>46116</v>
      </c>
      <c r="E94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94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49" s="1" t="n">
        <v>1</v>
      </c>
      <c r="I949" s="1" t="n">
        <f aca="false">(salidas26[[#This Row],[CANT JUEGOS ]]*salidas26[[#This Row],[PRECIO JUEGO]])</f>
        <v>90</v>
      </c>
      <c r="J949" s="1" t="n">
        <f aca="false">(salidas26[[#This Row],[CANT BARRAS]]*salidas26[[#This Row],[PRECIO BARRA]])</f>
        <v>0</v>
      </c>
      <c r="K949" s="1" t="n">
        <v>90</v>
      </c>
      <c r="L949" s="1" t="s">
        <v>502</v>
      </c>
      <c r="M949" s="1" t="s">
        <v>511</v>
      </c>
    </row>
    <row r="950" customFormat="false" ht="15" hidden="false" customHeight="false" outlineLevel="0" collapsed="false">
      <c r="A950" s="1" t="n">
        <v>717</v>
      </c>
      <c r="B950" s="1" t="n">
        <v>2087</v>
      </c>
      <c r="C95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UN58NU7100 /2B EDGE</v>
      </c>
      <c r="D950" s="75" t="n">
        <v>46116</v>
      </c>
      <c r="E95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95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120</v>
      </c>
      <c r="G950" s="1" t="n">
        <v>1</v>
      </c>
      <c r="I950" s="1" t="n">
        <f aca="false">(salidas26[[#This Row],[CANT JUEGOS ]]*salidas26[[#This Row],[PRECIO JUEGO]])</f>
        <v>240</v>
      </c>
      <c r="J950" s="1" t="n">
        <f aca="false">(salidas26[[#This Row],[CANT BARRAS]]*salidas26[[#This Row],[PRECIO BARRA]])</f>
        <v>0</v>
      </c>
      <c r="K950" s="1" t="n">
        <v>200</v>
      </c>
      <c r="L950" s="1" t="s">
        <v>533</v>
      </c>
      <c r="M950" s="1" t="s">
        <v>741</v>
      </c>
    </row>
    <row r="951" customFormat="false" ht="15" hidden="false" customHeight="false" outlineLevel="0" collapsed="false">
      <c r="A951" s="1" t="n">
        <v>719</v>
      </c>
      <c r="B951" s="1" t="n">
        <v>1141</v>
      </c>
      <c r="C95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60LB6500/12B/6V</v>
      </c>
      <c r="D951" s="75" t="n">
        <v>46118</v>
      </c>
      <c r="E95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450</v>
      </c>
      <c r="F95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37.5</v>
      </c>
      <c r="G951" s="1" t="n">
        <v>1</v>
      </c>
      <c r="I951" s="1" t="n">
        <f aca="false">(salidas26[[#This Row],[CANT JUEGOS ]]*salidas26[[#This Row],[PRECIO JUEGO]])</f>
        <v>450</v>
      </c>
      <c r="J951" s="1" t="n">
        <f aca="false">(salidas26[[#This Row],[CANT BARRAS]]*salidas26[[#This Row],[PRECIO BARRA]])</f>
        <v>0</v>
      </c>
      <c r="K951" s="1" t="n">
        <v>400</v>
      </c>
      <c r="L951" s="1" t="s">
        <v>533</v>
      </c>
      <c r="M951" s="1" t="s">
        <v>517</v>
      </c>
    </row>
    <row r="952" customFormat="false" ht="15" hidden="false" customHeight="false" outlineLevel="0" collapsed="false">
      <c r="A952" s="1" t="n">
        <v>720</v>
      </c>
      <c r="B952" s="1" t="n">
        <v>8099</v>
      </c>
      <c r="C95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JVC 58KB858 4B/AIWA AW58B4K</v>
      </c>
      <c r="D952" s="75" t="n">
        <v>46118</v>
      </c>
      <c r="E95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95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87.5</v>
      </c>
      <c r="G952" s="1" t="n">
        <v>1</v>
      </c>
      <c r="I952" s="1" t="n">
        <f aca="false">(salidas26[[#This Row],[CANT JUEGOS ]]*salidas26[[#This Row],[PRECIO JUEGO]])</f>
        <v>350</v>
      </c>
      <c r="J952" s="1" t="n">
        <f aca="false">(salidas26[[#This Row],[CANT BARRAS]]*salidas26[[#This Row],[PRECIO BARRA]])</f>
        <v>0</v>
      </c>
      <c r="K952" s="1" t="n">
        <v>280</v>
      </c>
      <c r="L952" s="1" t="s">
        <v>502</v>
      </c>
      <c r="M952" s="1" t="s">
        <v>534</v>
      </c>
    </row>
    <row r="953" customFormat="false" ht="15" hidden="false" customHeight="false" outlineLevel="0" collapsed="false">
      <c r="A953" s="1" t="n">
        <v>721</v>
      </c>
      <c r="B953" s="1" t="n">
        <v>6022</v>
      </c>
      <c r="C95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SKYWORTH SUC9350Pro /10L</v>
      </c>
      <c r="D953" s="75" t="n">
        <v>46118</v>
      </c>
      <c r="E95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95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70</v>
      </c>
      <c r="G953" s="1" t="n">
        <v>1</v>
      </c>
      <c r="I953" s="1" t="n">
        <f aca="false">(salidas26[[#This Row],[CANT JUEGOS ]]*salidas26[[#This Row],[PRECIO JUEGO]])</f>
        <v>350</v>
      </c>
      <c r="J953" s="1" t="n">
        <f aca="false">(salidas26[[#This Row],[CANT BARRAS]]*salidas26[[#This Row],[PRECIO BARRA]])</f>
        <v>0</v>
      </c>
      <c r="K953" s="1" t="n">
        <v>280</v>
      </c>
      <c r="L953" s="1" t="s">
        <v>502</v>
      </c>
      <c r="M953" s="1" t="s">
        <v>534</v>
      </c>
    </row>
    <row r="954" customFormat="false" ht="15" hidden="false" customHeight="false" outlineLevel="0" collapsed="false">
      <c r="A954" s="1" t="n">
        <v>722</v>
      </c>
      <c r="B954" s="1" t="n">
        <v>7004</v>
      </c>
      <c r="C95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IRT LED4060SFHD 8L/3V/3B</v>
      </c>
      <c r="D954" s="75" t="n">
        <v>46118</v>
      </c>
      <c r="E95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95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954" s="1" t="n">
        <v>1</v>
      </c>
      <c r="I954" s="1" t="n">
        <f aca="false">(salidas26[[#This Row],[CANT JUEGOS ]]*salidas26[[#This Row],[PRECIO JUEGO]])</f>
        <v>150</v>
      </c>
      <c r="J954" s="1" t="n">
        <f aca="false">(salidas26[[#This Row],[CANT BARRAS]]*salidas26[[#This Row],[PRECIO BARRA]])</f>
        <v>0</v>
      </c>
      <c r="K954" s="1" t="n">
        <v>120</v>
      </c>
      <c r="L954" s="1" t="s">
        <v>502</v>
      </c>
      <c r="M954" s="1" t="s">
        <v>534</v>
      </c>
    </row>
    <row r="955" customFormat="false" ht="15" hidden="false" customHeight="false" outlineLevel="0" collapsed="false">
      <c r="A955" s="1" t="n">
        <v>723</v>
      </c>
      <c r="B955" s="1" t="n">
        <v>5039</v>
      </c>
      <c r="C95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KDL-65W855C 8L/3V/16B</v>
      </c>
      <c r="D955" s="75" t="n">
        <v>46118</v>
      </c>
      <c r="E95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450</v>
      </c>
      <c r="F95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28.125</v>
      </c>
      <c r="G955" s="1" t="n">
        <v>1</v>
      </c>
      <c r="I955" s="1" t="n">
        <f aca="false">(salidas26[[#This Row],[CANT JUEGOS ]]*salidas26[[#This Row],[PRECIO JUEGO]])</f>
        <v>450</v>
      </c>
      <c r="J955" s="1" t="n">
        <f aca="false">(salidas26[[#This Row],[CANT BARRAS]]*salidas26[[#This Row],[PRECIO BARRA]])</f>
        <v>0</v>
      </c>
      <c r="M955" s="1" t="s">
        <v>546</v>
      </c>
    </row>
    <row r="956" customFormat="false" ht="15" hidden="false" customHeight="false" outlineLevel="0" collapsed="false">
      <c r="A956" s="1" t="n">
        <v>724</v>
      </c>
      <c r="B956" s="1" t="n">
        <v>6027</v>
      </c>
      <c r="C95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HISENSE K321UW/10B reemplazo 55 6L/3V/10B</v>
      </c>
      <c r="D956" s="75" t="n">
        <v>46118</v>
      </c>
      <c r="E95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95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28</v>
      </c>
      <c r="H956" s="1" t="n">
        <v>2</v>
      </c>
      <c r="I956" s="1" t="n">
        <f aca="false">(salidas26[[#This Row],[CANT JUEGOS ]]*salidas26[[#This Row],[PRECIO JUEGO]])</f>
        <v>0</v>
      </c>
      <c r="J956" s="1" t="n">
        <f aca="false">(salidas26[[#This Row],[CANT BARRAS]]*salidas26[[#This Row],[PRECIO BARRA]])</f>
        <v>56</v>
      </c>
      <c r="M956" s="1" t="s">
        <v>508</v>
      </c>
    </row>
    <row r="957" customFormat="false" ht="15" hidden="false" customHeight="false" outlineLevel="0" collapsed="false">
      <c r="A957" s="1" t="n">
        <v>725</v>
      </c>
      <c r="B957" s="1" t="n">
        <v>1012</v>
      </c>
      <c r="C95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32LB620B-32LF620B -3B/6V/6L</v>
      </c>
      <c r="D957" s="75" t="n">
        <v>46118</v>
      </c>
      <c r="E95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95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57" s="1" t="n">
        <v>1</v>
      </c>
      <c r="I957" s="1" t="n">
        <f aca="false">(salidas26[[#This Row],[CANT JUEGOS ]]*salidas26[[#This Row],[PRECIO JUEGO]])</f>
        <v>90</v>
      </c>
      <c r="J957" s="1" t="n">
        <f aca="false">(salidas26[[#This Row],[CANT BARRAS]]*salidas26[[#This Row],[PRECIO BARRA]])</f>
        <v>0</v>
      </c>
      <c r="K957" s="1" t="n">
        <v>90</v>
      </c>
      <c r="L957" s="1" t="s">
        <v>533</v>
      </c>
      <c r="M957" s="1" t="s">
        <v>706</v>
      </c>
    </row>
    <row r="958" customFormat="false" ht="15" hidden="false" customHeight="false" outlineLevel="0" collapsed="false">
      <c r="A958" s="1" t="n">
        <v>726</v>
      </c>
      <c r="B958" s="1" t="n">
        <v>4003</v>
      </c>
      <c r="C95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DAEWOO 8L/3V - 3B</v>
      </c>
      <c r="D958" s="75" t="n">
        <v>46118</v>
      </c>
      <c r="E95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95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58" s="1" t="n">
        <v>1</v>
      </c>
      <c r="I958" s="1" t="n">
        <f aca="false">(salidas26[[#This Row],[CANT JUEGOS ]]*salidas26[[#This Row],[PRECIO JUEGO]])</f>
        <v>90</v>
      </c>
      <c r="J958" s="1" t="n">
        <f aca="false">(salidas26[[#This Row],[CANT BARRAS]]*salidas26[[#This Row],[PRECIO BARRA]])</f>
        <v>0</v>
      </c>
      <c r="K958" s="1" t="n">
        <v>80</v>
      </c>
      <c r="L958" s="1" t="s">
        <v>502</v>
      </c>
      <c r="M958" s="1" t="s">
        <v>742</v>
      </c>
    </row>
    <row r="959" customFormat="false" ht="15" hidden="false" customHeight="false" outlineLevel="0" collapsed="false">
      <c r="A959" s="1" t="n">
        <v>727</v>
      </c>
      <c r="B959" s="1" t="n">
        <v>8081</v>
      </c>
      <c r="C95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CHINO 12L/3B- 4S55X</v>
      </c>
      <c r="D959" s="75" t="n">
        <v>46118</v>
      </c>
      <c r="E95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95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150</v>
      </c>
      <c r="G959" s="1" t="n">
        <v>1</v>
      </c>
      <c r="I959" s="1" t="n">
        <f aca="false">(salidas26[[#This Row],[CANT JUEGOS ]]*salidas26[[#This Row],[PRECIO JUEGO]])</f>
        <v>300</v>
      </c>
      <c r="J959" s="1" t="n">
        <f aca="false">(salidas26[[#This Row],[CANT BARRAS]]*salidas26[[#This Row],[PRECIO BARRA]])</f>
        <v>0</v>
      </c>
      <c r="K959" s="1" t="n">
        <v>250</v>
      </c>
      <c r="L959" s="1" t="s">
        <v>502</v>
      </c>
      <c r="M959" s="1" t="s">
        <v>508</v>
      </c>
    </row>
    <row r="960" customFormat="false" ht="15" hidden="false" customHeight="false" outlineLevel="0" collapsed="false">
      <c r="A960" s="1" t="n">
        <v>728</v>
      </c>
      <c r="B960" s="1" t="n">
        <v>8015</v>
      </c>
      <c r="C96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960" s="75" t="n">
        <v>46118</v>
      </c>
      <c r="E96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96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60" s="1" t="n">
        <v>1</v>
      </c>
      <c r="I960" s="1" t="n">
        <f aca="false">(salidas26[[#This Row],[CANT JUEGOS ]]*salidas26[[#This Row],[PRECIO JUEGO]])</f>
        <v>60</v>
      </c>
      <c r="J960" s="1" t="n">
        <f aca="false">(salidas26[[#This Row],[CANT BARRAS]]*salidas26[[#This Row],[PRECIO BARRA]])</f>
        <v>0</v>
      </c>
      <c r="K960" s="1" t="n">
        <v>50</v>
      </c>
      <c r="L960" s="1" t="s">
        <v>502</v>
      </c>
      <c r="M960" s="1" t="s">
        <v>560</v>
      </c>
    </row>
    <row r="961" customFormat="false" ht="15" hidden="false" customHeight="false" outlineLevel="0" collapsed="false">
      <c r="A961" s="1" t="n">
        <v>729</v>
      </c>
      <c r="B961" s="1" t="n">
        <v>5006</v>
      </c>
      <c r="C96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KDL-32R304B/3B</v>
      </c>
      <c r="D961" s="75" t="n">
        <v>46118</v>
      </c>
      <c r="E96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96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61" s="1" t="n">
        <v>1</v>
      </c>
      <c r="I961" s="1" t="n">
        <f aca="false">(salidas26[[#This Row],[CANT JUEGOS ]]*salidas26[[#This Row],[PRECIO JUEGO]])</f>
        <v>90</v>
      </c>
      <c r="J961" s="1" t="n">
        <f aca="false">(salidas26[[#This Row],[CANT BARRAS]]*salidas26[[#This Row],[PRECIO BARRA]])</f>
        <v>0</v>
      </c>
      <c r="K961" s="1" t="n">
        <v>90</v>
      </c>
      <c r="L961" s="1" t="s">
        <v>502</v>
      </c>
      <c r="M961" s="1" t="s">
        <v>683</v>
      </c>
    </row>
    <row r="962" customFormat="false" ht="15" hidden="false" customHeight="false" outlineLevel="0" collapsed="false">
      <c r="A962" s="1" t="n">
        <v>730</v>
      </c>
      <c r="B962" s="1" t="n">
        <v>6022</v>
      </c>
      <c r="C96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SKYWORTH SUC9350Pro /10L</v>
      </c>
      <c r="D962" s="75" t="n">
        <v>46118</v>
      </c>
      <c r="E96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96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70</v>
      </c>
      <c r="G962" s="1" t="n">
        <v>1</v>
      </c>
      <c r="I962" s="1" t="n">
        <f aca="false">(salidas26[[#This Row],[CANT JUEGOS ]]*salidas26[[#This Row],[PRECIO JUEGO]])</f>
        <v>350</v>
      </c>
      <c r="J962" s="1" t="n">
        <f aca="false">(salidas26[[#This Row],[CANT BARRAS]]*salidas26[[#This Row],[PRECIO BARRA]])</f>
        <v>0</v>
      </c>
      <c r="K962" s="1" t="n">
        <v>300</v>
      </c>
      <c r="L962" s="1" t="s">
        <v>502</v>
      </c>
      <c r="M962" s="1" t="s">
        <v>503</v>
      </c>
    </row>
    <row r="963" customFormat="false" ht="15" hidden="false" customHeight="false" outlineLevel="0" collapsed="false">
      <c r="A963" s="1" t="n">
        <v>731</v>
      </c>
      <c r="B963" s="1" t="n">
        <v>8067</v>
      </c>
      <c r="C96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6V/10L/4B EN PARALELO</v>
      </c>
      <c r="D963" s="75" t="n">
        <v>46118</v>
      </c>
      <c r="E96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96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963" s="1" t="n">
        <v>1</v>
      </c>
      <c r="I963" s="1" t="n">
        <f aca="false">(salidas26[[#This Row],[CANT JUEGOS ]]*salidas26[[#This Row],[PRECIO JUEGO]])</f>
        <v>220</v>
      </c>
      <c r="J963" s="1" t="n">
        <f aca="false">(salidas26[[#This Row],[CANT BARRAS]]*salidas26[[#This Row],[PRECIO BARRA]])</f>
        <v>0</v>
      </c>
      <c r="K963" s="1" t="n">
        <v>200</v>
      </c>
      <c r="L963" s="1" t="s">
        <v>502</v>
      </c>
      <c r="M963" s="1" t="s">
        <v>508</v>
      </c>
    </row>
    <row r="964" customFormat="false" ht="15" hidden="false" customHeight="false" outlineLevel="0" collapsed="false">
      <c r="A964" s="1" t="n">
        <v>732</v>
      </c>
      <c r="B964" s="1" t="n">
        <v>8015</v>
      </c>
      <c r="C96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964" s="75" t="n">
        <v>46119</v>
      </c>
      <c r="E96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96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64" s="1" t="n">
        <v>1</v>
      </c>
      <c r="I964" s="1" t="n">
        <f aca="false">(salidas26[[#This Row],[CANT JUEGOS ]]*salidas26[[#This Row],[PRECIO JUEGO]])</f>
        <v>60</v>
      </c>
      <c r="J964" s="1" t="n">
        <f aca="false">(salidas26[[#This Row],[CANT BARRAS]]*salidas26[[#This Row],[PRECIO BARRA]])</f>
        <v>0</v>
      </c>
      <c r="K964" s="1" t="n">
        <v>60</v>
      </c>
      <c r="L964" s="1" t="s">
        <v>502</v>
      </c>
      <c r="M964" s="1" t="s">
        <v>519</v>
      </c>
    </row>
    <row r="965" customFormat="false" ht="15" hidden="false" customHeight="false" outlineLevel="0" collapsed="false">
      <c r="A965" s="1" t="n">
        <v>733</v>
      </c>
      <c r="B965" s="1" t="n">
        <v>8130</v>
      </c>
      <c r="C96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LUPA NORMAL 6V/2W S/C</v>
      </c>
      <c r="D965" s="75" t="n">
        <v>46118</v>
      </c>
      <c r="E96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96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965" s="1" t="n">
        <v>8</v>
      </c>
      <c r="I965" s="1" t="n">
        <f aca="false">(salidas26[[#This Row],[CANT JUEGOS ]]*salidas26[[#This Row],[PRECIO JUEGO]])</f>
        <v>0</v>
      </c>
      <c r="J965" s="1" t="n">
        <f aca="false">(salidas26[[#This Row],[CANT BARRAS]]*salidas26[[#This Row],[PRECIO BARRA]])</f>
        <v>28</v>
      </c>
      <c r="K965" s="1" t="n">
        <v>28</v>
      </c>
      <c r="L965" s="1" t="s">
        <v>533</v>
      </c>
      <c r="M965" s="1" t="s">
        <v>701</v>
      </c>
    </row>
    <row r="966" customFormat="false" ht="15" hidden="false" customHeight="false" outlineLevel="0" collapsed="false">
      <c r="A966" s="1" t="n">
        <v>734</v>
      </c>
      <c r="B966" s="1" t="n">
        <v>8033</v>
      </c>
      <c r="C96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966" s="75" t="n">
        <v>46119</v>
      </c>
      <c r="E96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96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966" s="1" t="n">
        <v>3</v>
      </c>
      <c r="I966" s="1" t="n">
        <f aca="false">(salidas26[[#This Row],[CANT JUEGOS ]]*salidas26[[#This Row],[PRECIO JUEGO]])</f>
        <v>450</v>
      </c>
      <c r="J966" s="1" t="n">
        <f aca="false">(salidas26[[#This Row],[CANT BARRAS]]*salidas26[[#This Row],[PRECIO BARRA]])</f>
        <v>0</v>
      </c>
      <c r="K966" s="1" t="n">
        <v>360</v>
      </c>
      <c r="L966" s="1" t="s">
        <v>502</v>
      </c>
      <c r="M966" s="1" t="s">
        <v>742</v>
      </c>
    </row>
    <row r="967" customFormat="false" ht="15" hidden="false" customHeight="false" outlineLevel="0" collapsed="false">
      <c r="A967" s="1" t="n">
        <v>735</v>
      </c>
      <c r="B967" s="1" t="n">
        <v>8123</v>
      </c>
      <c r="C96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3V/2W S/C  DIF. 180º</v>
      </c>
      <c r="D967" s="75" t="n">
        <v>46119</v>
      </c>
      <c r="E96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96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967" s="1" t="n">
        <v>22</v>
      </c>
      <c r="I967" s="1" t="n">
        <f aca="false">(salidas26[[#This Row],[CANT JUEGOS ]]*salidas26[[#This Row],[PRECIO JUEGO]])</f>
        <v>0</v>
      </c>
      <c r="J967" s="1" t="n">
        <f aca="false">(salidas26[[#This Row],[CANT BARRAS]]*salidas26[[#This Row],[PRECIO BARRA]])</f>
        <v>77</v>
      </c>
      <c r="K967" s="1" t="n">
        <v>75</v>
      </c>
      <c r="L967" s="1" t="s">
        <v>502</v>
      </c>
      <c r="M967" s="1" t="s">
        <v>560</v>
      </c>
    </row>
    <row r="968" customFormat="false" ht="15" hidden="false" customHeight="false" outlineLevel="0" collapsed="false">
      <c r="A968" s="1" t="n">
        <v>736</v>
      </c>
      <c r="B968" s="1" t="n">
        <v>2093</v>
      </c>
      <c r="C96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UN60FH6003/12B</v>
      </c>
      <c r="D968" s="75" t="n">
        <v>46119</v>
      </c>
      <c r="E96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96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968" s="1" t="n">
        <v>1</v>
      </c>
      <c r="I968" s="1" t="n">
        <f aca="false">(salidas26[[#This Row],[CANT JUEGOS ]]*salidas26[[#This Row],[PRECIO JUEGO]])</f>
        <v>400</v>
      </c>
      <c r="J968" s="1" t="n">
        <f aca="false">(salidas26[[#This Row],[CANT BARRAS]]*salidas26[[#This Row],[PRECIO BARRA]])</f>
        <v>0</v>
      </c>
      <c r="K968" s="1" t="n">
        <v>400</v>
      </c>
      <c r="L968" s="1" t="s">
        <v>533</v>
      </c>
      <c r="M968" s="1" t="s">
        <v>506</v>
      </c>
    </row>
    <row r="969" customFormat="false" ht="15" hidden="false" customHeight="false" outlineLevel="0" collapsed="false">
      <c r="A969" s="1" t="n">
        <v>737</v>
      </c>
      <c r="B969" s="1" t="n">
        <v>8130</v>
      </c>
      <c r="C96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LUPA NORMAL 6V/2W S/C</v>
      </c>
      <c r="D969" s="75" t="n">
        <v>46119</v>
      </c>
      <c r="E96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96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969" s="1" t="n">
        <v>20</v>
      </c>
      <c r="I969" s="1" t="n">
        <f aca="false">(salidas26[[#This Row],[CANT JUEGOS ]]*salidas26[[#This Row],[PRECIO JUEGO]])</f>
        <v>0</v>
      </c>
      <c r="J969" s="1" t="n">
        <f aca="false">(salidas26[[#This Row],[CANT BARRAS]]*salidas26[[#This Row],[PRECIO BARRA]])</f>
        <v>70</v>
      </c>
      <c r="K969" s="1" t="n">
        <v>70</v>
      </c>
      <c r="L969" s="1" t="s">
        <v>502</v>
      </c>
      <c r="M969" s="1" t="s">
        <v>520</v>
      </c>
    </row>
    <row r="970" customFormat="false" ht="15" hidden="false" customHeight="false" outlineLevel="0" collapsed="false">
      <c r="A970" s="1" t="n">
        <v>738</v>
      </c>
      <c r="B970" s="1" t="n">
        <v>6006</v>
      </c>
      <c r="C97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SKYWORTH TOSHIBA /3B</v>
      </c>
      <c r="D970" s="75" t="n">
        <v>46119</v>
      </c>
      <c r="E97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140</v>
      </c>
      <c r="F97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46.6666666666667</v>
      </c>
      <c r="G970" s="1" t="n">
        <v>1</v>
      </c>
      <c r="I970" s="1" t="n">
        <f aca="false">(salidas26[[#This Row],[CANT JUEGOS ]]*salidas26[[#This Row],[PRECIO JUEGO]])</f>
        <v>140</v>
      </c>
      <c r="J970" s="1" t="n">
        <f aca="false">(salidas26[[#This Row],[CANT BARRAS]]*salidas26[[#This Row],[PRECIO BARRA]])</f>
        <v>0</v>
      </c>
      <c r="K970" s="1" t="n">
        <v>140</v>
      </c>
      <c r="L970" s="1" t="s">
        <v>502</v>
      </c>
      <c r="M970" s="1" t="s">
        <v>507</v>
      </c>
    </row>
    <row r="971" customFormat="false" ht="15" hidden="false" customHeight="false" outlineLevel="0" collapsed="false">
      <c r="A971" s="1" t="n">
        <v>739</v>
      </c>
      <c r="B971" s="1" t="n">
        <v>8015</v>
      </c>
      <c r="C97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971" s="75" t="n">
        <v>46119</v>
      </c>
      <c r="E97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97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71" s="1" t="n">
        <v>1</v>
      </c>
      <c r="I971" s="1" t="n">
        <f aca="false">(salidas26[[#This Row],[CANT JUEGOS ]]*salidas26[[#This Row],[PRECIO JUEGO]])</f>
        <v>60</v>
      </c>
      <c r="J971" s="1" t="n">
        <f aca="false">(salidas26[[#This Row],[CANT BARRAS]]*salidas26[[#This Row],[PRECIO BARRA]])</f>
        <v>0</v>
      </c>
      <c r="K971" s="1" t="n">
        <v>60</v>
      </c>
      <c r="L971" s="1" t="s">
        <v>502</v>
      </c>
      <c r="M971" s="1" t="s">
        <v>507</v>
      </c>
    </row>
    <row r="972" customFormat="false" ht="15" hidden="false" customHeight="false" outlineLevel="0" collapsed="false">
      <c r="A972" s="1" t="n">
        <v>740</v>
      </c>
      <c r="B972" s="1" t="n">
        <v>2024</v>
      </c>
      <c r="C97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UN43J5202/ 3 BARRAS/8L/3V</v>
      </c>
      <c r="D972" s="75" t="n">
        <v>46119</v>
      </c>
      <c r="E97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97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972" s="1" t="n">
        <v>1</v>
      </c>
      <c r="I972" s="1" t="n">
        <f aca="false">(salidas26[[#This Row],[CANT JUEGOS ]]*salidas26[[#This Row],[PRECIO JUEGO]])</f>
        <v>180</v>
      </c>
      <c r="J972" s="1" t="n">
        <f aca="false">(salidas26[[#This Row],[CANT BARRAS]]*salidas26[[#This Row],[PRECIO BARRA]])</f>
        <v>0</v>
      </c>
      <c r="K972" s="1" t="n">
        <v>180</v>
      </c>
      <c r="L972" s="1" t="s">
        <v>502</v>
      </c>
      <c r="M972" s="1" t="s">
        <v>518</v>
      </c>
    </row>
    <row r="973" customFormat="false" ht="15" hidden="false" customHeight="false" outlineLevel="0" collapsed="false">
      <c r="A973" s="1" t="n">
        <v>742</v>
      </c>
      <c r="B973" s="1" t="n">
        <v>8098</v>
      </c>
      <c r="C97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PREMIER 11B/6L </v>
      </c>
      <c r="D973" s="75" t="n">
        <v>46119</v>
      </c>
      <c r="E97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420</v>
      </c>
      <c r="F97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973" s="1" t="n">
        <v>1</v>
      </c>
      <c r="I973" s="1" t="n">
        <f aca="false">(salidas26[[#This Row],[CANT JUEGOS ]]*salidas26[[#This Row],[PRECIO JUEGO]])</f>
        <v>420</v>
      </c>
      <c r="J973" s="1" t="n">
        <f aca="false">(salidas26[[#This Row],[CANT BARRAS]]*salidas26[[#This Row],[PRECIO BARRA]])</f>
        <v>0</v>
      </c>
      <c r="K973" s="1" t="n">
        <v>300</v>
      </c>
      <c r="L973" s="1" t="s">
        <v>502</v>
      </c>
      <c r="M973" s="1" t="s">
        <v>508</v>
      </c>
    </row>
    <row r="974" customFormat="false" ht="15" hidden="false" customHeight="false" outlineLevel="0" collapsed="false">
      <c r="A974" s="1" t="n">
        <v>743</v>
      </c>
      <c r="B974" s="1" t="n">
        <v>4010</v>
      </c>
      <c r="C97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DAEWO S780 3B/8LED/3V</v>
      </c>
      <c r="D974" s="75" t="n">
        <v>46119</v>
      </c>
      <c r="E97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97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H974" s="1" t="n">
        <v>1</v>
      </c>
      <c r="I974" s="1" t="n">
        <f aca="false">(salidas26[[#This Row],[CANT JUEGOS ]]*salidas26[[#This Row],[PRECIO JUEGO]])</f>
        <v>0</v>
      </c>
      <c r="J974" s="1" t="n">
        <f aca="false">(salidas26[[#This Row],[CANT BARRAS]]*salidas26[[#This Row],[PRECIO BARRA]])</f>
        <v>53.3333333333333</v>
      </c>
      <c r="M974" s="1" t="s">
        <v>743</v>
      </c>
    </row>
    <row r="975" customFormat="false" ht="15" hidden="false" customHeight="false" outlineLevel="0" collapsed="false">
      <c r="A975" s="1" t="n">
        <v>744</v>
      </c>
      <c r="B975" s="1" t="n">
        <v>8015</v>
      </c>
      <c r="C97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975" s="75" t="n">
        <v>46120</v>
      </c>
      <c r="E97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97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75" s="1" t="n">
        <v>1</v>
      </c>
      <c r="I975" s="1" t="n">
        <f aca="false">(salidas26[[#This Row],[CANT JUEGOS ]]*salidas26[[#This Row],[PRECIO JUEGO]])</f>
        <v>60</v>
      </c>
      <c r="J975" s="1" t="n">
        <f aca="false">(salidas26[[#This Row],[CANT BARRAS]]*salidas26[[#This Row],[PRECIO BARRA]])</f>
        <v>0</v>
      </c>
      <c r="K975" s="1" t="n">
        <v>60</v>
      </c>
      <c r="L975" s="1" t="s">
        <v>502</v>
      </c>
      <c r="M975" s="1" t="s">
        <v>683</v>
      </c>
    </row>
    <row r="976" customFormat="false" ht="15" hidden="false" customHeight="false" outlineLevel="0" collapsed="false">
      <c r="A976" s="1" t="n">
        <v>745</v>
      </c>
      <c r="B976" s="1" t="n">
        <v>2108</v>
      </c>
      <c r="C97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TU8500</v>
      </c>
      <c r="D976" s="75" t="n">
        <v>46120</v>
      </c>
      <c r="E97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976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G976" s="1" t="n">
        <v>1</v>
      </c>
      <c r="I976" s="1" t="n">
        <f aca="false">(salidas26[[#This Row],[CANT JUEGOS ]]*salidas26[[#This Row],[PRECIO JUEGO]])</f>
        <v>300</v>
      </c>
      <c r="J976" s="1" t="e">
        <f aca="false">(salidas26[[#This Row],[CANT BARRAS]]*salidas26[[#This Row],[PRECIO BARRA]])</f>
        <v>#VALUE!</v>
      </c>
      <c r="K976" s="1" t="n">
        <v>320</v>
      </c>
      <c r="L976" s="1" t="s">
        <v>533</v>
      </c>
      <c r="M976" s="1" t="s">
        <v>510</v>
      </c>
    </row>
    <row r="977" customFormat="false" ht="15" hidden="false" customHeight="false" outlineLevel="0" collapsed="false">
      <c r="A977" s="1" t="n">
        <v>746</v>
      </c>
      <c r="B977" s="1" t="n">
        <v>2021</v>
      </c>
      <c r="C97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UN40F5000-F6400/14 B</v>
      </c>
      <c r="D977" s="75" t="n">
        <v>46120</v>
      </c>
      <c r="E97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97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18.5714285714286</v>
      </c>
      <c r="G977" s="1" t="n">
        <v>1</v>
      </c>
      <c r="I977" s="1" t="n">
        <f aca="false">(salidas26[[#This Row],[CANT JUEGOS ]]*salidas26[[#This Row],[PRECIO JUEGO]])</f>
        <v>260</v>
      </c>
      <c r="J977" s="1" t="n">
        <f aca="false">(salidas26[[#This Row],[CANT BARRAS]]*salidas26[[#This Row],[PRECIO BARRA]])</f>
        <v>0</v>
      </c>
      <c r="K977" s="1" t="n">
        <v>220</v>
      </c>
      <c r="L977" s="1" t="s">
        <v>533</v>
      </c>
      <c r="M977" s="1" t="s">
        <v>517</v>
      </c>
    </row>
    <row r="978" customFormat="false" ht="15" hidden="false" customHeight="false" outlineLevel="0" collapsed="false">
      <c r="A978" s="1" t="n">
        <v>747</v>
      </c>
      <c r="B978" s="1" t="n">
        <v>2105</v>
      </c>
      <c r="C97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UN85AU8000G  4B EGDE</v>
      </c>
      <c r="D978" s="75" t="n">
        <v>46120</v>
      </c>
      <c r="E97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600</v>
      </c>
      <c r="F97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150</v>
      </c>
      <c r="G978" s="1" t="n">
        <v>1</v>
      </c>
      <c r="I978" s="1" t="n">
        <f aca="false">(salidas26[[#This Row],[CANT JUEGOS ]]*salidas26[[#This Row],[PRECIO JUEGO]])</f>
        <v>600</v>
      </c>
      <c r="J978" s="1" t="n">
        <f aca="false">(salidas26[[#This Row],[CANT BARRAS]]*salidas26[[#This Row],[PRECIO BARRA]])</f>
        <v>0</v>
      </c>
      <c r="K978" s="1" t="n">
        <v>600</v>
      </c>
      <c r="L978" s="1" t="s">
        <v>533</v>
      </c>
      <c r="M978" s="1" t="s">
        <v>503</v>
      </c>
    </row>
    <row r="979" customFormat="false" ht="15" hidden="false" customHeight="false" outlineLevel="0" collapsed="false">
      <c r="A979" s="1" t="n">
        <v>748</v>
      </c>
      <c r="B979" s="1" t="n">
        <v>8021</v>
      </c>
      <c r="C97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JVC RECTO /2B</v>
      </c>
      <c r="D979" s="75" t="n">
        <v>46120</v>
      </c>
      <c r="E97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97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79" s="1" t="n">
        <v>1</v>
      </c>
      <c r="I979" s="1" t="n">
        <f aca="false">(salidas26[[#This Row],[CANT JUEGOS ]]*salidas26[[#This Row],[PRECIO JUEGO]])</f>
        <v>60</v>
      </c>
      <c r="J979" s="1" t="n">
        <f aca="false">(salidas26[[#This Row],[CANT BARRAS]]*salidas26[[#This Row],[PRECIO BARRA]])</f>
        <v>0</v>
      </c>
      <c r="K979" s="1" t="n">
        <v>60</v>
      </c>
      <c r="L979" s="1" t="s">
        <v>502</v>
      </c>
      <c r="M979" s="1" t="s">
        <v>722</v>
      </c>
    </row>
    <row r="980" customFormat="false" ht="15" hidden="false" customHeight="false" outlineLevel="0" collapsed="false">
      <c r="A980" s="1" t="n">
        <v>749</v>
      </c>
      <c r="B980" s="1" t="n">
        <v>3003</v>
      </c>
      <c r="C98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40B8000 4B/12LED/3V</v>
      </c>
      <c r="D980" s="75" t="n">
        <v>46120</v>
      </c>
      <c r="E98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98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980" s="1" t="n">
        <v>1</v>
      </c>
      <c r="I980" s="1" t="n">
        <f aca="false">(salidas26[[#This Row],[CANT JUEGOS ]]*salidas26[[#This Row],[PRECIO JUEGO]])</f>
        <v>160</v>
      </c>
      <c r="J980" s="1" t="n">
        <f aca="false">(salidas26[[#This Row],[CANT BARRAS]]*salidas26[[#This Row],[PRECIO BARRA]])</f>
        <v>0</v>
      </c>
      <c r="K980" s="1" t="n">
        <v>160</v>
      </c>
      <c r="L980" s="1" t="s">
        <v>533</v>
      </c>
      <c r="M980" s="1" t="s">
        <v>579</v>
      </c>
    </row>
    <row r="981" customFormat="false" ht="15" hidden="false" customHeight="false" outlineLevel="0" collapsed="false">
      <c r="A981" s="1" t="n">
        <v>750</v>
      </c>
      <c r="B981" s="1" t="n">
        <v>1078</v>
      </c>
      <c r="C98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49LB-LF/10B</v>
      </c>
      <c r="D981" s="75" t="n">
        <v>46120</v>
      </c>
      <c r="E98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98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28</v>
      </c>
      <c r="G981" s="1" t="n">
        <v>1</v>
      </c>
      <c r="I981" s="1" t="n">
        <f aca="false">(salidas26[[#This Row],[CANT JUEGOS ]]*salidas26[[#This Row],[PRECIO JUEGO]])</f>
        <v>280</v>
      </c>
      <c r="J981" s="1" t="n">
        <f aca="false">(salidas26[[#This Row],[CANT BARRAS]]*salidas26[[#This Row],[PRECIO BARRA]])</f>
        <v>0</v>
      </c>
      <c r="K981" s="1" t="n">
        <v>270</v>
      </c>
      <c r="L981" s="1" t="s">
        <v>502</v>
      </c>
      <c r="M981" s="1" t="s">
        <v>518</v>
      </c>
    </row>
    <row r="982" customFormat="false" ht="15" hidden="false" customHeight="false" outlineLevel="0" collapsed="false">
      <c r="A982" s="1" t="n">
        <v>751</v>
      </c>
      <c r="B982" s="1" t="n">
        <v>7000</v>
      </c>
      <c r="C98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IRT/6L/2B/6V</v>
      </c>
      <c r="D982" s="75" t="n">
        <v>46120</v>
      </c>
      <c r="E98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98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82" s="1" t="n">
        <v>1</v>
      </c>
      <c r="I982" s="1" t="n">
        <f aca="false">(salidas26[[#This Row],[CANT JUEGOS ]]*salidas26[[#This Row],[PRECIO JUEGO]])</f>
        <v>60</v>
      </c>
      <c r="J982" s="1" t="n">
        <f aca="false">(salidas26[[#This Row],[CANT BARRAS]]*salidas26[[#This Row],[PRECIO BARRA]])</f>
        <v>0</v>
      </c>
      <c r="K982" s="1" t="n">
        <v>50</v>
      </c>
      <c r="L982" s="1" t="s">
        <v>533</v>
      </c>
      <c r="M982" s="1" t="s">
        <v>505</v>
      </c>
    </row>
    <row r="983" customFormat="false" ht="15" hidden="false" customHeight="false" outlineLevel="0" collapsed="false">
      <c r="A983" s="1" t="n">
        <v>752</v>
      </c>
      <c r="B983" s="1" t="n">
        <v>7004</v>
      </c>
      <c r="C98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IRT LED4060SFHD 8L/3V/3B</v>
      </c>
      <c r="D983" s="75" t="n">
        <v>46120</v>
      </c>
      <c r="E98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98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983" s="1" t="n">
        <v>1</v>
      </c>
      <c r="I983" s="1" t="n">
        <f aca="false">(salidas26[[#This Row],[CANT JUEGOS ]]*salidas26[[#This Row],[PRECIO JUEGO]])</f>
        <v>150</v>
      </c>
      <c r="J983" s="1" t="n">
        <f aca="false">(salidas26[[#This Row],[CANT BARRAS]]*salidas26[[#This Row],[PRECIO BARRA]])</f>
        <v>0</v>
      </c>
      <c r="K983" s="1" t="n">
        <v>150</v>
      </c>
      <c r="L983" s="1" t="s">
        <v>533</v>
      </c>
      <c r="M983" s="1" t="s">
        <v>505</v>
      </c>
    </row>
    <row r="984" customFormat="false" ht="31.3" hidden="false" customHeight="false" outlineLevel="0" collapsed="false">
      <c r="A984" s="1" t="n">
        <v>753</v>
      </c>
      <c r="B984" s="1" t="n">
        <v>4000</v>
      </c>
      <c r="C984" s="76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 V780-TCL 5L/6V -2B
MI L32M5-5ASP</v>
      </c>
      <c r="D984" s="75" t="n">
        <v>46120</v>
      </c>
      <c r="E98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98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84" s="1" t="n">
        <v>1</v>
      </c>
      <c r="I984" s="1" t="n">
        <f aca="false">(salidas26[[#This Row],[CANT JUEGOS ]]*salidas26[[#This Row],[PRECIO JUEGO]])</f>
        <v>60</v>
      </c>
      <c r="J984" s="1" t="n">
        <f aca="false">(salidas26[[#This Row],[CANT BARRAS]]*salidas26[[#This Row],[PRECIO BARRA]])</f>
        <v>0</v>
      </c>
      <c r="K984" s="1" t="n">
        <v>60</v>
      </c>
      <c r="L984" s="1" t="s">
        <v>502</v>
      </c>
      <c r="M984" s="1" t="s">
        <v>723</v>
      </c>
    </row>
    <row r="985" customFormat="false" ht="31.3" hidden="false" customHeight="false" outlineLevel="0" collapsed="false">
      <c r="A985" s="1" t="n">
        <v>755</v>
      </c>
      <c r="B985" s="1" t="n">
        <v>4000</v>
      </c>
      <c r="C985" s="76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 V780-TCL 5L/6V -2B
MI L32M5-5ASP</v>
      </c>
      <c r="D985" s="75" t="n">
        <v>46120</v>
      </c>
      <c r="E98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98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85" s="1" t="n">
        <v>1</v>
      </c>
      <c r="I985" s="1" t="n">
        <f aca="false">(salidas26[[#This Row],[CANT JUEGOS ]]*salidas26[[#This Row],[PRECIO JUEGO]])</f>
        <v>60</v>
      </c>
      <c r="J985" s="1" t="n">
        <f aca="false">(salidas26[[#This Row],[CANT BARRAS]]*salidas26[[#This Row],[PRECIO BARRA]])</f>
        <v>0</v>
      </c>
      <c r="K985" s="1" t="n">
        <v>60</v>
      </c>
      <c r="L985" s="1" t="s">
        <v>533</v>
      </c>
      <c r="M985" s="1" t="s">
        <v>518</v>
      </c>
    </row>
    <row r="986" customFormat="false" ht="15" hidden="false" customHeight="false" outlineLevel="0" collapsed="false">
      <c r="A986" s="1" t="n">
        <v>756</v>
      </c>
      <c r="B986" s="1" t="n">
        <v>2000</v>
      </c>
      <c r="C98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D986" s="75" t="n">
        <v>46121</v>
      </c>
      <c r="E98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98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986" s="1" t="n">
        <v>1</v>
      </c>
      <c r="I986" s="1" t="n">
        <f aca="false">(salidas26[[#This Row],[CANT JUEGOS ]]*salidas26[[#This Row],[PRECIO JUEGO]])</f>
        <v>80</v>
      </c>
      <c r="J986" s="1" t="n">
        <f aca="false">(salidas26[[#This Row],[CANT BARRAS]]*salidas26[[#This Row],[PRECIO BARRA]])</f>
        <v>0</v>
      </c>
      <c r="K986" s="1" t="n">
        <v>70</v>
      </c>
      <c r="L986" s="1" t="s">
        <v>533</v>
      </c>
      <c r="M986" s="1" t="s">
        <v>503</v>
      </c>
    </row>
    <row r="987" customFormat="false" ht="15" hidden="false" customHeight="false" outlineLevel="0" collapsed="false">
      <c r="A987" s="1" t="n">
        <v>757</v>
      </c>
      <c r="B987" s="1" t="n">
        <v>8015</v>
      </c>
      <c r="C98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987" s="75" t="n">
        <v>46121</v>
      </c>
      <c r="E98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98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87" s="1" t="n">
        <v>1</v>
      </c>
      <c r="I987" s="1" t="n">
        <f aca="false">(salidas26[[#This Row],[CANT JUEGOS ]]*salidas26[[#This Row],[PRECIO JUEGO]])</f>
        <v>60</v>
      </c>
      <c r="J987" s="1" t="n">
        <f aca="false">(salidas26[[#This Row],[CANT BARRAS]]*salidas26[[#This Row],[PRECIO BARRA]])</f>
        <v>0</v>
      </c>
      <c r="K987" s="1" t="n">
        <v>50</v>
      </c>
      <c r="L987" s="1" t="s">
        <v>533</v>
      </c>
      <c r="M987" s="1" t="s">
        <v>503</v>
      </c>
    </row>
    <row r="988" customFormat="false" ht="15" hidden="false" customHeight="false" outlineLevel="0" collapsed="false">
      <c r="A988" s="1" t="n">
        <v>758</v>
      </c>
      <c r="B988" s="1" t="n">
        <v>1036</v>
      </c>
      <c r="C98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42LA6130-42LN5400  10B/3V</v>
      </c>
      <c r="D988" s="75" t="n">
        <v>46121</v>
      </c>
      <c r="E98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98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18</v>
      </c>
      <c r="G988" s="1" t="n">
        <v>1</v>
      </c>
      <c r="I988" s="1" t="n">
        <f aca="false">(salidas26[[#This Row],[CANT JUEGOS ]]*salidas26[[#This Row],[PRECIO JUEGO]])</f>
        <v>180</v>
      </c>
      <c r="J988" s="1" t="n">
        <f aca="false">(salidas26[[#This Row],[CANT BARRAS]]*salidas26[[#This Row],[PRECIO BARRA]])</f>
        <v>0</v>
      </c>
      <c r="K988" s="1" t="n">
        <v>180</v>
      </c>
      <c r="L988" s="1" t="s">
        <v>533</v>
      </c>
      <c r="M988" s="1" t="s">
        <v>503</v>
      </c>
    </row>
    <row r="989" customFormat="false" ht="15" hidden="false" customHeight="false" outlineLevel="0" collapsed="false">
      <c r="A989" s="1" t="n">
        <v>759</v>
      </c>
      <c r="B989" s="1" t="n">
        <v>8095</v>
      </c>
      <c r="C98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 PREMIER 5L/3V 10B</v>
      </c>
      <c r="D989" s="75" t="n">
        <v>46121</v>
      </c>
      <c r="E98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98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89" s="1" t="n">
        <v>1</v>
      </c>
      <c r="I989" s="1" t="n">
        <f aca="false">(salidas26[[#This Row],[CANT JUEGOS ]]*salidas26[[#This Row],[PRECIO JUEGO]])</f>
        <v>300</v>
      </c>
      <c r="J989" s="1" t="n">
        <f aca="false">(salidas26[[#This Row],[CANT BARRAS]]*salidas26[[#This Row],[PRECIO BARRA]])</f>
        <v>0</v>
      </c>
      <c r="K989" s="1" t="n">
        <v>240</v>
      </c>
      <c r="M989" s="1" t="s">
        <v>534</v>
      </c>
    </row>
    <row r="990" customFormat="false" ht="15" hidden="false" customHeight="false" outlineLevel="0" collapsed="false">
      <c r="A990" s="1" t="n">
        <v>760</v>
      </c>
      <c r="B990" s="1" t="n">
        <v>8033</v>
      </c>
      <c r="C99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990" s="75" t="n">
        <v>46121</v>
      </c>
      <c r="E99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99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990" s="1" t="n">
        <v>1</v>
      </c>
      <c r="I990" s="1" t="n">
        <f aca="false">(salidas26[[#This Row],[CANT JUEGOS ]]*salidas26[[#This Row],[PRECIO JUEGO]])</f>
        <v>150</v>
      </c>
      <c r="J990" s="1" t="n">
        <f aca="false">(salidas26[[#This Row],[CANT BARRAS]]*salidas26[[#This Row],[PRECIO BARRA]])</f>
        <v>0</v>
      </c>
      <c r="K990" s="1" t="n">
        <v>120</v>
      </c>
      <c r="M990" s="1" t="s">
        <v>534</v>
      </c>
    </row>
    <row r="991" customFormat="false" ht="15" hidden="false" customHeight="false" outlineLevel="0" collapsed="false">
      <c r="A991" s="1" t="n">
        <v>761</v>
      </c>
      <c r="B991" s="1" t="n">
        <v>1036</v>
      </c>
      <c r="C99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42LA6130-42LN5400  10B/3V</v>
      </c>
      <c r="D991" s="75" t="n">
        <v>46121</v>
      </c>
      <c r="E99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99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18</v>
      </c>
      <c r="G991" s="1" t="n">
        <v>1</v>
      </c>
      <c r="I991" s="1" t="n">
        <f aca="false">(salidas26[[#This Row],[CANT JUEGOS ]]*salidas26[[#This Row],[PRECIO JUEGO]])</f>
        <v>180</v>
      </c>
      <c r="J991" s="1" t="n">
        <f aca="false">(salidas26[[#This Row],[CANT BARRAS]]*salidas26[[#This Row],[PRECIO BARRA]])</f>
        <v>0</v>
      </c>
      <c r="K991" s="1" t="n">
        <v>144</v>
      </c>
      <c r="M991" s="1" t="s">
        <v>534</v>
      </c>
    </row>
    <row r="992" customFormat="false" ht="15" hidden="false" customHeight="false" outlineLevel="0" collapsed="false">
      <c r="A992" s="1" t="n">
        <v>762</v>
      </c>
      <c r="B992" s="1" t="n">
        <v>1015</v>
      </c>
      <c r="C99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32LH500B-32LK500 3B/7L/3V</v>
      </c>
      <c r="D992" s="75" t="n">
        <v>46121</v>
      </c>
      <c r="E99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99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992" s="1" t="n">
        <v>1</v>
      </c>
      <c r="I992" s="1" t="n">
        <f aca="false">(salidas26[[#This Row],[CANT JUEGOS ]]*salidas26[[#This Row],[PRECIO JUEGO]])</f>
        <v>80</v>
      </c>
      <c r="J992" s="1" t="n">
        <f aca="false">(salidas26[[#This Row],[CANT BARRAS]]*salidas26[[#This Row],[PRECIO BARRA]])</f>
        <v>0</v>
      </c>
      <c r="K992" s="1" t="n">
        <v>64</v>
      </c>
      <c r="M992" s="1" t="s">
        <v>534</v>
      </c>
    </row>
    <row r="993" customFormat="false" ht="15" hidden="false" customHeight="false" outlineLevel="0" collapsed="false">
      <c r="A993" s="1" t="n">
        <v>763</v>
      </c>
      <c r="B993" s="1" t="n">
        <v>5006</v>
      </c>
      <c r="C99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KDL-32R304B/3B</v>
      </c>
      <c r="D993" s="75" t="n">
        <v>46121</v>
      </c>
      <c r="E99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99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993" s="1" t="n">
        <v>1</v>
      </c>
      <c r="I993" s="1" t="n">
        <f aca="false">(salidas26[[#This Row],[CANT JUEGOS ]]*salidas26[[#This Row],[PRECIO JUEGO]])</f>
        <v>90</v>
      </c>
      <c r="J993" s="1" t="n">
        <f aca="false">(salidas26[[#This Row],[CANT BARRAS]]*salidas26[[#This Row],[PRECIO BARRA]])</f>
        <v>0</v>
      </c>
      <c r="K993" s="1" t="n">
        <v>72</v>
      </c>
      <c r="M993" s="1" t="s">
        <v>534</v>
      </c>
    </row>
    <row r="994" customFormat="false" ht="15" hidden="false" customHeight="false" outlineLevel="0" collapsed="false">
      <c r="A994" s="1" t="n">
        <v>764</v>
      </c>
      <c r="B994" s="1" t="n">
        <v>4015</v>
      </c>
      <c r="C99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49-DAeWO/ 9B EL JUEGO</v>
      </c>
      <c r="D994" s="75" t="n">
        <v>46121</v>
      </c>
      <c r="E99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99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22.2222222222222</v>
      </c>
      <c r="G994" s="1" t="n">
        <v>1</v>
      </c>
      <c r="I994" s="1" t="n">
        <f aca="false">(salidas26[[#This Row],[CANT JUEGOS ]]*salidas26[[#This Row],[PRECIO JUEGO]])</f>
        <v>200</v>
      </c>
      <c r="J994" s="1" t="n">
        <f aca="false">(salidas26[[#This Row],[CANT BARRAS]]*salidas26[[#This Row],[PRECIO BARRA]])</f>
        <v>0</v>
      </c>
      <c r="M994" s="1" t="s">
        <v>508</v>
      </c>
    </row>
    <row r="995" customFormat="false" ht="15" hidden="false" customHeight="false" outlineLevel="0" collapsed="false">
      <c r="A995" s="1" t="n">
        <v>765</v>
      </c>
      <c r="B995" s="1" t="n">
        <v>8124</v>
      </c>
      <c r="C99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LED SUELTO LUPA NORMAL 3V/2W S/C </v>
      </c>
      <c r="D995" s="75" t="n">
        <v>46121</v>
      </c>
      <c r="E99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3.5</v>
      </c>
      <c r="F99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3.5</v>
      </c>
      <c r="H995" s="1" t="n">
        <v>12</v>
      </c>
      <c r="I995" s="1" t="n">
        <f aca="false">(salidas26[[#This Row],[CANT JUEGOS ]]*salidas26[[#This Row],[PRECIO JUEGO]])</f>
        <v>0</v>
      </c>
      <c r="J995" s="1" t="n">
        <f aca="false">(salidas26[[#This Row],[CANT BARRAS]]*salidas26[[#This Row],[PRECIO BARRA]])</f>
        <v>42</v>
      </c>
      <c r="K995" s="1" t="n">
        <v>42</v>
      </c>
      <c r="L995" s="1" t="s">
        <v>502</v>
      </c>
      <c r="M995" s="1" t="s">
        <v>518</v>
      </c>
    </row>
    <row r="996" customFormat="false" ht="15" hidden="false" customHeight="false" outlineLevel="0" collapsed="false">
      <c r="A996" s="1" t="n">
        <v>766</v>
      </c>
      <c r="B996" s="1" t="n">
        <v>6006</v>
      </c>
      <c r="C99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SKYWORTH TOSHIBA /3B</v>
      </c>
      <c r="D996" s="75" t="n">
        <v>46121</v>
      </c>
      <c r="E99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140</v>
      </c>
      <c r="F99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46.6666666666667</v>
      </c>
      <c r="G996" s="1" t="n">
        <v>1</v>
      </c>
      <c r="I996" s="1" t="n">
        <f aca="false">(salidas26[[#This Row],[CANT JUEGOS ]]*salidas26[[#This Row],[PRECIO JUEGO]])</f>
        <v>140</v>
      </c>
      <c r="J996" s="1" t="n">
        <f aca="false">(salidas26[[#This Row],[CANT BARRAS]]*salidas26[[#This Row],[PRECIO BARRA]])</f>
        <v>0</v>
      </c>
      <c r="K996" s="1" t="n">
        <v>140</v>
      </c>
      <c r="L996" s="1" t="s">
        <v>502</v>
      </c>
      <c r="M996" s="1" t="s">
        <v>524</v>
      </c>
    </row>
    <row r="997" customFormat="false" ht="15" hidden="false" customHeight="false" outlineLevel="0" collapsed="false">
      <c r="A997" s="1" t="n">
        <v>768</v>
      </c>
      <c r="B997" s="1" t="n">
        <v>3006</v>
      </c>
      <c r="C99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42B8000 4B/15LEDS/3V</v>
      </c>
      <c r="D997" s="75" t="n">
        <v>46122</v>
      </c>
      <c r="E99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99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45</v>
      </c>
      <c r="G997" s="1" t="n">
        <v>1</v>
      </c>
      <c r="I997" s="1" t="n">
        <f aca="false">(salidas26[[#This Row],[CANT JUEGOS ]]*salidas26[[#This Row],[PRECIO JUEGO]])</f>
        <v>180</v>
      </c>
      <c r="J997" s="1" t="n">
        <f aca="false">(salidas26[[#This Row],[CANT BARRAS]]*salidas26[[#This Row],[PRECIO BARRA]])</f>
        <v>0</v>
      </c>
      <c r="M997" s="1" t="s">
        <v>508</v>
      </c>
    </row>
    <row r="998" customFormat="false" ht="15" hidden="false" customHeight="false" outlineLevel="0" collapsed="false">
      <c r="A998" s="1" t="n">
        <v>769</v>
      </c>
      <c r="B998" s="1" t="n">
        <v>2000</v>
      </c>
      <c r="C99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D998" s="75" t="n">
        <v>46122</v>
      </c>
      <c r="E99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99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998" s="1" t="n">
        <v>1</v>
      </c>
      <c r="I998" s="1" t="n">
        <f aca="false">(salidas26[[#This Row],[CANT JUEGOS ]]*salidas26[[#This Row],[PRECIO JUEGO]])</f>
        <v>80</v>
      </c>
      <c r="J998" s="1" t="n">
        <f aca="false">(salidas26[[#This Row],[CANT BARRAS]]*salidas26[[#This Row],[PRECIO BARRA]])</f>
        <v>0</v>
      </c>
      <c r="K998" s="1" t="n">
        <v>60</v>
      </c>
      <c r="L998" s="1" t="s">
        <v>502</v>
      </c>
      <c r="M998" s="1" t="s">
        <v>726</v>
      </c>
    </row>
    <row r="999" customFormat="false" ht="15" hidden="false" customHeight="false" outlineLevel="0" collapsed="false">
      <c r="A999" s="1" t="n">
        <v>770</v>
      </c>
      <c r="B999" s="1" t="n">
        <v>8055</v>
      </c>
      <c r="C99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PREMIER 8L/3V/3B 8047SF43SF</v>
      </c>
      <c r="D999" s="75" t="n">
        <v>46122</v>
      </c>
      <c r="E99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99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999" s="1" t="n">
        <v>1</v>
      </c>
      <c r="I999" s="1" t="n">
        <f aca="false">(salidas26[[#This Row],[CANT JUEGOS ]]*salidas26[[#This Row],[PRECIO JUEGO]])</f>
        <v>180</v>
      </c>
      <c r="J999" s="1" t="n">
        <f aca="false">(salidas26[[#This Row],[CANT BARRAS]]*salidas26[[#This Row],[PRECIO BARRA]])</f>
        <v>0</v>
      </c>
      <c r="K999" s="1" t="n">
        <v>180</v>
      </c>
      <c r="L999" s="1" t="s">
        <v>533</v>
      </c>
      <c r="M999" s="1" t="s">
        <v>544</v>
      </c>
    </row>
    <row r="1000" customFormat="false" ht="15" hidden="false" customHeight="false" outlineLevel="0" collapsed="false">
      <c r="A1000" s="1" t="n">
        <v>771</v>
      </c>
      <c r="B1000" s="1" t="n">
        <v>3001</v>
      </c>
      <c r="C100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32B7000 3B/10LED/3V DOBLE CONECTOR</v>
      </c>
      <c r="D1000" s="75" t="n">
        <v>46121</v>
      </c>
      <c r="E100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100</v>
      </c>
      <c r="F100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1000" s="1" t="n">
        <v>2</v>
      </c>
      <c r="I1000" s="1" t="n">
        <f aca="false">(salidas26[[#This Row],[CANT JUEGOS ]]*salidas26[[#This Row],[PRECIO JUEGO]])</f>
        <v>200</v>
      </c>
      <c r="J1000" s="1" t="n">
        <f aca="false">(salidas26[[#This Row],[CANT BARRAS]]*salidas26[[#This Row],[PRECIO BARRA]])</f>
        <v>0</v>
      </c>
      <c r="K1000" s="1" t="n">
        <v>200</v>
      </c>
      <c r="L1000" s="1" t="s">
        <v>533</v>
      </c>
      <c r="M1000" s="1" t="s">
        <v>744</v>
      </c>
    </row>
    <row r="1001" customFormat="false" ht="15" hidden="false" customHeight="false" outlineLevel="0" collapsed="false">
      <c r="A1001" s="1" t="n">
        <v>772</v>
      </c>
      <c r="B1001" s="1" t="n">
        <v>5002</v>
      </c>
      <c r="C100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PANASONIC 7L/3V/3B</v>
      </c>
      <c r="D1001" s="75" t="n">
        <v>46122</v>
      </c>
      <c r="E100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100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001" s="1" t="n">
        <v>1</v>
      </c>
      <c r="I1001" s="1" t="n">
        <f aca="false">(salidas26[[#This Row],[CANT JUEGOS ]]*salidas26[[#This Row],[PRECIO JUEGO]])</f>
        <v>90</v>
      </c>
      <c r="J1001" s="1" t="n">
        <f aca="false">(salidas26[[#This Row],[CANT BARRAS]]*salidas26[[#This Row],[PRECIO BARRA]])</f>
        <v>0</v>
      </c>
      <c r="K1001" s="1" t="n">
        <v>90</v>
      </c>
      <c r="L1001" s="1" t="s">
        <v>502</v>
      </c>
      <c r="M1001" s="1" t="s">
        <v>560</v>
      </c>
    </row>
    <row r="1002" customFormat="false" ht="15" hidden="false" customHeight="false" outlineLevel="0" collapsed="false">
      <c r="A1002" s="1" t="n">
        <v>773</v>
      </c>
      <c r="B1002" s="1" t="n">
        <v>1111</v>
      </c>
      <c r="C100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UK 6300-UM7100 /3B</v>
      </c>
      <c r="D1002" s="75" t="n">
        <v>46122</v>
      </c>
      <c r="E100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100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93.3333333333333</v>
      </c>
      <c r="G1002" s="1" t="n">
        <v>1</v>
      </c>
      <c r="I1002" s="1" t="n">
        <f aca="false">(salidas26[[#This Row],[CANT JUEGOS ]]*salidas26[[#This Row],[PRECIO JUEGO]])</f>
        <v>280</v>
      </c>
      <c r="J1002" s="1" t="n">
        <f aca="false">(salidas26[[#This Row],[CANT BARRAS]]*salidas26[[#This Row],[PRECIO BARRA]])</f>
        <v>0</v>
      </c>
      <c r="K1002" s="1" t="n">
        <v>260</v>
      </c>
      <c r="L1002" s="1" t="s">
        <v>502</v>
      </c>
      <c r="M1002" s="1" t="s">
        <v>642</v>
      </c>
    </row>
    <row r="1003" customFormat="false" ht="31.3" hidden="false" customHeight="false" outlineLevel="0" collapsed="false">
      <c r="A1003" s="1" t="n">
        <v>774</v>
      </c>
      <c r="B1003" s="1" t="n">
        <v>4000</v>
      </c>
      <c r="C1003" s="76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 V780-TCL 5L/6V -2B
MI L32M5-5ASP</v>
      </c>
      <c r="D1003" s="75" t="n">
        <v>46122</v>
      </c>
      <c r="E100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100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003" s="1" t="n">
        <v>1</v>
      </c>
      <c r="I1003" s="1" t="n">
        <f aca="false">(salidas26[[#This Row],[CANT JUEGOS ]]*salidas26[[#This Row],[PRECIO JUEGO]])</f>
        <v>60</v>
      </c>
      <c r="J1003" s="1" t="n">
        <f aca="false">(salidas26[[#This Row],[CANT BARRAS]]*salidas26[[#This Row],[PRECIO BARRA]])</f>
        <v>0</v>
      </c>
      <c r="K1003" s="1" t="n">
        <v>50</v>
      </c>
      <c r="L1003" s="1" t="s">
        <v>502</v>
      </c>
      <c r="M1003" s="1" t="s">
        <v>503</v>
      </c>
    </row>
    <row r="1004" customFormat="false" ht="15" hidden="false" customHeight="false" outlineLevel="0" collapsed="false">
      <c r="A1004" s="1" t="n">
        <v>775</v>
      </c>
      <c r="B1004" s="1" t="n">
        <v>1033</v>
      </c>
      <c r="C100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42LB6200-42LF6200 8B/6V</v>
      </c>
      <c r="D1004" s="75" t="n">
        <v>46122</v>
      </c>
      <c r="E100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00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1004" s="1" t="n">
        <v>1</v>
      </c>
      <c r="I1004" s="1" t="n">
        <f aca="false">(salidas26[[#This Row],[CANT JUEGOS ]]*salidas26[[#This Row],[PRECIO JUEGO]])</f>
        <v>180</v>
      </c>
      <c r="J1004" s="1" t="n">
        <f aca="false">(salidas26[[#This Row],[CANT BARRAS]]*salidas26[[#This Row],[PRECIO BARRA]])</f>
        <v>0</v>
      </c>
      <c r="K1004" s="1" t="n">
        <v>170</v>
      </c>
      <c r="L1004" s="1" t="s">
        <v>502</v>
      </c>
      <c r="M1004" s="1" t="s">
        <v>518</v>
      </c>
    </row>
    <row r="1005" customFormat="false" ht="15" hidden="false" customHeight="false" outlineLevel="0" collapsed="false">
      <c r="A1005" s="1" t="n">
        <v>776</v>
      </c>
      <c r="B1005" s="1" t="n">
        <v>5021</v>
      </c>
      <c r="C100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 A400L PANASONIC/1B</v>
      </c>
      <c r="D1005" s="75" t="n">
        <v>46122</v>
      </c>
      <c r="E100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100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150</v>
      </c>
      <c r="G1005" s="1" t="n">
        <v>1</v>
      </c>
      <c r="I1005" s="1" t="n">
        <f aca="false">(salidas26[[#This Row],[CANT JUEGOS ]]*salidas26[[#This Row],[PRECIO JUEGO]])</f>
        <v>150</v>
      </c>
      <c r="J1005" s="1" t="n">
        <f aca="false">(salidas26[[#This Row],[CANT BARRAS]]*salidas26[[#This Row],[PRECIO BARRA]])</f>
        <v>0</v>
      </c>
      <c r="K1005" s="1" t="n">
        <v>140</v>
      </c>
      <c r="L1005" s="1" t="s">
        <v>502</v>
      </c>
      <c r="M1005" s="1" t="s">
        <v>579</v>
      </c>
    </row>
    <row r="1006" customFormat="false" ht="15" hidden="false" customHeight="false" outlineLevel="0" collapsed="false">
      <c r="A1006" s="1" t="n">
        <v>777</v>
      </c>
      <c r="B1006" s="1" t="n">
        <v>1117</v>
      </c>
      <c r="C100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55LB6500/10B/6V </v>
      </c>
      <c r="D1006" s="75" t="n">
        <v>46122</v>
      </c>
      <c r="E100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100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1006" s="1" t="n">
        <v>1</v>
      </c>
      <c r="I1006" s="1" t="n">
        <f aca="false">(salidas26[[#This Row],[CANT JUEGOS ]]*salidas26[[#This Row],[PRECIO JUEGO]])</f>
        <v>350</v>
      </c>
      <c r="J1006" s="1" t="n">
        <f aca="false">(salidas26[[#This Row],[CANT BARRAS]]*salidas26[[#This Row],[PRECIO BARRA]])</f>
        <v>0</v>
      </c>
      <c r="K1006" s="1" t="n">
        <v>320</v>
      </c>
      <c r="L1006" s="1" t="s">
        <v>502</v>
      </c>
      <c r="M1006" s="1" t="s">
        <v>524</v>
      </c>
    </row>
    <row r="1007" customFormat="false" ht="15" hidden="false" customHeight="false" outlineLevel="0" collapsed="false">
      <c r="A1007" s="1" t="n">
        <v>778</v>
      </c>
      <c r="B1007" s="1" t="n">
        <v>8067</v>
      </c>
      <c r="C100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6V/10L/4B EN PARALELO</v>
      </c>
      <c r="D1007" s="75" t="n">
        <v>46122</v>
      </c>
      <c r="E100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100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1007" s="1" t="n">
        <v>1</v>
      </c>
      <c r="I1007" s="1" t="n">
        <f aca="false">(salidas26[[#This Row],[CANT JUEGOS ]]*salidas26[[#This Row],[PRECIO JUEGO]])</f>
        <v>220</v>
      </c>
      <c r="J1007" s="1" t="n">
        <f aca="false">(salidas26[[#This Row],[CANT BARRAS]]*salidas26[[#This Row],[PRECIO BARRA]])</f>
        <v>0</v>
      </c>
      <c r="K1007" s="1" t="n">
        <v>200</v>
      </c>
      <c r="L1007" s="1" t="s">
        <v>533</v>
      </c>
      <c r="M1007" s="1" t="s">
        <v>702</v>
      </c>
    </row>
    <row r="1008" customFormat="false" ht="15" hidden="false" customHeight="false" outlineLevel="0" collapsed="false">
      <c r="A1008" s="1" t="n">
        <v>779</v>
      </c>
      <c r="B1008" s="1" t="n">
        <v>7004</v>
      </c>
      <c r="C100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IRT LED4060SFHD 8L/3V/3B</v>
      </c>
      <c r="D1008" s="75" t="n">
        <v>46122</v>
      </c>
      <c r="E100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100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1008" s="1" t="n">
        <v>1</v>
      </c>
      <c r="I1008" s="1" t="n">
        <f aca="false">(salidas26[[#This Row],[CANT JUEGOS ]]*salidas26[[#This Row],[PRECIO JUEGO]])</f>
        <v>150</v>
      </c>
      <c r="J1008" s="1" t="n">
        <f aca="false">(salidas26[[#This Row],[CANT BARRAS]]*salidas26[[#This Row],[PRECIO BARRA]])</f>
        <v>0</v>
      </c>
      <c r="K1008" s="1" t="n">
        <v>150</v>
      </c>
      <c r="L1008" s="1" t="s">
        <v>533</v>
      </c>
      <c r="M1008" s="1" t="s">
        <v>702</v>
      </c>
    </row>
    <row r="1009" customFormat="false" ht="15" hidden="false" customHeight="false" outlineLevel="0" collapsed="false">
      <c r="A1009" s="1" t="n">
        <v>780</v>
      </c>
      <c r="B1009" s="1" t="n">
        <v>2075</v>
      </c>
      <c r="C100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UN55NU7100-UN55RU7100/2B EDGE</v>
      </c>
      <c r="D1009" s="75" t="n">
        <v>46122</v>
      </c>
      <c r="E100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100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100</v>
      </c>
      <c r="G1009" s="1" t="n">
        <v>1</v>
      </c>
      <c r="I1009" s="1" t="n">
        <f aca="false">(salidas26[[#This Row],[CANT JUEGOS ]]*salidas26[[#This Row],[PRECIO JUEGO]])</f>
        <v>200</v>
      </c>
      <c r="J1009" s="1" t="n">
        <f aca="false">(salidas26[[#This Row],[CANT BARRAS]]*salidas26[[#This Row],[PRECIO BARRA]])</f>
        <v>0</v>
      </c>
      <c r="K1009" s="1" t="n">
        <v>200</v>
      </c>
      <c r="L1009" s="1" t="s">
        <v>533</v>
      </c>
      <c r="M1009" s="1" t="s">
        <v>583</v>
      </c>
    </row>
    <row r="1010" customFormat="false" ht="15" hidden="false" customHeight="false" outlineLevel="0" collapsed="false">
      <c r="B1010" s="1" t="n">
        <v>3003</v>
      </c>
      <c r="C101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40B8000 4B/12LED/3V</v>
      </c>
      <c r="D1010" s="75" t="n">
        <v>46122</v>
      </c>
      <c r="E101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101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1010" s="1" t="n">
        <v>1</v>
      </c>
      <c r="I1010" s="1" t="n">
        <f aca="false">(salidas26[[#This Row],[CANT JUEGOS ]]*salidas26[[#This Row],[PRECIO JUEGO]])</f>
        <v>160</v>
      </c>
      <c r="J1010" s="1" t="n">
        <f aca="false">(salidas26[[#This Row],[CANT BARRAS]]*salidas26[[#This Row],[PRECIO BARRA]])</f>
        <v>0</v>
      </c>
    </row>
    <row r="1011" customFormat="false" ht="15" hidden="false" customHeight="false" outlineLevel="0" collapsed="false">
      <c r="A1011" s="1" t="n">
        <v>781</v>
      </c>
      <c r="B1011" s="1" t="n">
        <v>3003</v>
      </c>
      <c r="C101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40B8000 4B/12LED/3V</v>
      </c>
      <c r="D1011" s="75" t="n">
        <v>46122</v>
      </c>
      <c r="E101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101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1011" s="1" t="n">
        <v>1</v>
      </c>
      <c r="H1011" s="1" t="n">
        <v>2</v>
      </c>
      <c r="I1011" s="1" t="n">
        <f aca="false">(salidas26[[#This Row],[CANT JUEGOS ]]*salidas26[[#This Row],[PRECIO JUEGO]])</f>
        <v>160</v>
      </c>
      <c r="J1011" s="1" t="n">
        <f aca="false">(salidas26[[#This Row],[CANT BARRAS]]*salidas26[[#This Row],[PRECIO BARRA]])</f>
        <v>80</v>
      </c>
      <c r="K1011" s="1" t="n">
        <v>140</v>
      </c>
      <c r="M1011" s="1" t="s">
        <v>745</v>
      </c>
    </row>
    <row r="1012" customFormat="false" ht="15" hidden="false" customHeight="false" outlineLevel="0" collapsed="false">
      <c r="A1012" s="1" t="n">
        <v>782</v>
      </c>
      <c r="B1012" s="1" t="n">
        <v>2095</v>
      </c>
      <c r="C101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UN60AU8000G-60BU8000/2B</v>
      </c>
      <c r="D1012" s="75" t="n">
        <v>46122</v>
      </c>
      <c r="E101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101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125</v>
      </c>
      <c r="G1012" s="1" t="n">
        <v>1</v>
      </c>
      <c r="I1012" s="1" t="n">
        <f aca="false">(salidas26[[#This Row],[CANT JUEGOS ]]*salidas26[[#This Row],[PRECIO JUEGO]])</f>
        <v>250</v>
      </c>
      <c r="J1012" s="1" t="n">
        <f aca="false">(salidas26[[#This Row],[CANT BARRAS]]*salidas26[[#This Row],[PRECIO BARRA]])</f>
        <v>0</v>
      </c>
      <c r="K1012" s="1" t="n">
        <v>200</v>
      </c>
      <c r="L1012" s="1" t="s">
        <v>533</v>
      </c>
      <c r="M1012" s="1" t="s">
        <v>650</v>
      </c>
    </row>
    <row r="1013" customFormat="false" ht="15" hidden="false" customHeight="false" outlineLevel="0" collapsed="false">
      <c r="A1013" s="1" t="n">
        <v>783</v>
      </c>
      <c r="B1013" s="1" t="n">
        <v>2093</v>
      </c>
      <c r="C101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UN60FH6003/12B</v>
      </c>
      <c r="D1013" s="75" t="n">
        <v>46122</v>
      </c>
      <c r="E101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101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1013" s="1" t="n">
        <v>1</v>
      </c>
      <c r="I1013" s="1" t="n">
        <f aca="false">(salidas26[[#This Row],[CANT JUEGOS ]]*salidas26[[#This Row],[PRECIO JUEGO]])</f>
        <v>400</v>
      </c>
      <c r="J1013" s="1" t="n">
        <f aca="false">(salidas26[[#This Row],[CANT BARRAS]]*salidas26[[#This Row],[PRECIO BARRA]])</f>
        <v>0</v>
      </c>
      <c r="K1013" s="1" t="n">
        <v>380</v>
      </c>
      <c r="L1013" s="1" t="s">
        <v>533</v>
      </c>
      <c r="M1013" s="1" t="s">
        <v>506</v>
      </c>
    </row>
    <row r="1014" customFormat="false" ht="15" hidden="false" customHeight="false" outlineLevel="0" collapsed="false">
      <c r="A1014" s="1" t="n">
        <v>784</v>
      </c>
      <c r="B1014" s="1" t="n">
        <v>1018</v>
      </c>
      <c r="C101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LH 5100-2B/5L</v>
      </c>
      <c r="D1014" s="75" t="n">
        <v>46122</v>
      </c>
      <c r="E101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101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1014" s="1" t="n">
        <v>1</v>
      </c>
      <c r="I1014" s="1" t="n">
        <f aca="false">(salidas26[[#This Row],[CANT JUEGOS ]]*salidas26[[#This Row],[PRECIO JUEGO]])</f>
        <v>80</v>
      </c>
      <c r="J1014" s="1" t="n">
        <f aca="false">(salidas26[[#This Row],[CANT BARRAS]]*salidas26[[#This Row],[PRECIO BARRA]])</f>
        <v>0</v>
      </c>
      <c r="K1014" s="1" t="n">
        <v>70</v>
      </c>
      <c r="L1014" s="1" t="s">
        <v>533</v>
      </c>
      <c r="M1014" s="1" t="s">
        <v>506</v>
      </c>
    </row>
    <row r="1015" customFormat="false" ht="15" hidden="false" customHeight="false" outlineLevel="0" collapsed="false">
      <c r="A1015" s="1" t="n">
        <v>785</v>
      </c>
      <c r="B1015" s="1" t="n">
        <v>8033</v>
      </c>
      <c r="C101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1015" s="75" t="n">
        <v>46122</v>
      </c>
      <c r="E101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101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1015" s="1" t="n">
        <v>1</v>
      </c>
      <c r="I1015" s="1" t="n">
        <f aca="false">(salidas26[[#This Row],[CANT JUEGOS ]]*salidas26[[#This Row],[PRECIO JUEGO]])</f>
        <v>150</v>
      </c>
      <c r="J1015" s="1" t="n">
        <f aca="false">(salidas26[[#This Row],[CANT BARRAS]]*salidas26[[#This Row],[PRECIO BARRA]])</f>
        <v>0</v>
      </c>
      <c r="K1015" s="1" t="n">
        <v>140</v>
      </c>
      <c r="L1015" s="1" t="s">
        <v>502</v>
      </c>
      <c r="M1015" s="1" t="s">
        <v>518</v>
      </c>
    </row>
    <row r="1016" customFormat="false" ht="15" hidden="false" customHeight="false" outlineLevel="0" collapsed="false">
      <c r="A1016" s="1" t="n">
        <v>786</v>
      </c>
      <c r="B1016" s="1" t="n">
        <v>8055</v>
      </c>
      <c r="C101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PREMIER 8L/3V/3B 8047SF43SF</v>
      </c>
      <c r="D1016" s="75" t="n">
        <v>46122</v>
      </c>
      <c r="E101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01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1016" s="1" t="n">
        <v>1</v>
      </c>
      <c r="I1016" s="1" t="n">
        <f aca="false">(salidas26[[#This Row],[CANT JUEGOS ]]*salidas26[[#This Row],[PRECIO JUEGO]])</f>
        <v>180</v>
      </c>
      <c r="J1016" s="1" t="n">
        <f aca="false">(salidas26[[#This Row],[CANT BARRAS]]*salidas26[[#This Row],[PRECIO BARRA]])</f>
        <v>0</v>
      </c>
      <c r="K1016" s="1" t="n">
        <v>200</v>
      </c>
      <c r="L1016" s="1" t="s">
        <v>533</v>
      </c>
      <c r="M1016" s="1" t="s">
        <v>746</v>
      </c>
    </row>
    <row r="1017" customFormat="false" ht="15" hidden="false" customHeight="false" outlineLevel="0" collapsed="false">
      <c r="A1017" s="1" t="n">
        <v>787</v>
      </c>
      <c r="B1017" s="1" t="n">
        <v>4003</v>
      </c>
      <c r="C101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DAEWOO 8L/3V - 3B</v>
      </c>
      <c r="D1017" s="75" t="n">
        <v>46122</v>
      </c>
      <c r="E101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101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017" s="1" t="n">
        <v>1</v>
      </c>
      <c r="I1017" s="1" t="n">
        <f aca="false">(salidas26[[#This Row],[CANT JUEGOS ]]*salidas26[[#This Row],[PRECIO JUEGO]])</f>
        <v>90</v>
      </c>
      <c r="J1017" s="1" t="n">
        <f aca="false">(salidas26[[#This Row],[CANT BARRAS]]*salidas26[[#This Row],[PRECIO BARRA]])</f>
        <v>0</v>
      </c>
      <c r="K1017" s="1" t="n">
        <v>60</v>
      </c>
      <c r="L1017" s="1" t="s">
        <v>502</v>
      </c>
      <c r="M1017" s="1" t="s">
        <v>746</v>
      </c>
    </row>
    <row r="1018" customFormat="false" ht="15" hidden="false" customHeight="false" outlineLevel="0" collapsed="false">
      <c r="A1018" s="1" t="n">
        <v>789</v>
      </c>
      <c r="B1018" s="1" t="n">
        <v>8015</v>
      </c>
      <c r="C101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1018" s="75" t="n">
        <v>46123</v>
      </c>
      <c r="E101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101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018" s="1" t="n">
        <v>1</v>
      </c>
      <c r="I1018" s="1" t="n">
        <f aca="false">(salidas26[[#This Row],[CANT JUEGOS ]]*salidas26[[#This Row],[PRECIO JUEGO]])</f>
        <v>60</v>
      </c>
      <c r="J1018" s="1" t="n">
        <f aca="false">(salidas26[[#This Row],[CANT BARRAS]]*salidas26[[#This Row],[PRECIO BARRA]])</f>
        <v>0</v>
      </c>
      <c r="K1018" s="1" t="n">
        <v>60</v>
      </c>
      <c r="L1018" s="1" t="s">
        <v>601</v>
      </c>
      <c r="M1018" s="1" t="s">
        <v>747</v>
      </c>
    </row>
    <row r="1019" customFormat="false" ht="15" hidden="false" customHeight="false" outlineLevel="0" collapsed="false">
      <c r="A1019" s="1" t="n">
        <v>790</v>
      </c>
      <c r="B1019" s="1" t="n">
        <v>8015</v>
      </c>
      <c r="C101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1019" s="75" t="n">
        <v>46123</v>
      </c>
      <c r="E101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101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019" s="1" t="n">
        <v>2</v>
      </c>
      <c r="I1019" s="1" t="n">
        <f aca="false">(salidas26[[#This Row],[CANT JUEGOS ]]*salidas26[[#This Row],[PRECIO JUEGO]])</f>
        <v>120</v>
      </c>
      <c r="J1019" s="1" t="n">
        <f aca="false">(salidas26[[#This Row],[CANT BARRAS]]*salidas26[[#This Row],[PRECIO BARRA]])</f>
        <v>0</v>
      </c>
      <c r="K1019" s="1" t="n">
        <v>100</v>
      </c>
      <c r="L1019" s="1" t="s">
        <v>533</v>
      </c>
      <c r="M1019" s="1" t="s">
        <v>505</v>
      </c>
    </row>
    <row r="1020" customFormat="false" ht="15" hidden="false" customHeight="false" outlineLevel="0" collapsed="false">
      <c r="A1020" s="1" t="n">
        <v>791</v>
      </c>
      <c r="B1020" s="1" t="n">
        <v>2051</v>
      </c>
      <c r="C102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UN49J5290/8B</v>
      </c>
      <c r="D1020" s="75" t="n">
        <v>46123</v>
      </c>
      <c r="E102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102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32.5</v>
      </c>
      <c r="G1020" s="1" t="n">
        <v>1</v>
      </c>
      <c r="I1020" s="1" t="n">
        <f aca="false">(salidas26[[#This Row],[CANT JUEGOS ]]*salidas26[[#This Row],[PRECIO JUEGO]])</f>
        <v>260</v>
      </c>
      <c r="J1020" s="1" t="n">
        <f aca="false">(salidas26[[#This Row],[CANT BARRAS]]*salidas26[[#This Row],[PRECIO BARRA]])</f>
        <v>0</v>
      </c>
      <c r="K1020" s="1" t="n">
        <v>250</v>
      </c>
      <c r="L1020" s="1" t="s">
        <v>533</v>
      </c>
      <c r="M1020" s="1" t="s">
        <v>511</v>
      </c>
    </row>
    <row r="1021" customFormat="false" ht="15" hidden="false" customHeight="false" outlineLevel="0" collapsed="false">
      <c r="A1021" s="1" t="n">
        <v>792</v>
      </c>
      <c r="B1021" s="1" t="n">
        <v>1114</v>
      </c>
      <c r="C102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55LA6600/2B</v>
      </c>
      <c r="D1021" s="75" t="n">
        <v>46123</v>
      </c>
      <c r="E102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102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140</v>
      </c>
      <c r="G1021" s="1" t="n">
        <v>1</v>
      </c>
      <c r="I1021" s="1" t="n">
        <f aca="false">(salidas26[[#This Row],[CANT JUEGOS ]]*salidas26[[#This Row],[PRECIO JUEGO]])</f>
        <v>280</v>
      </c>
      <c r="J1021" s="1" t="n">
        <f aca="false">(salidas26[[#This Row],[CANT BARRAS]]*salidas26[[#This Row],[PRECIO BARRA]])</f>
        <v>0</v>
      </c>
      <c r="K1021" s="1" t="n">
        <v>280</v>
      </c>
      <c r="L1021" s="1" t="s">
        <v>533</v>
      </c>
      <c r="M1021" s="1" t="s">
        <v>503</v>
      </c>
    </row>
    <row r="1022" customFormat="false" ht="15" hidden="false" customHeight="false" outlineLevel="0" collapsed="false">
      <c r="A1022" s="1" t="n">
        <v>793</v>
      </c>
      <c r="B1022" s="1" t="n">
        <v>7018</v>
      </c>
      <c r="C102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IRT 5L/3V KONKA- CROWN-TV5577SD/9L/9B</v>
      </c>
      <c r="D1022" s="75" t="n">
        <v>46123</v>
      </c>
      <c r="E102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102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31.1111111111111</v>
      </c>
      <c r="G1022" s="1" t="n">
        <v>1</v>
      </c>
      <c r="I1022" s="1" t="n">
        <f aca="false">(salidas26[[#This Row],[CANT JUEGOS ]]*salidas26[[#This Row],[PRECIO JUEGO]])</f>
        <v>280</v>
      </c>
      <c r="J1022" s="1" t="n">
        <f aca="false">(salidas26[[#This Row],[CANT BARRAS]]*salidas26[[#This Row],[PRECIO BARRA]])</f>
        <v>0</v>
      </c>
      <c r="K1022" s="1" t="n">
        <v>280</v>
      </c>
      <c r="L1022" s="1" t="s">
        <v>502</v>
      </c>
      <c r="M1022" s="1" t="s">
        <v>503</v>
      </c>
    </row>
    <row r="1023" customFormat="false" ht="15" hidden="false" customHeight="false" outlineLevel="0" collapsed="false">
      <c r="A1023" s="1" t="n">
        <v>794</v>
      </c>
      <c r="B1023" s="1" t="n">
        <v>8015</v>
      </c>
      <c r="C102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1023" s="75" t="n">
        <v>46123</v>
      </c>
      <c r="E102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102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023" s="1" t="n">
        <v>1</v>
      </c>
      <c r="I1023" s="1" t="n">
        <f aca="false">(salidas26[[#This Row],[CANT JUEGOS ]]*salidas26[[#This Row],[PRECIO JUEGO]])</f>
        <v>60</v>
      </c>
      <c r="J1023" s="1" t="n">
        <f aca="false">(salidas26[[#This Row],[CANT BARRAS]]*salidas26[[#This Row],[PRECIO BARRA]])</f>
        <v>0</v>
      </c>
      <c r="K1023" s="1" t="n">
        <v>50</v>
      </c>
      <c r="L1023" s="1" t="s">
        <v>502</v>
      </c>
      <c r="M1023" s="1" t="s">
        <v>748</v>
      </c>
    </row>
    <row r="1024" customFormat="false" ht="15" hidden="false" customHeight="false" outlineLevel="0" collapsed="false">
      <c r="A1024" s="1" t="n">
        <v>795</v>
      </c>
      <c r="B1024" s="1" t="n">
        <v>1015</v>
      </c>
      <c r="C102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32LH500B-32LK500 3B/7L/3V</v>
      </c>
      <c r="D1024" s="75" t="n">
        <v>46123</v>
      </c>
      <c r="E102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102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1024" s="1" t="n">
        <v>1</v>
      </c>
      <c r="I1024" s="1" t="n">
        <f aca="false">(salidas26[[#This Row],[CANT JUEGOS ]]*salidas26[[#This Row],[PRECIO JUEGO]])</f>
        <v>80</v>
      </c>
      <c r="J1024" s="1" t="n">
        <f aca="false">(salidas26[[#This Row],[CANT BARRAS]]*salidas26[[#This Row],[PRECIO BARRA]])</f>
        <v>0</v>
      </c>
      <c r="K1024" s="1" t="n">
        <v>80</v>
      </c>
      <c r="L1024" s="1" t="s">
        <v>502</v>
      </c>
      <c r="M1024" s="1" t="s">
        <v>559</v>
      </c>
    </row>
    <row r="1025" customFormat="false" ht="15" hidden="false" customHeight="false" outlineLevel="0" collapsed="false">
      <c r="A1025" s="1" t="n">
        <v>797</v>
      </c>
      <c r="B1025" s="1" t="n">
        <v>1045</v>
      </c>
      <c r="C102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42LM6200/1B</v>
      </c>
      <c r="D1025" s="75" t="n">
        <v>46123</v>
      </c>
      <c r="E102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140</v>
      </c>
      <c r="F102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140</v>
      </c>
      <c r="G1025" s="1" t="n">
        <v>1</v>
      </c>
      <c r="I1025" s="1" t="n">
        <f aca="false">(salidas26[[#This Row],[CANT JUEGOS ]]*salidas26[[#This Row],[PRECIO JUEGO]])</f>
        <v>140</v>
      </c>
      <c r="J1025" s="1" t="n">
        <f aca="false">(salidas26[[#This Row],[CANT BARRAS]]*salidas26[[#This Row],[PRECIO BARRA]])</f>
        <v>0</v>
      </c>
      <c r="K1025" s="1" t="n">
        <v>150</v>
      </c>
      <c r="L1025" s="1" t="s">
        <v>533</v>
      </c>
      <c r="M1025" s="1" t="s">
        <v>679</v>
      </c>
    </row>
    <row r="1026" customFormat="false" ht="15" hidden="false" customHeight="false" outlineLevel="0" collapsed="false">
      <c r="A1026" s="1" t="n">
        <v>798</v>
      </c>
      <c r="B1026" s="1" t="n">
        <v>2021</v>
      </c>
      <c r="C102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UN40F5000-F6400/14 B</v>
      </c>
      <c r="D1026" s="75" t="n">
        <v>46125</v>
      </c>
      <c r="E102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102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18.5714285714286</v>
      </c>
      <c r="G1026" s="1" t="n">
        <v>1</v>
      </c>
      <c r="I1026" s="1" t="n">
        <f aca="false">(salidas26[[#This Row],[CANT JUEGOS ]]*salidas26[[#This Row],[PRECIO JUEGO]])</f>
        <v>260</v>
      </c>
      <c r="J1026" s="1" t="n">
        <f aca="false">(salidas26[[#This Row],[CANT BARRAS]]*salidas26[[#This Row],[PRECIO BARRA]])</f>
        <v>0</v>
      </c>
      <c r="K1026" s="1" t="n">
        <v>260</v>
      </c>
      <c r="L1026" s="1" t="s">
        <v>533</v>
      </c>
      <c r="M1026" s="1" t="s">
        <v>510</v>
      </c>
    </row>
    <row r="1027" customFormat="false" ht="15" hidden="false" customHeight="false" outlineLevel="0" collapsed="false">
      <c r="A1027" s="1" t="n">
        <v>799</v>
      </c>
      <c r="B1027" s="1" t="n">
        <v>8067</v>
      </c>
      <c r="C102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6V/10L/4B EN PARALELO</v>
      </c>
      <c r="D1027" s="75" t="n">
        <v>46125</v>
      </c>
      <c r="E102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102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1027" s="1" t="n">
        <v>1</v>
      </c>
      <c r="I1027" s="1" t="n">
        <f aca="false">(salidas26[[#This Row],[CANT JUEGOS ]]*salidas26[[#This Row],[PRECIO JUEGO]])</f>
        <v>220</v>
      </c>
      <c r="J1027" s="1" t="n">
        <f aca="false">(salidas26[[#This Row],[CANT BARRAS]]*salidas26[[#This Row],[PRECIO BARRA]])</f>
        <v>0</v>
      </c>
      <c r="K1027" s="1" t="n">
        <v>200</v>
      </c>
      <c r="L1027" s="1" t="s">
        <v>502</v>
      </c>
      <c r="M1027" s="1" t="s">
        <v>503</v>
      </c>
    </row>
    <row r="1028" customFormat="false" ht="15" hidden="false" customHeight="false" outlineLevel="0" collapsed="false">
      <c r="A1028" s="1" t="n">
        <v>800</v>
      </c>
      <c r="B1028" s="1" t="n">
        <v>1049</v>
      </c>
      <c r="C102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43LJ5500 3B/7L</v>
      </c>
      <c r="D1028" s="75" t="n">
        <v>46125</v>
      </c>
      <c r="E102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02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1028" s="1" t="n">
        <v>1</v>
      </c>
      <c r="I1028" s="1" t="n">
        <f aca="false">(salidas26[[#This Row],[CANT JUEGOS ]]*salidas26[[#This Row],[PRECIO JUEGO]])</f>
        <v>180</v>
      </c>
      <c r="J1028" s="1" t="n">
        <f aca="false">(salidas26[[#This Row],[CANT BARRAS]]*salidas26[[#This Row],[PRECIO BARRA]])</f>
        <v>0</v>
      </c>
      <c r="M1028" s="1" t="s">
        <v>683</v>
      </c>
    </row>
    <row r="1029" customFormat="false" ht="15" hidden="false" customHeight="false" outlineLevel="0" collapsed="false">
      <c r="A1029" s="1" t="n">
        <v>801</v>
      </c>
      <c r="B1029" s="1" t="n">
        <v>1015</v>
      </c>
      <c r="C102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32LH500B-32LK500 3B/7L/3V</v>
      </c>
      <c r="D1029" s="75" t="n">
        <v>46124</v>
      </c>
      <c r="E102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102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1029" s="1" t="n">
        <v>2</v>
      </c>
      <c r="I1029" s="1" t="n">
        <f aca="false">(salidas26[[#This Row],[CANT JUEGOS ]]*salidas26[[#This Row],[PRECIO JUEGO]])</f>
        <v>160</v>
      </c>
      <c r="J1029" s="1" t="n">
        <f aca="false">(salidas26[[#This Row],[CANT BARRAS]]*salidas26[[#This Row],[PRECIO BARRA]])</f>
        <v>0</v>
      </c>
      <c r="K1029" s="1" t="n">
        <v>128</v>
      </c>
      <c r="L1029" s="1" t="s">
        <v>502</v>
      </c>
      <c r="M1029" s="1" t="s">
        <v>534</v>
      </c>
    </row>
    <row r="1030" customFormat="false" ht="31.3" hidden="false" customHeight="false" outlineLevel="0" collapsed="false">
      <c r="A1030" s="1" t="n">
        <v>802</v>
      </c>
      <c r="B1030" s="1" t="n">
        <v>8012</v>
      </c>
      <c r="C1030" s="76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CHANCHONG CD1000 8L/3V/DIF. 180/3B 
32 CHANCHONG CD2000U 4B A 150 BS</v>
      </c>
      <c r="D1030" s="75" t="n">
        <v>46124</v>
      </c>
      <c r="E103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100</v>
      </c>
      <c r="F103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1030" s="1" t="n">
        <v>1</v>
      </c>
      <c r="I1030" s="1" t="n">
        <f aca="false">(salidas26[[#This Row],[CANT JUEGOS ]]*salidas26[[#This Row],[PRECIO JUEGO]])</f>
        <v>100</v>
      </c>
      <c r="J1030" s="1" t="n">
        <f aca="false">(salidas26[[#This Row],[CANT BARRAS]]*salidas26[[#This Row],[PRECIO BARRA]])</f>
        <v>0</v>
      </c>
      <c r="K1030" s="1" t="n">
        <v>80</v>
      </c>
      <c r="L1030" s="1" t="s">
        <v>502</v>
      </c>
      <c r="M1030" s="1" t="s">
        <v>534</v>
      </c>
    </row>
    <row r="1031" customFormat="false" ht="15" hidden="false" customHeight="false" outlineLevel="0" collapsed="false">
      <c r="A1031" s="1" t="n">
        <v>803</v>
      </c>
      <c r="B1031" s="1" t="n">
        <v>7004</v>
      </c>
      <c r="C103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IRT LED4060SFHD 8L/3V/3B</v>
      </c>
      <c r="D1031" s="75" t="n">
        <v>46124</v>
      </c>
      <c r="E103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103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1031" s="1" t="n">
        <v>1</v>
      </c>
      <c r="I1031" s="1" t="n">
        <f aca="false">(salidas26[[#This Row],[CANT JUEGOS ]]*salidas26[[#This Row],[PRECIO JUEGO]])</f>
        <v>150</v>
      </c>
      <c r="J1031" s="1" t="n">
        <f aca="false">(salidas26[[#This Row],[CANT BARRAS]]*salidas26[[#This Row],[PRECIO BARRA]])</f>
        <v>0</v>
      </c>
      <c r="K1031" s="1" t="n">
        <v>120</v>
      </c>
      <c r="L1031" s="1" t="s">
        <v>502</v>
      </c>
      <c r="M1031" s="1" t="s">
        <v>534</v>
      </c>
    </row>
    <row r="1032" customFormat="false" ht="15" hidden="false" customHeight="false" outlineLevel="0" collapsed="false">
      <c r="A1032" s="1" t="n">
        <v>804</v>
      </c>
      <c r="B1032" s="1" t="n">
        <v>1087</v>
      </c>
      <c r="C103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49LK5400 /8B</v>
      </c>
      <c r="D1032" s="75" t="n">
        <v>46125</v>
      </c>
      <c r="E103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103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27.5</v>
      </c>
      <c r="G1032" s="1" t="n">
        <v>1</v>
      </c>
      <c r="I1032" s="1" t="n">
        <f aca="false">(salidas26[[#This Row],[CANT JUEGOS ]]*salidas26[[#This Row],[PRECIO JUEGO]])</f>
        <v>220</v>
      </c>
      <c r="J1032" s="1" t="n">
        <f aca="false">(salidas26[[#This Row],[CANT BARRAS]]*salidas26[[#This Row],[PRECIO BARRA]])</f>
        <v>0</v>
      </c>
      <c r="K1032" s="1" t="n">
        <v>225</v>
      </c>
      <c r="L1032" s="1" t="s">
        <v>533</v>
      </c>
      <c r="M1032" s="1" t="s">
        <v>546</v>
      </c>
    </row>
    <row r="1033" customFormat="false" ht="15" hidden="false" customHeight="false" outlineLevel="0" collapsed="false">
      <c r="A1033" s="1" t="n">
        <v>805</v>
      </c>
      <c r="B1033" s="1" t="n">
        <v>1015</v>
      </c>
      <c r="C103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32LH500B-32LK500 3B/7L/3V</v>
      </c>
      <c r="D1033" s="75" t="n">
        <v>46125</v>
      </c>
      <c r="E103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103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1033" s="1" t="n">
        <v>1</v>
      </c>
      <c r="I1033" s="1" t="n">
        <f aca="false">(salidas26[[#This Row],[CANT JUEGOS ]]*salidas26[[#This Row],[PRECIO JUEGO]])</f>
        <v>80</v>
      </c>
      <c r="J1033" s="1" t="n">
        <f aca="false">(salidas26[[#This Row],[CANT BARRAS]]*salidas26[[#This Row],[PRECIO BARRA]])</f>
        <v>0</v>
      </c>
      <c r="K1033" s="1" t="n">
        <v>100</v>
      </c>
      <c r="L1033" s="1" t="s">
        <v>533</v>
      </c>
      <c r="M1033" s="1" t="s">
        <v>526</v>
      </c>
    </row>
    <row r="1034" customFormat="false" ht="15" hidden="false" customHeight="false" outlineLevel="0" collapsed="false">
      <c r="B1034" s="1" t="n">
        <v>2093</v>
      </c>
      <c r="C103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UN60FH6003/12B</v>
      </c>
      <c r="D1034" s="75" t="n">
        <v>46125</v>
      </c>
      <c r="E103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103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1034" s="1" t="n">
        <v>1</v>
      </c>
      <c r="I1034" s="1" t="n">
        <f aca="false">(salidas26[[#This Row],[CANT JUEGOS ]]*salidas26[[#This Row],[PRECIO JUEGO]])</f>
        <v>400</v>
      </c>
      <c r="J1034" s="1" t="n">
        <f aca="false">(salidas26[[#This Row],[CANT BARRAS]]*salidas26[[#This Row],[PRECIO BARRA]])</f>
        <v>0</v>
      </c>
      <c r="M1034" s="1" t="s">
        <v>749</v>
      </c>
    </row>
    <row r="1035" customFormat="false" ht="15" hidden="false" customHeight="false" outlineLevel="0" collapsed="false">
      <c r="A1035" s="1" t="n">
        <v>806</v>
      </c>
      <c r="B1035" s="1" t="n">
        <v>8067</v>
      </c>
      <c r="C103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6V/10L/4B EN PARALELO</v>
      </c>
      <c r="D1035" s="75" t="n">
        <v>46125</v>
      </c>
      <c r="E103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103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1035" s="1" t="n">
        <v>1</v>
      </c>
      <c r="I1035" s="1" t="n">
        <f aca="false">(salidas26[[#This Row],[CANT JUEGOS ]]*salidas26[[#This Row],[PRECIO JUEGO]])</f>
        <v>220</v>
      </c>
      <c r="J1035" s="1" t="n">
        <f aca="false">(salidas26[[#This Row],[CANT BARRAS]]*salidas26[[#This Row],[PRECIO BARRA]])</f>
        <v>0</v>
      </c>
      <c r="K1035" s="1" t="n">
        <v>200</v>
      </c>
      <c r="L1035" s="1" t="s">
        <v>533</v>
      </c>
      <c r="M1035" s="1" t="s">
        <v>614</v>
      </c>
    </row>
    <row r="1036" customFormat="false" ht="15" hidden="false" customHeight="false" outlineLevel="0" collapsed="false">
      <c r="A1036" s="1" t="n">
        <v>807</v>
      </c>
      <c r="B1036" s="1" t="n">
        <v>8033</v>
      </c>
      <c r="C103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1036" s="75" t="n">
        <v>46126</v>
      </c>
      <c r="E103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103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1036" s="1" t="n">
        <v>1</v>
      </c>
      <c r="I1036" s="1" t="n">
        <f aca="false">(salidas26[[#This Row],[CANT JUEGOS ]]*salidas26[[#This Row],[PRECIO JUEGO]])</f>
        <v>150</v>
      </c>
      <c r="J1036" s="1" t="n">
        <f aca="false">(salidas26[[#This Row],[CANT BARRAS]]*salidas26[[#This Row],[PRECIO BARRA]])</f>
        <v>0</v>
      </c>
      <c r="K1036" s="1" t="n">
        <v>140</v>
      </c>
      <c r="L1036" s="1" t="s">
        <v>502</v>
      </c>
      <c r="M1036" s="1" t="s">
        <v>518</v>
      </c>
    </row>
    <row r="1037" customFormat="false" ht="15" hidden="false" customHeight="false" outlineLevel="0" collapsed="false">
      <c r="A1037" s="1" t="n">
        <v>808</v>
      </c>
      <c r="B1037" s="1" t="n">
        <v>8033</v>
      </c>
      <c r="C103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o 39 PREMIER 3B/7-6-7 LEDS /6V  7180SF40</v>
      </c>
      <c r="D1037" s="75" t="n">
        <v>46126</v>
      </c>
      <c r="E103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103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1037" s="1" t="n">
        <v>1</v>
      </c>
      <c r="I1037" s="1" t="n">
        <f aca="false">(salidas26[[#This Row],[CANT JUEGOS ]]*salidas26[[#This Row],[PRECIO JUEGO]])</f>
        <v>150</v>
      </c>
      <c r="J1037" s="1" t="n">
        <f aca="false">(salidas26[[#This Row],[CANT BARRAS]]*salidas26[[#This Row],[PRECIO BARRA]])</f>
        <v>0</v>
      </c>
      <c r="M1037" s="1" t="s">
        <v>508</v>
      </c>
    </row>
    <row r="1038" customFormat="false" ht="15" hidden="false" customHeight="false" outlineLevel="0" collapsed="false">
      <c r="A1038" s="1" t="n">
        <v>809</v>
      </c>
      <c r="B1038" s="1" t="n">
        <v>3012</v>
      </c>
      <c r="C103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48M600 10B/6-7LEDS Y 4 -8LEDS/3V </v>
      </c>
      <c r="D1038" s="75" t="n">
        <v>46126</v>
      </c>
      <c r="E103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103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</v>
      </c>
      <c r="H1038" s="1" t="n">
        <v>2</v>
      </c>
      <c r="I1038" s="1" t="n">
        <f aca="false">(salidas26[[#This Row],[CANT JUEGOS ]]*salidas26[[#This Row],[PRECIO JUEGO]])</f>
        <v>0</v>
      </c>
      <c r="J1038" s="1" t="n">
        <f aca="false">(salidas26[[#This Row],[CANT BARRAS]]*salidas26[[#This Row],[PRECIO BARRA]])</f>
        <v>52</v>
      </c>
      <c r="M1038" s="1" t="s">
        <v>508</v>
      </c>
    </row>
    <row r="1039" customFormat="false" ht="15" hidden="false" customHeight="false" outlineLevel="0" collapsed="false">
      <c r="A1039" s="1" t="n">
        <v>810</v>
      </c>
      <c r="B1039" s="1" t="n">
        <v>2093</v>
      </c>
      <c r="C103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UN60FH6003/12B</v>
      </c>
      <c r="D1039" s="75" t="n">
        <v>46126</v>
      </c>
      <c r="E103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103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H1039" s="1" t="n">
        <v>1</v>
      </c>
      <c r="I1039" s="1" t="n">
        <f aca="false">(salidas26[[#This Row],[CANT JUEGOS ]]*salidas26[[#This Row],[PRECIO JUEGO]])</f>
        <v>0</v>
      </c>
      <c r="J1039" s="1" t="n">
        <f aca="false">(salidas26[[#This Row],[CANT BARRAS]]*salidas26[[#This Row],[PRECIO BARRA]])</f>
        <v>33.3333333333333</v>
      </c>
      <c r="M1039" s="1" t="s">
        <v>638</v>
      </c>
    </row>
    <row r="1040" customFormat="false" ht="15" hidden="false" customHeight="false" outlineLevel="0" collapsed="false">
      <c r="A1040" s="1" t="n">
        <v>811</v>
      </c>
      <c r="B1040" s="1" t="n">
        <v>6000</v>
      </c>
      <c r="C104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SKYWORTH 2B/6LED/3V </v>
      </c>
      <c r="D1040" s="75" t="n">
        <v>46126</v>
      </c>
      <c r="E104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104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040" s="1" t="n">
        <v>1</v>
      </c>
      <c r="I1040" s="1" t="n">
        <f aca="false">(salidas26[[#This Row],[CANT JUEGOS ]]*salidas26[[#This Row],[PRECIO JUEGO]])</f>
        <v>60</v>
      </c>
      <c r="J1040" s="1" t="n">
        <f aca="false">(salidas26[[#This Row],[CANT BARRAS]]*salidas26[[#This Row],[PRECIO BARRA]])</f>
        <v>0</v>
      </c>
      <c r="K1040" s="1" t="n">
        <v>60</v>
      </c>
      <c r="L1040" s="1" t="s">
        <v>502</v>
      </c>
      <c r="M1040" s="1" t="s">
        <v>518</v>
      </c>
    </row>
    <row r="1041" customFormat="false" ht="15" hidden="false" customHeight="false" outlineLevel="0" collapsed="false">
      <c r="A1041" s="1" t="n">
        <v>812</v>
      </c>
      <c r="B1041" s="1" t="n">
        <v>8067</v>
      </c>
      <c r="C104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6V/10L/4B EN PARALELO</v>
      </c>
      <c r="D1041" s="75" t="n">
        <v>46126</v>
      </c>
      <c r="E104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104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1041" s="1" t="n">
        <v>1</v>
      </c>
      <c r="I1041" s="1" t="n">
        <f aca="false">(salidas26[[#This Row],[CANT JUEGOS ]]*salidas26[[#This Row],[PRECIO JUEGO]])</f>
        <v>220</v>
      </c>
      <c r="J1041" s="1" t="n">
        <f aca="false">(salidas26[[#This Row],[CANT BARRAS]]*salidas26[[#This Row],[PRECIO BARRA]])</f>
        <v>0</v>
      </c>
      <c r="M1041" s="1" t="s">
        <v>508</v>
      </c>
    </row>
    <row r="1042" customFormat="false" ht="15" hidden="false" customHeight="false" outlineLevel="0" collapsed="false">
      <c r="A1042" s="1" t="n">
        <v>813</v>
      </c>
      <c r="B1042" s="1" t="n">
        <v>1027</v>
      </c>
      <c r="C104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32LM3400-4B/3V/9L</v>
      </c>
      <c r="D1042" s="75" t="n">
        <v>46126</v>
      </c>
      <c r="E104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120</v>
      </c>
      <c r="F104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042" s="1" t="n">
        <v>1</v>
      </c>
      <c r="I1042" s="1" t="n">
        <f aca="false">(salidas26[[#This Row],[CANT JUEGOS ]]*salidas26[[#This Row],[PRECIO JUEGO]])</f>
        <v>120</v>
      </c>
      <c r="J1042" s="1" t="n">
        <f aca="false">(salidas26[[#This Row],[CANT BARRAS]]*salidas26[[#This Row],[PRECIO BARRA]])</f>
        <v>0</v>
      </c>
      <c r="K1042" s="1" t="n">
        <v>120</v>
      </c>
      <c r="L1042" s="1" t="s">
        <v>502</v>
      </c>
      <c r="M1042" s="1" t="s">
        <v>503</v>
      </c>
    </row>
    <row r="1043" customFormat="false" ht="15" hidden="false" customHeight="false" outlineLevel="0" collapsed="false">
      <c r="A1043" s="1" t="n">
        <v>814</v>
      </c>
      <c r="B1043" s="1" t="n">
        <v>8082</v>
      </c>
      <c r="C104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L55M5-5ASP-XIAOMI 4B/12L/3V</v>
      </c>
      <c r="D1043" s="75" t="n">
        <v>46127</v>
      </c>
      <c r="E104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320</v>
      </c>
      <c r="F1043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G1043" s="1" t="n">
        <v>1</v>
      </c>
      <c r="I1043" s="1" t="n">
        <f aca="false">(salidas26[[#This Row],[CANT JUEGOS ]]*salidas26[[#This Row],[PRECIO JUEGO]])</f>
        <v>320</v>
      </c>
      <c r="J1043" s="1" t="e">
        <f aca="false">(salidas26[[#This Row],[CANT BARRAS]]*salidas26[[#This Row],[PRECIO BARRA]])</f>
        <v>#VALUE!</v>
      </c>
      <c r="K1043" s="1" t="n">
        <v>300</v>
      </c>
      <c r="L1043" s="1" t="s">
        <v>533</v>
      </c>
      <c r="M1043" s="1" t="s">
        <v>750</v>
      </c>
    </row>
    <row r="1044" customFormat="false" ht="15" hidden="false" customHeight="false" outlineLevel="0" collapsed="false">
      <c r="A1044" s="1" t="n">
        <v>815</v>
      </c>
      <c r="B1044" s="1" t="n">
        <v>1042</v>
      </c>
      <c r="C104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42LS3450/10B</v>
      </c>
      <c r="D1044" s="75" t="n">
        <v>46127</v>
      </c>
      <c r="E104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104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25</v>
      </c>
      <c r="G1044" s="1" t="n">
        <v>1</v>
      </c>
      <c r="H1044" s="1" t="n">
        <v>8</v>
      </c>
      <c r="I1044" s="1" t="n">
        <f aca="false">(salidas26[[#This Row],[CANT JUEGOS ]]*salidas26[[#This Row],[PRECIO JUEGO]])</f>
        <v>250</v>
      </c>
      <c r="J1044" s="1" t="n">
        <f aca="false">(salidas26[[#This Row],[CANT BARRAS]]*salidas26[[#This Row],[PRECIO BARRA]])</f>
        <v>200</v>
      </c>
      <c r="K1044" s="1" t="n">
        <v>200</v>
      </c>
      <c r="L1044" s="1" t="s">
        <v>533</v>
      </c>
      <c r="M1044" s="1" t="s">
        <v>517</v>
      </c>
    </row>
    <row r="1045" customFormat="false" ht="15" hidden="false" customHeight="false" outlineLevel="0" collapsed="false">
      <c r="A1045" s="1" t="n">
        <v>816</v>
      </c>
      <c r="B1045" s="1" t="n">
        <v>6006</v>
      </c>
      <c r="C104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SKYWORTH TOSHIBA /3B</v>
      </c>
      <c r="D1045" s="75" t="n">
        <v>46127</v>
      </c>
      <c r="E104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140</v>
      </c>
      <c r="F104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46.6666666666667</v>
      </c>
      <c r="G1045" s="1" t="n">
        <v>1</v>
      </c>
      <c r="I1045" s="1" t="n">
        <f aca="false">(salidas26[[#This Row],[CANT JUEGOS ]]*salidas26[[#This Row],[PRECIO JUEGO]])</f>
        <v>140</v>
      </c>
      <c r="J1045" s="1" t="n">
        <f aca="false">(salidas26[[#This Row],[CANT BARRAS]]*salidas26[[#This Row],[PRECIO BARRA]])</f>
        <v>0</v>
      </c>
      <c r="M1045" s="1" t="s">
        <v>508</v>
      </c>
    </row>
    <row r="1046" customFormat="false" ht="15" hidden="false" customHeight="false" outlineLevel="0" collapsed="false">
      <c r="A1046" s="1" t="n">
        <v>817</v>
      </c>
      <c r="B1046" s="1" t="n">
        <v>2087</v>
      </c>
      <c r="C104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UN58NU7100 /2B EDGE</v>
      </c>
      <c r="D1046" s="75" t="n">
        <v>46127</v>
      </c>
      <c r="E104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104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120</v>
      </c>
      <c r="G1046" s="1" t="n">
        <v>1</v>
      </c>
      <c r="I1046" s="1" t="n">
        <f aca="false">(salidas26[[#This Row],[CANT JUEGOS ]]*salidas26[[#This Row],[PRECIO JUEGO]])</f>
        <v>240</v>
      </c>
      <c r="J1046" s="1" t="n">
        <f aca="false">(salidas26[[#This Row],[CANT BARRAS]]*salidas26[[#This Row],[PRECIO BARRA]])</f>
        <v>0</v>
      </c>
      <c r="K1046" s="1" t="n">
        <v>200</v>
      </c>
      <c r="L1046" s="1" t="s">
        <v>533</v>
      </c>
      <c r="M1046" s="1" t="s">
        <v>751</v>
      </c>
    </row>
    <row r="1047" customFormat="false" ht="15" hidden="false" customHeight="false" outlineLevel="0" collapsed="false">
      <c r="A1047" s="1" t="n">
        <v>818</v>
      </c>
      <c r="B1047" s="1" t="n">
        <v>8021</v>
      </c>
      <c r="C104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JVC RECTO /2B</v>
      </c>
      <c r="D1047" s="75" t="n">
        <v>46127</v>
      </c>
      <c r="E104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104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047" s="1" t="n">
        <v>1</v>
      </c>
      <c r="I1047" s="1" t="n">
        <f aca="false">(salidas26[[#This Row],[CANT JUEGOS ]]*salidas26[[#This Row],[PRECIO JUEGO]])</f>
        <v>60</v>
      </c>
      <c r="J1047" s="1" t="n">
        <f aca="false">(salidas26[[#This Row],[CANT BARRAS]]*salidas26[[#This Row],[PRECIO BARRA]])</f>
        <v>0</v>
      </c>
      <c r="K1047" s="1" t="n">
        <v>50</v>
      </c>
      <c r="L1047" s="1" t="s">
        <v>502</v>
      </c>
      <c r="M1047" s="1" t="s">
        <v>560</v>
      </c>
    </row>
    <row r="1048" customFormat="false" ht="15" hidden="false" customHeight="false" outlineLevel="0" collapsed="false">
      <c r="A1048" s="1" t="n">
        <v>820</v>
      </c>
      <c r="B1048" s="1" t="n">
        <v>6131</v>
      </c>
      <c r="C104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SKYWORTH 10B SUC Y EN OTRO MODELO 12 BARRAS</v>
      </c>
      <c r="D1048" s="75" t="n">
        <v>46127</v>
      </c>
      <c r="E104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104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1048" s="1" t="n">
        <v>1</v>
      </c>
      <c r="I1048" s="1" t="n">
        <f aca="false">(salidas26[[#This Row],[CANT JUEGOS ]]*salidas26[[#This Row],[PRECIO JUEGO]])</f>
        <v>400</v>
      </c>
      <c r="J1048" s="1" t="n">
        <f aca="false">(salidas26[[#This Row],[CANT BARRAS]]*salidas26[[#This Row],[PRECIO BARRA]])</f>
        <v>0</v>
      </c>
      <c r="K1048" s="1" t="n">
        <v>400</v>
      </c>
      <c r="L1048" s="1" t="s">
        <v>502</v>
      </c>
      <c r="M1048" s="1" t="s">
        <v>524</v>
      </c>
    </row>
    <row r="1049" customFormat="false" ht="15" hidden="false" customHeight="false" outlineLevel="0" collapsed="false">
      <c r="A1049" s="1" t="n">
        <v>821</v>
      </c>
      <c r="B1049" s="1" t="n">
        <v>2104</v>
      </c>
      <c r="C104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UN82TU7000/18B/5L</v>
      </c>
      <c r="D1049" s="75" t="n">
        <v>46127</v>
      </c>
      <c r="E104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600</v>
      </c>
      <c r="F104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1049" s="1" t="n">
        <v>1</v>
      </c>
      <c r="H1049" s="1" t="n">
        <v>3</v>
      </c>
      <c r="I1049" s="1" t="n">
        <f aca="false">(salidas26[[#This Row],[CANT JUEGOS ]]*salidas26[[#This Row],[PRECIO JUEGO]])</f>
        <v>600</v>
      </c>
      <c r="J1049" s="1" t="n">
        <f aca="false">(salidas26[[#This Row],[CANT BARRAS]]*salidas26[[#This Row],[PRECIO BARRA]])</f>
        <v>100</v>
      </c>
      <c r="K1049" s="1" t="n">
        <v>100</v>
      </c>
      <c r="L1049" s="1" t="s">
        <v>502</v>
      </c>
      <c r="M1049" s="1" t="s">
        <v>518</v>
      </c>
    </row>
    <row r="1050" customFormat="false" ht="15" hidden="false" customHeight="false" outlineLevel="0" collapsed="false">
      <c r="A1050" s="1" t="n">
        <v>823</v>
      </c>
      <c r="B1050" s="1" t="n">
        <v>5018</v>
      </c>
      <c r="C105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KDL-40R475 SONY/10B</v>
      </c>
      <c r="D1050" s="75" t="n">
        <v>46127</v>
      </c>
      <c r="E105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105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1050" s="1" t="n">
        <v>1</v>
      </c>
      <c r="I1050" s="1" t="n">
        <f aca="false">(salidas26[[#This Row],[CANT JUEGOS ]]*salidas26[[#This Row],[PRECIO JUEGO]])</f>
        <v>200</v>
      </c>
      <c r="J1050" s="1" t="n">
        <f aca="false">(salidas26[[#This Row],[CANT BARRAS]]*salidas26[[#This Row],[PRECIO BARRA]])</f>
        <v>0</v>
      </c>
      <c r="K1050" s="1" t="n">
        <v>180</v>
      </c>
      <c r="M1050" s="1" t="s">
        <v>738</v>
      </c>
    </row>
    <row r="1051" customFormat="false" ht="15" hidden="false" customHeight="false" outlineLevel="0" collapsed="false">
      <c r="A1051" s="1" t="n">
        <v>824</v>
      </c>
      <c r="B1051" s="1" t="n">
        <v>2091</v>
      </c>
      <c r="C105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UN65 H6400</v>
      </c>
      <c r="D1051" s="75" t="n">
        <v>46128</v>
      </c>
      <c r="E105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700</v>
      </c>
      <c r="F1051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G1051" s="1" t="n">
        <v>1</v>
      </c>
      <c r="I1051" s="1" t="n">
        <f aca="false">(salidas26[[#This Row],[CANT JUEGOS ]]*salidas26[[#This Row],[PRECIO JUEGO]])</f>
        <v>700</v>
      </c>
      <c r="J1051" s="1" t="e">
        <f aca="false">(salidas26[[#This Row],[CANT BARRAS]]*salidas26[[#This Row],[PRECIO BARRA]])</f>
        <v>#VALUE!</v>
      </c>
      <c r="K1051" s="1" t="n">
        <v>650</v>
      </c>
      <c r="L1051" s="1" t="s">
        <v>533</v>
      </c>
      <c r="M1051" s="1" t="s">
        <v>752</v>
      </c>
    </row>
    <row r="1052" customFormat="false" ht="15" hidden="false" customHeight="false" outlineLevel="0" collapsed="false">
      <c r="A1052" s="1" t="n">
        <v>825</v>
      </c>
      <c r="B1052" s="1" t="n">
        <v>8100</v>
      </c>
      <c r="C105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JVC 58KB527</v>
      </c>
      <c r="D1052" s="75" t="n">
        <v>46128</v>
      </c>
      <c r="E105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105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1052" s="1" t="n">
        <v>1</v>
      </c>
      <c r="I1052" s="1" t="n">
        <f aca="false">(salidas26[[#This Row],[CANT JUEGOS ]]*salidas26[[#This Row],[PRECIO JUEGO]])</f>
        <v>300</v>
      </c>
      <c r="J1052" s="1" t="n">
        <f aca="false">(salidas26[[#This Row],[CANT BARRAS]]*salidas26[[#This Row],[PRECIO BARRA]])</f>
        <v>0</v>
      </c>
      <c r="K1052" s="1" t="n">
        <v>300</v>
      </c>
      <c r="L1052" s="1" t="s">
        <v>533</v>
      </c>
      <c r="M1052" s="1" t="s">
        <v>503</v>
      </c>
    </row>
    <row r="1053" customFormat="false" ht="15" hidden="false" customHeight="false" outlineLevel="0" collapsed="false">
      <c r="A1053" s="1" t="n">
        <v>826</v>
      </c>
      <c r="B1053" s="1" t="n">
        <v>6022</v>
      </c>
      <c r="C105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SKYWORTH SUC9350Pro /10L</v>
      </c>
      <c r="D1053" s="75" t="n">
        <v>46128</v>
      </c>
      <c r="E105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105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70</v>
      </c>
      <c r="G1053" s="1" t="n">
        <v>1</v>
      </c>
      <c r="I1053" s="1" t="n">
        <f aca="false">(salidas26[[#This Row],[CANT JUEGOS ]]*salidas26[[#This Row],[PRECIO JUEGO]])</f>
        <v>350</v>
      </c>
      <c r="J1053" s="1" t="n">
        <f aca="false">(salidas26[[#This Row],[CANT BARRAS]]*salidas26[[#This Row],[PRECIO BARRA]])</f>
        <v>0</v>
      </c>
      <c r="K1053" s="1" t="n">
        <v>340</v>
      </c>
      <c r="L1053" s="1" t="s">
        <v>533</v>
      </c>
      <c r="M1053" s="1" t="s">
        <v>544</v>
      </c>
    </row>
    <row r="1054" customFormat="false" ht="15" hidden="false" customHeight="false" outlineLevel="0" collapsed="false">
      <c r="A1054" s="1" t="n">
        <v>827</v>
      </c>
      <c r="B1054" s="1" t="n">
        <v>6021</v>
      </c>
      <c r="C105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MASTERG 55U4700 - 55 TOSHIBA 8B/5-6L</v>
      </c>
      <c r="D1054" s="75" t="n">
        <v>46128</v>
      </c>
      <c r="E105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105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37.5</v>
      </c>
      <c r="G1054" s="1" t="n">
        <v>1</v>
      </c>
      <c r="I1054" s="1" t="n">
        <f aca="false">(salidas26[[#This Row],[CANT JUEGOS ]]*salidas26[[#This Row],[PRECIO JUEGO]])</f>
        <v>300</v>
      </c>
      <c r="J1054" s="1" t="n">
        <f aca="false">(salidas26[[#This Row],[CANT BARRAS]]*salidas26[[#This Row],[PRECIO BARRA]])</f>
        <v>0</v>
      </c>
      <c r="K1054" s="1" t="n">
        <v>280</v>
      </c>
      <c r="L1054" s="1" t="s">
        <v>502</v>
      </c>
      <c r="M1054" s="1" t="s">
        <v>753</v>
      </c>
    </row>
    <row r="1055" customFormat="false" ht="15" hidden="false" customHeight="false" outlineLevel="0" collapsed="false">
      <c r="A1055" s="1" t="n">
        <v>828</v>
      </c>
      <c r="B1055" s="1" t="n">
        <v>2075</v>
      </c>
      <c r="C105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UN55NU7100-UN55RU7100/2B EDGE</v>
      </c>
      <c r="D1055" s="75" t="n">
        <v>46128</v>
      </c>
      <c r="E105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105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100</v>
      </c>
      <c r="G1055" s="1" t="n">
        <v>1</v>
      </c>
      <c r="I1055" s="1" t="n">
        <f aca="false">(salidas26[[#This Row],[CANT JUEGOS ]]*salidas26[[#This Row],[PRECIO JUEGO]])</f>
        <v>200</v>
      </c>
      <c r="J1055" s="1" t="n">
        <f aca="false">(salidas26[[#This Row],[CANT BARRAS]]*salidas26[[#This Row],[PRECIO BARRA]])</f>
        <v>0</v>
      </c>
      <c r="K1055" s="1" t="n">
        <v>200</v>
      </c>
      <c r="L1055" s="1" t="s">
        <v>502</v>
      </c>
      <c r="M1055" s="1" t="s">
        <v>579</v>
      </c>
    </row>
    <row r="1056" customFormat="false" ht="15" hidden="false" customHeight="false" outlineLevel="0" collapsed="false">
      <c r="A1056" s="1" t="n">
        <v>829</v>
      </c>
      <c r="B1056" s="1" t="n">
        <v>2078</v>
      </c>
      <c r="C105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UN55NU7095G/9L/4B</v>
      </c>
      <c r="D1056" s="75" t="n">
        <v>46128</v>
      </c>
      <c r="E105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105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62.5</v>
      </c>
      <c r="G1056" s="1" t="n">
        <v>1</v>
      </c>
      <c r="H1056" s="1" t="n">
        <v>1</v>
      </c>
      <c r="I1056" s="1" t="n">
        <f aca="false">(salidas26[[#This Row],[CANT JUEGOS ]]*salidas26[[#This Row],[PRECIO JUEGO]])</f>
        <v>250</v>
      </c>
      <c r="J1056" s="1" t="n">
        <f aca="false">(salidas26[[#This Row],[CANT BARRAS]]*salidas26[[#This Row],[PRECIO BARRA]])</f>
        <v>62.5</v>
      </c>
      <c r="K1056" s="1" t="n">
        <v>320</v>
      </c>
      <c r="L1056" s="1" t="s">
        <v>502</v>
      </c>
      <c r="M1056" s="1" t="s">
        <v>518</v>
      </c>
    </row>
    <row r="1057" customFormat="false" ht="15" hidden="false" customHeight="false" outlineLevel="0" collapsed="false">
      <c r="A1057" s="1" t="n">
        <v>830</v>
      </c>
      <c r="B1057" s="1" t="n">
        <v>8095</v>
      </c>
      <c r="C105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58  PREMIER 5L/3V 10B</v>
      </c>
      <c r="D1057" s="75" t="n">
        <v>46128</v>
      </c>
      <c r="E105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105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057" s="1" t="n">
        <v>1</v>
      </c>
      <c r="I1057" s="1" t="n">
        <f aca="false">(salidas26[[#This Row],[CANT JUEGOS ]]*salidas26[[#This Row],[PRECIO JUEGO]])</f>
        <v>300</v>
      </c>
      <c r="J1057" s="1" t="n">
        <f aca="false">(salidas26[[#This Row],[CANT BARRAS]]*salidas26[[#This Row],[PRECIO BARRA]])</f>
        <v>0</v>
      </c>
      <c r="K1057" s="1" t="n">
        <v>280</v>
      </c>
      <c r="L1057" s="1" t="s">
        <v>533</v>
      </c>
      <c r="M1057" s="1" t="s">
        <v>503</v>
      </c>
    </row>
    <row r="1058" customFormat="false" ht="15" hidden="false" customHeight="false" outlineLevel="0" collapsed="false">
      <c r="A1058" s="1" t="n">
        <v>831</v>
      </c>
      <c r="B1058" s="1" t="n">
        <v>6022</v>
      </c>
      <c r="C105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SKYWORTH SUC9350Pro /10L</v>
      </c>
      <c r="D1058" s="75" t="n">
        <v>46128</v>
      </c>
      <c r="E105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105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70</v>
      </c>
      <c r="G1058" s="1" t="n">
        <v>1</v>
      </c>
      <c r="I1058" s="1" t="n">
        <f aca="false">(salidas26[[#This Row],[CANT JUEGOS ]]*salidas26[[#This Row],[PRECIO JUEGO]])</f>
        <v>350</v>
      </c>
      <c r="J1058" s="1" t="n">
        <f aca="false">(salidas26[[#This Row],[CANT BARRAS]]*salidas26[[#This Row],[PRECIO BARRA]])</f>
        <v>0</v>
      </c>
      <c r="K1058" s="1" t="n">
        <v>300</v>
      </c>
      <c r="L1058" s="1" t="s">
        <v>533</v>
      </c>
      <c r="M1058" s="1" t="s">
        <v>754</v>
      </c>
    </row>
    <row r="1059" customFormat="false" ht="15" hidden="false" customHeight="false" outlineLevel="0" collapsed="false">
      <c r="A1059" s="1" t="n">
        <v>832</v>
      </c>
      <c r="B1059" s="1" t="n">
        <v>6131</v>
      </c>
      <c r="C105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SKYWORTH 10B SUC Y EN OTRO MODELO 12 BARRAS</v>
      </c>
      <c r="D1059" s="75" t="n">
        <v>46128</v>
      </c>
      <c r="E105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105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33.3333333333333</v>
      </c>
      <c r="G1059" s="1" t="n">
        <v>1</v>
      </c>
      <c r="I1059" s="1" t="n">
        <f aca="false">(salidas26[[#This Row],[CANT JUEGOS ]]*salidas26[[#This Row],[PRECIO JUEGO]])</f>
        <v>400</v>
      </c>
      <c r="J1059" s="1" t="n">
        <f aca="false">(salidas26[[#This Row],[CANT BARRAS]]*salidas26[[#This Row],[PRECIO BARRA]])</f>
        <v>0</v>
      </c>
      <c r="K1059" s="1" t="n">
        <v>350</v>
      </c>
      <c r="L1059" s="1" t="s">
        <v>533</v>
      </c>
      <c r="M1059" s="1" t="s">
        <v>754</v>
      </c>
    </row>
    <row r="1060" customFormat="false" ht="15" hidden="false" customHeight="false" outlineLevel="0" collapsed="false">
      <c r="A1060" s="1" t="n">
        <v>833</v>
      </c>
      <c r="B1060" s="1" t="n">
        <v>6022</v>
      </c>
      <c r="C106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SKYWORTH SUC9350Pro /10L</v>
      </c>
      <c r="D1060" s="75" t="n">
        <v>46128</v>
      </c>
      <c r="E106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106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70</v>
      </c>
      <c r="G1060" s="1" t="n">
        <v>1</v>
      </c>
      <c r="I1060" s="1" t="n">
        <f aca="false">(salidas26[[#This Row],[CANT JUEGOS ]]*salidas26[[#This Row],[PRECIO JUEGO]])</f>
        <v>350</v>
      </c>
      <c r="J1060" s="1" t="n">
        <f aca="false">(salidas26[[#This Row],[CANT BARRAS]]*salidas26[[#This Row],[PRECIO BARRA]])</f>
        <v>0</v>
      </c>
      <c r="K1060" s="1" t="n">
        <v>300</v>
      </c>
      <c r="L1060" s="1" t="s">
        <v>533</v>
      </c>
      <c r="M1060" s="1" t="s">
        <v>503</v>
      </c>
    </row>
    <row r="1061" customFormat="false" ht="15" hidden="false" customHeight="false" outlineLevel="0" collapsed="false">
      <c r="A1061" s="1" t="n">
        <v>834</v>
      </c>
      <c r="B1061" s="1" t="n">
        <v>8057</v>
      </c>
      <c r="C106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45 PREMIER 7L/4B</v>
      </c>
      <c r="D1061" s="75" t="n">
        <v>46128</v>
      </c>
      <c r="E106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106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1061" s="1" t="n">
        <v>1</v>
      </c>
      <c r="I1061" s="1" t="n">
        <f aca="false">(salidas26[[#This Row],[CANT JUEGOS ]]*salidas26[[#This Row],[PRECIO JUEGO]])</f>
        <v>200</v>
      </c>
      <c r="J1061" s="1" t="n">
        <f aca="false">(salidas26[[#This Row],[CANT BARRAS]]*salidas26[[#This Row],[PRECIO BARRA]])</f>
        <v>0</v>
      </c>
      <c r="K1061" s="1" t="n">
        <v>225</v>
      </c>
      <c r="L1061" s="1" t="s">
        <v>533</v>
      </c>
      <c r="M1061" s="1" t="s">
        <v>546</v>
      </c>
    </row>
    <row r="1062" customFormat="false" ht="15" hidden="false" customHeight="false" outlineLevel="0" collapsed="false">
      <c r="A1062" s="1" t="n">
        <v>835</v>
      </c>
      <c r="B1062" s="1" t="n">
        <v>6006</v>
      </c>
      <c r="C106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SKYWORTH TOSHIBA /3B</v>
      </c>
      <c r="D1062" s="75" t="n">
        <v>46129</v>
      </c>
      <c r="E106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140</v>
      </c>
      <c r="F106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46.6666666666667</v>
      </c>
      <c r="G1062" s="1" t="n">
        <v>1</v>
      </c>
      <c r="I1062" s="1" t="n">
        <f aca="false">(salidas26[[#This Row],[CANT JUEGOS ]]*salidas26[[#This Row],[PRECIO JUEGO]])</f>
        <v>140</v>
      </c>
      <c r="J1062" s="1" t="n">
        <f aca="false">(salidas26[[#This Row],[CANT BARRAS]]*salidas26[[#This Row],[PRECIO BARRA]])</f>
        <v>0</v>
      </c>
      <c r="K1062" s="1" t="n">
        <v>140</v>
      </c>
      <c r="L1062" s="1" t="s">
        <v>533</v>
      </c>
      <c r="M1062" s="1" t="s">
        <v>505</v>
      </c>
    </row>
    <row r="1063" customFormat="false" ht="15" hidden="false" customHeight="false" outlineLevel="0" collapsed="false">
      <c r="A1063" s="1" t="n">
        <v>836</v>
      </c>
      <c r="B1063" s="1" t="n">
        <v>8015</v>
      </c>
      <c r="C106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1063" s="75" t="n">
        <v>46129</v>
      </c>
      <c r="E106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106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063" s="1" t="n">
        <v>1</v>
      </c>
      <c r="I1063" s="1" t="n">
        <f aca="false">(salidas26[[#This Row],[CANT JUEGOS ]]*salidas26[[#This Row],[PRECIO JUEGO]])</f>
        <v>60</v>
      </c>
      <c r="J1063" s="1" t="n">
        <f aca="false">(salidas26[[#This Row],[CANT BARRAS]]*salidas26[[#This Row],[PRECIO BARRA]])</f>
        <v>0</v>
      </c>
      <c r="K1063" s="1" t="n">
        <v>50</v>
      </c>
      <c r="L1063" s="1" t="s">
        <v>533</v>
      </c>
      <c r="M1063" s="1" t="s">
        <v>505</v>
      </c>
    </row>
    <row r="1064" customFormat="false" ht="15" hidden="false" customHeight="false" outlineLevel="0" collapsed="false">
      <c r="A1064" s="1" t="n">
        <v>837</v>
      </c>
      <c r="B1064" s="1" t="n">
        <v>2027</v>
      </c>
      <c r="C106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UN43J5290/8B</v>
      </c>
      <c r="D1064" s="75" t="n">
        <v>46129</v>
      </c>
      <c r="E106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06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1064" s="1" t="n">
        <v>1</v>
      </c>
      <c r="I1064" s="1" t="n">
        <f aca="false">(salidas26[[#This Row],[CANT JUEGOS ]]*salidas26[[#This Row],[PRECIO JUEGO]])</f>
        <v>180</v>
      </c>
      <c r="J1064" s="1" t="n">
        <f aca="false">(salidas26[[#This Row],[CANT BARRAS]]*salidas26[[#This Row],[PRECIO BARRA]])</f>
        <v>0</v>
      </c>
      <c r="K1064" s="1" t="n">
        <v>180</v>
      </c>
      <c r="L1064" s="1" t="s">
        <v>533</v>
      </c>
      <c r="M1064" s="1" t="s">
        <v>505</v>
      </c>
    </row>
    <row r="1065" customFormat="false" ht="15" hidden="false" customHeight="false" outlineLevel="0" collapsed="false">
      <c r="A1065" s="1" t="n">
        <v>838</v>
      </c>
      <c r="B1065" s="1" t="n">
        <v>8069</v>
      </c>
      <c r="C106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PREMIER 10L/6V/4B -50 WESTPOINT TEJ -EN SERIE</v>
      </c>
      <c r="D1065" s="75" t="n">
        <v>46129</v>
      </c>
      <c r="E106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106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55</v>
      </c>
      <c r="G1065" s="1" t="n">
        <v>1</v>
      </c>
      <c r="I1065" s="1" t="n">
        <f aca="false">(salidas26[[#This Row],[CANT JUEGOS ]]*salidas26[[#This Row],[PRECIO JUEGO]])</f>
        <v>220</v>
      </c>
      <c r="J1065" s="1" t="n">
        <f aca="false">(salidas26[[#This Row],[CANT BARRAS]]*salidas26[[#This Row],[PRECIO BARRA]])</f>
        <v>0</v>
      </c>
      <c r="M1065" s="1" t="s">
        <v>755</v>
      </c>
    </row>
    <row r="1066" customFormat="false" ht="15" hidden="false" customHeight="false" outlineLevel="0" collapsed="false">
      <c r="A1066" s="1" t="n">
        <v>839</v>
      </c>
      <c r="B1066" s="1" t="n">
        <v>1117</v>
      </c>
      <c r="C106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55LB6500/10B/6V </v>
      </c>
      <c r="D1066" s="75" t="n">
        <v>46129</v>
      </c>
      <c r="E106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350</v>
      </c>
      <c r="F106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1066" s="1" t="n">
        <v>1</v>
      </c>
      <c r="I1066" s="1" t="n">
        <f aca="false">(salidas26[[#This Row],[CANT JUEGOS ]]*salidas26[[#This Row],[PRECIO JUEGO]])</f>
        <v>350</v>
      </c>
      <c r="J1066" s="1" t="n">
        <f aca="false">(salidas26[[#This Row],[CANT BARRAS]]*salidas26[[#This Row],[PRECIO BARRA]])</f>
        <v>0</v>
      </c>
      <c r="M1066" s="1" t="s">
        <v>756</v>
      </c>
    </row>
    <row r="1067" customFormat="false" ht="15" hidden="false" customHeight="false" outlineLevel="0" collapsed="false">
      <c r="A1067" s="1" t="n">
        <v>840</v>
      </c>
      <c r="B1067" s="1" t="n">
        <v>2000</v>
      </c>
      <c r="C106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D1067" s="75" t="n">
        <v>46129</v>
      </c>
      <c r="E106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106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1067" s="1" t="n">
        <v>1</v>
      </c>
      <c r="I1067" s="1" t="n">
        <f aca="false">(salidas26[[#This Row],[CANT JUEGOS ]]*salidas26[[#This Row],[PRECIO JUEGO]])</f>
        <v>80</v>
      </c>
      <c r="J1067" s="1" t="n">
        <f aca="false">(salidas26[[#This Row],[CANT BARRAS]]*salidas26[[#This Row],[PRECIO BARRA]])</f>
        <v>0</v>
      </c>
      <c r="K1067" s="1" t="n">
        <v>70</v>
      </c>
      <c r="L1067" s="1" t="s">
        <v>502</v>
      </c>
      <c r="M1067" s="1" t="s">
        <v>518</v>
      </c>
    </row>
    <row r="1068" customFormat="false" ht="15" hidden="false" customHeight="false" outlineLevel="0" collapsed="false">
      <c r="A1068" s="1" t="n">
        <v>841</v>
      </c>
      <c r="B1068" s="1" t="n">
        <v>2006</v>
      </c>
      <c r="C106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UN32J/ 2B </v>
      </c>
      <c r="D1068" s="75" t="n">
        <v>46129</v>
      </c>
      <c r="E106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106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45</v>
      </c>
      <c r="G1068" s="1" t="n">
        <v>1</v>
      </c>
      <c r="I1068" s="1" t="n">
        <f aca="false">(salidas26[[#This Row],[CANT JUEGOS ]]*salidas26[[#This Row],[PRECIO JUEGO]])</f>
        <v>90</v>
      </c>
      <c r="J1068" s="1" t="n">
        <f aca="false">(salidas26[[#This Row],[CANT BARRAS]]*salidas26[[#This Row],[PRECIO BARRA]])</f>
        <v>0</v>
      </c>
      <c r="K1068" s="1" t="n">
        <v>70</v>
      </c>
      <c r="L1068" s="1" t="s">
        <v>502</v>
      </c>
      <c r="M1068" s="1" t="s">
        <v>518</v>
      </c>
    </row>
    <row r="1069" customFormat="false" ht="15" hidden="false" customHeight="false" outlineLevel="0" collapsed="false">
      <c r="A1069" s="1" t="n">
        <v>842</v>
      </c>
      <c r="B1069" s="1" t="n">
        <v>2051</v>
      </c>
      <c r="C106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UN49J5290/8B</v>
      </c>
      <c r="D1069" s="75" t="n">
        <v>46129</v>
      </c>
      <c r="E106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106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32.5</v>
      </c>
      <c r="G1069" s="1" t="n">
        <v>1</v>
      </c>
      <c r="I1069" s="1" t="n">
        <f aca="false">(salidas26[[#This Row],[CANT JUEGOS ]]*salidas26[[#This Row],[PRECIO JUEGO]])</f>
        <v>260</v>
      </c>
      <c r="J1069" s="1" t="n">
        <f aca="false">(salidas26[[#This Row],[CANT BARRAS]]*salidas26[[#This Row],[PRECIO BARRA]])</f>
        <v>0</v>
      </c>
      <c r="K1069" s="1" t="n">
        <v>250</v>
      </c>
      <c r="L1069" s="1" t="s">
        <v>533</v>
      </c>
      <c r="M1069" s="1" t="s">
        <v>584</v>
      </c>
    </row>
    <row r="1070" customFormat="false" ht="15" hidden="false" customHeight="false" outlineLevel="0" collapsed="false">
      <c r="A1070" s="1" t="n">
        <v>843</v>
      </c>
      <c r="B1070" s="1" t="n">
        <v>1012</v>
      </c>
      <c r="C107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32LB620B-32LF620B -3B/6V/6L</v>
      </c>
      <c r="D1070" s="75" t="n">
        <v>46129</v>
      </c>
      <c r="E107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107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070" s="1" t="n">
        <v>1</v>
      </c>
      <c r="I1070" s="1" t="n">
        <f aca="false">(salidas26[[#This Row],[CANT JUEGOS ]]*salidas26[[#This Row],[PRECIO JUEGO]])</f>
        <v>90</v>
      </c>
      <c r="J1070" s="1" t="n">
        <f aca="false">(salidas26[[#This Row],[CANT BARRAS]]*salidas26[[#This Row],[PRECIO BARRA]])</f>
        <v>0</v>
      </c>
      <c r="K1070" s="1" t="n">
        <v>90</v>
      </c>
      <c r="L1070" s="1" t="s">
        <v>502</v>
      </c>
      <c r="M1070" s="1" t="s">
        <v>603</v>
      </c>
    </row>
    <row r="1071" customFormat="false" ht="15" hidden="false" customHeight="false" outlineLevel="0" collapsed="false">
      <c r="A1071" s="1" t="n">
        <v>844</v>
      </c>
      <c r="B1071" s="1" t="n">
        <v>8030</v>
      </c>
      <c r="C107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CHINO TCL 10L/6V/2B DIF 180º</v>
      </c>
      <c r="D1071" s="75" t="n">
        <v>46129</v>
      </c>
      <c r="E107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107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50</v>
      </c>
      <c r="G1071" s="1" t="n">
        <v>1</v>
      </c>
      <c r="I1071" s="1" t="n">
        <f aca="false">(salidas26[[#This Row],[CANT JUEGOS ]]*salidas26[[#This Row],[PRECIO JUEGO]])</f>
        <v>150</v>
      </c>
      <c r="J1071" s="1" t="n">
        <f aca="false">(salidas26[[#This Row],[CANT BARRAS]]*salidas26[[#This Row],[PRECIO BARRA]])</f>
        <v>0</v>
      </c>
      <c r="K1071" s="1" t="n">
        <v>130</v>
      </c>
      <c r="L1071" s="1" t="s">
        <v>502</v>
      </c>
      <c r="M1071" s="1" t="s">
        <v>518</v>
      </c>
    </row>
    <row r="1072" customFormat="false" ht="15" hidden="false" customHeight="false" outlineLevel="0" collapsed="false">
      <c r="A1072" s="1" t="n">
        <v>845</v>
      </c>
      <c r="B1072" s="1" t="n">
        <v>8076</v>
      </c>
      <c r="C107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XIAOMI L55M6A</v>
      </c>
      <c r="D1072" s="75" t="n">
        <v>46129</v>
      </c>
      <c r="E107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107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37.5</v>
      </c>
      <c r="G1072" s="1" t="n">
        <v>1</v>
      </c>
      <c r="I1072" s="1" t="n">
        <f aca="false">(salidas26[[#This Row],[CANT JUEGOS ]]*salidas26[[#This Row],[PRECIO JUEGO]])</f>
        <v>300</v>
      </c>
      <c r="J1072" s="1" t="n">
        <f aca="false">(salidas26[[#This Row],[CANT BARRAS]]*salidas26[[#This Row],[PRECIO BARRA]])</f>
        <v>0</v>
      </c>
      <c r="K1072" s="1" t="n">
        <v>300</v>
      </c>
      <c r="L1072" s="1" t="s">
        <v>502</v>
      </c>
      <c r="M1072" s="1" t="s">
        <v>520</v>
      </c>
    </row>
    <row r="1073" customFormat="false" ht="15" hidden="false" customHeight="false" outlineLevel="0" collapsed="false">
      <c r="A1073" s="1" t="n">
        <v>846</v>
      </c>
      <c r="B1073" s="1" t="n">
        <v>1120</v>
      </c>
      <c r="C107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55LM6200/2B</v>
      </c>
      <c r="D1073" s="75" t="n">
        <v>46129</v>
      </c>
      <c r="E107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107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110</v>
      </c>
      <c r="G1073" s="1" t="n">
        <v>1</v>
      </c>
      <c r="I1073" s="1" t="n">
        <f aca="false">(salidas26[[#This Row],[CANT JUEGOS ]]*salidas26[[#This Row],[PRECIO JUEGO]])</f>
        <v>220</v>
      </c>
      <c r="J1073" s="1" t="n">
        <f aca="false">(salidas26[[#This Row],[CANT BARRAS]]*salidas26[[#This Row],[PRECIO BARRA]])</f>
        <v>0</v>
      </c>
      <c r="K1073" s="1" t="n">
        <v>176</v>
      </c>
      <c r="L1073" s="1" t="s">
        <v>502</v>
      </c>
      <c r="M1073" s="1" t="s">
        <v>534</v>
      </c>
    </row>
    <row r="1074" customFormat="false" ht="15" hidden="false" customHeight="false" outlineLevel="0" collapsed="false">
      <c r="A1074" s="1" t="n">
        <v>847</v>
      </c>
      <c r="B1074" s="1" t="n">
        <v>7002</v>
      </c>
      <c r="C107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F1000 KONKA 6L/LED3250HDD/CRONW TV3277D IRT</v>
      </c>
      <c r="D1074" s="75" t="n">
        <v>46129</v>
      </c>
      <c r="E107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70</v>
      </c>
      <c r="F107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1074" s="1" t="n">
        <v>1</v>
      </c>
      <c r="I1074" s="1" t="n">
        <f aca="false">(salidas26[[#This Row],[CANT JUEGOS ]]*salidas26[[#This Row],[PRECIO JUEGO]])</f>
        <v>70</v>
      </c>
      <c r="J1074" s="1" t="n">
        <f aca="false">(salidas26[[#This Row],[CANT BARRAS]]*salidas26[[#This Row],[PRECIO BARRA]])</f>
        <v>0</v>
      </c>
      <c r="K1074" s="1" t="n">
        <v>56</v>
      </c>
      <c r="L1074" s="1" t="s">
        <v>502</v>
      </c>
      <c r="M1074" s="1" t="s">
        <v>534</v>
      </c>
    </row>
    <row r="1075" customFormat="false" ht="15" hidden="false" customHeight="false" outlineLevel="0" collapsed="false">
      <c r="A1075" s="1" t="n">
        <v>848</v>
      </c>
      <c r="B1075" s="1" t="n">
        <v>5006</v>
      </c>
      <c r="C107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KDL-32R304B/3B</v>
      </c>
      <c r="D1075" s="75" t="n">
        <v>46129</v>
      </c>
      <c r="E107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107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075" s="1" t="n">
        <v>2</v>
      </c>
      <c r="I1075" s="1" t="n">
        <f aca="false">(salidas26[[#This Row],[CANT JUEGOS ]]*salidas26[[#This Row],[PRECIO JUEGO]])</f>
        <v>180</v>
      </c>
      <c r="J1075" s="1" t="n">
        <f aca="false">(salidas26[[#This Row],[CANT BARRAS]]*salidas26[[#This Row],[PRECIO BARRA]])</f>
        <v>0</v>
      </c>
      <c r="K1075" s="1" t="n">
        <v>144</v>
      </c>
      <c r="L1075" s="1" t="s">
        <v>502</v>
      </c>
      <c r="M1075" s="1" t="s">
        <v>534</v>
      </c>
    </row>
    <row r="1076" customFormat="false" ht="15" hidden="false" customHeight="false" outlineLevel="0" collapsed="false">
      <c r="A1076" s="1" t="n">
        <v>849</v>
      </c>
      <c r="B1076" s="1" t="n">
        <v>8025</v>
      </c>
      <c r="C107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CHANCHONG 10L/5B</v>
      </c>
      <c r="D1076" s="75" t="n">
        <v>46130</v>
      </c>
      <c r="E107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107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66.6666666666667</v>
      </c>
      <c r="G1076" s="1" t="n">
        <v>1</v>
      </c>
      <c r="I1076" s="1" t="n">
        <f aca="false">(salidas26[[#This Row],[CANT JUEGOS ]]*salidas26[[#This Row],[PRECIO JUEGO]])</f>
        <v>200</v>
      </c>
      <c r="J1076" s="1" t="n">
        <f aca="false">(salidas26[[#This Row],[CANT BARRAS]]*salidas26[[#This Row],[PRECIO BARRA]])</f>
        <v>0</v>
      </c>
      <c r="K1076" s="1" t="n">
        <v>190</v>
      </c>
      <c r="L1076" s="1" t="s">
        <v>502</v>
      </c>
      <c r="M1076" s="1" t="s">
        <v>603</v>
      </c>
    </row>
    <row r="1077" customFormat="false" ht="15" hidden="false" customHeight="false" outlineLevel="0" collapsed="false">
      <c r="A1077" s="1" t="n">
        <v>851</v>
      </c>
      <c r="B1077" s="1" t="n">
        <v>2063</v>
      </c>
      <c r="C107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UN50NU7100./2B EDGE</v>
      </c>
      <c r="D1077" s="75" t="n">
        <v>46132</v>
      </c>
      <c r="E107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07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90</v>
      </c>
      <c r="G1077" s="1" t="n">
        <v>1</v>
      </c>
      <c r="I1077" s="1" t="n">
        <f aca="false">(salidas26[[#This Row],[CANT JUEGOS ]]*salidas26[[#This Row],[PRECIO JUEGO]])</f>
        <v>180</v>
      </c>
      <c r="J1077" s="1" t="n">
        <f aca="false">(salidas26[[#This Row],[CANT BARRAS]]*salidas26[[#This Row],[PRECIO BARRA]])</f>
        <v>0</v>
      </c>
      <c r="K1077" s="1" t="n">
        <v>180</v>
      </c>
      <c r="L1077" s="1" t="s">
        <v>502</v>
      </c>
      <c r="M1077" s="1" t="s">
        <v>518</v>
      </c>
    </row>
    <row r="1078" customFormat="false" ht="15" hidden="false" customHeight="false" outlineLevel="0" collapsed="false">
      <c r="A1078" s="1" t="n">
        <v>852</v>
      </c>
      <c r="B1078" s="1" t="n">
        <v>5031</v>
      </c>
      <c r="C107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XBR-55W805B/2B</v>
      </c>
      <c r="D1078" s="75" t="n">
        <v>46132</v>
      </c>
      <c r="E107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107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125</v>
      </c>
      <c r="G1078" s="1" t="n">
        <v>8</v>
      </c>
      <c r="I1078" s="1" t="n">
        <f aca="false">(salidas26[[#This Row],[CANT JUEGOS ]]*salidas26[[#This Row],[PRECIO JUEGO]])</f>
        <v>2000</v>
      </c>
      <c r="J1078" s="1" t="n">
        <f aca="false">(salidas26[[#This Row],[CANT BARRAS]]*salidas26[[#This Row],[PRECIO BARRA]])</f>
        <v>0</v>
      </c>
      <c r="M1078" s="1" t="s">
        <v>757</v>
      </c>
    </row>
    <row r="1079" customFormat="false" ht="15" hidden="false" customHeight="false" outlineLevel="0" collapsed="false">
      <c r="A1079" s="1" t="n">
        <v>853</v>
      </c>
      <c r="B1079" s="1" t="n">
        <v>2045</v>
      </c>
      <c r="C107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UN49KU6500-UN49MU6500/2B</v>
      </c>
      <c r="D1079" s="75" t="n">
        <v>46132</v>
      </c>
      <c r="E107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400</v>
      </c>
      <c r="F107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200</v>
      </c>
      <c r="G1079" s="1" t="n">
        <v>8</v>
      </c>
      <c r="I1079" s="1" t="n">
        <f aca="false">(salidas26[[#This Row],[CANT JUEGOS ]]*salidas26[[#This Row],[PRECIO JUEGO]])</f>
        <v>3200</v>
      </c>
      <c r="J1079" s="1" t="n">
        <f aca="false">(salidas26[[#This Row],[CANT BARRAS]]*salidas26[[#This Row],[PRECIO BARRA]])</f>
        <v>0</v>
      </c>
      <c r="M1079" s="1" t="s">
        <v>757</v>
      </c>
    </row>
    <row r="1080" customFormat="false" ht="15" hidden="false" customHeight="false" outlineLevel="0" collapsed="false">
      <c r="A1080" s="1" t="n">
        <v>854</v>
      </c>
      <c r="B1080" s="1" t="n">
        <v>2065</v>
      </c>
      <c r="C108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UN50AU/BU8000 2B EDGE</v>
      </c>
      <c r="D1080" s="75" t="n">
        <v>46132</v>
      </c>
      <c r="E108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220</v>
      </c>
      <c r="F108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110</v>
      </c>
      <c r="G1080" s="1" t="n">
        <v>1</v>
      </c>
      <c r="I1080" s="1" t="n">
        <f aca="false">(salidas26[[#This Row],[CANT JUEGOS ]]*salidas26[[#This Row],[PRECIO JUEGO]])</f>
        <v>220</v>
      </c>
      <c r="J1080" s="1" t="n">
        <f aca="false">(salidas26[[#This Row],[CANT BARRAS]]*salidas26[[#This Row],[PRECIO BARRA]])</f>
        <v>0</v>
      </c>
      <c r="K1080" s="1" t="n">
        <v>150</v>
      </c>
      <c r="L1080" s="1" t="s">
        <v>533</v>
      </c>
      <c r="M1080" s="1" t="s">
        <v>758</v>
      </c>
    </row>
    <row r="1081" customFormat="false" ht="15" hidden="false" customHeight="false" outlineLevel="0" collapsed="false">
      <c r="A1081" s="1" t="n">
        <v>855</v>
      </c>
      <c r="B1081" s="1" t="n">
        <v>6009</v>
      </c>
      <c r="C108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L4700 TOSHIBA/6B (180 Bs) -43UJ-6200/LG/8B (200 BS)</v>
      </c>
      <c r="D1081" s="75" t="n">
        <v>46132</v>
      </c>
      <c r="E108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08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H1081" s="1" t="n">
        <v>6</v>
      </c>
      <c r="I1081" s="1" t="n">
        <f aca="false">(salidas26[[#This Row],[CANT JUEGOS ]]*salidas26[[#This Row],[PRECIO JUEGO]])</f>
        <v>0</v>
      </c>
      <c r="J1081" s="1" t="n">
        <f aca="false">(salidas26[[#This Row],[CANT BARRAS]]*salidas26[[#This Row],[PRECIO BARRA]])</f>
        <v>135</v>
      </c>
      <c r="K1081" s="1" t="n">
        <v>150</v>
      </c>
      <c r="L1081" s="1" t="s">
        <v>533</v>
      </c>
      <c r="M1081" s="1" t="s">
        <v>758</v>
      </c>
    </row>
    <row r="1082" customFormat="false" ht="15" hidden="false" customHeight="false" outlineLevel="0" collapsed="false">
      <c r="A1082" s="1" t="n">
        <v>856</v>
      </c>
      <c r="B1082" s="1" t="n">
        <v>8056</v>
      </c>
      <c r="C108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PREMIER 8L/6V/3B</v>
      </c>
      <c r="D1082" s="75" t="n">
        <v>46132</v>
      </c>
      <c r="E108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08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1082" s="1" t="n">
        <v>1</v>
      </c>
      <c r="I1082" s="1" t="n">
        <f aca="false">(salidas26[[#This Row],[CANT JUEGOS ]]*salidas26[[#This Row],[PRECIO JUEGO]])</f>
        <v>180</v>
      </c>
      <c r="J1082" s="1" t="n">
        <f aca="false">(salidas26[[#This Row],[CANT BARRAS]]*salidas26[[#This Row],[PRECIO BARRA]])</f>
        <v>0</v>
      </c>
      <c r="K1082" s="1" t="n">
        <v>170</v>
      </c>
      <c r="L1082" s="1" t="s">
        <v>502</v>
      </c>
      <c r="M1082" s="1" t="s">
        <v>560</v>
      </c>
    </row>
    <row r="1083" customFormat="false" ht="15" hidden="false" customHeight="false" outlineLevel="0" collapsed="false">
      <c r="A1083" s="1" t="n">
        <v>857</v>
      </c>
      <c r="B1083" s="1" t="n">
        <v>1066</v>
      </c>
      <c r="C108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47LA6130-12B/3V</v>
      </c>
      <c r="D1083" s="75" t="n">
        <v>46132</v>
      </c>
      <c r="E108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240</v>
      </c>
      <c r="F108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G1083" s="1" t="n">
        <v>1</v>
      </c>
      <c r="I1083" s="1" t="n">
        <f aca="false">(salidas26[[#This Row],[CANT JUEGOS ]]*salidas26[[#This Row],[PRECIO JUEGO]])</f>
        <v>240</v>
      </c>
      <c r="J1083" s="1" t="n">
        <f aca="false">(salidas26[[#This Row],[CANT BARRAS]]*salidas26[[#This Row],[PRECIO BARRA]])</f>
        <v>0</v>
      </c>
      <c r="K1083" s="1" t="n">
        <v>230</v>
      </c>
      <c r="L1083" s="1" t="s">
        <v>502</v>
      </c>
      <c r="M1083" s="1" t="s">
        <v>506</v>
      </c>
    </row>
    <row r="1084" customFormat="false" ht="15" hidden="false" customHeight="false" outlineLevel="0" collapsed="false">
      <c r="A1084" s="1" t="n">
        <v>858</v>
      </c>
      <c r="B1084" s="1" t="n">
        <v>1000</v>
      </c>
      <c r="C108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LA -3B/3V/7-7L</v>
      </c>
      <c r="D1084" s="75" t="n">
        <v>46132</v>
      </c>
      <c r="E108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108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1084" s="1" t="n">
        <v>2</v>
      </c>
      <c r="I1084" s="1" t="n">
        <f aca="false">(salidas26[[#This Row],[CANT JUEGOS ]]*salidas26[[#This Row],[PRECIO JUEGO]])</f>
        <v>160</v>
      </c>
      <c r="J1084" s="1" t="n">
        <f aca="false">(salidas26[[#This Row],[CANT BARRAS]]*salidas26[[#This Row],[PRECIO BARRA]])</f>
        <v>0</v>
      </c>
      <c r="K1084" s="1" t="n">
        <v>128</v>
      </c>
      <c r="L1084" s="1" t="s">
        <v>533</v>
      </c>
      <c r="M1084" s="1" t="s">
        <v>534</v>
      </c>
    </row>
    <row r="1085" customFormat="false" ht="15" hidden="false" customHeight="false" outlineLevel="0" collapsed="false">
      <c r="A1085" s="1" t="n">
        <v>859</v>
      </c>
      <c r="B1085" s="1" t="n">
        <v>1003</v>
      </c>
      <c r="C108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LA -3B/3V/7-8-7L</v>
      </c>
      <c r="D1085" s="75" t="n">
        <v>46132</v>
      </c>
      <c r="E108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108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1085" s="1" t="n">
        <v>2</v>
      </c>
      <c r="I1085" s="1" t="n">
        <f aca="false">(salidas26[[#This Row],[CANT JUEGOS ]]*salidas26[[#This Row],[PRECIO JUEGO]])</f>
        <v>160</v>
      </c>
      <c r="J1085" s="1" t="n">
        <f aca="false">(salidas26[[#This Row],[CANT BARRAS]]*salidas26[[#This Row],[PRECIO BARRA]])</f>
        <v>0</v>
      </c>
      <c r="K1085" s="1" t="n">
        <v>128</v>
      </c>
      <c r="L1085" s="1" t="s">
        <v>533</v>
      </c>
      <c r="M1085" s="1" t="s">
        <v>534</v>
      </c>
    </row>
    <row r="1086" customFormat="false" ht="15" hidden="false" customHeight="false" outlineLevel="0" collapsed="false">
      <c r="A1086" s="1" t="n">
        <v>860</v>
      </c>
      <c r="B1086" s="1" t="n">
        <v>1102</v>
      </c>
      <c r="C108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50LA6200/12B/3V</v>
      </c>
      <c r="D1086" s="75" t="n">
        <v>46132</v>
      </c>
      <c r="E108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108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23.3333333333333</v>
      </c>
      <c r="G1086" s="1" t="n">
        <v>1</v>
      </c>
      <c r="I1086" s="1" t="n">
        <f aca="false">(salidas26[[#This Row],[CANT JUEGOS ]]*salidas26[[#This Row],[PRECIO JUEGO]])</f>
        <v>280</v>
      </c>
      <c r="J1086" s="1" t="n">
        <f aca="false">(salidas26[[#This Row],[CANT BARRAS]]*salidas26[[#This Row],[PRECIO BARRA]])</f>
        <v>0</v>
      </c>
      <c r="K1086" s="1" t="n">
        <v>224</v>
      </c>
      <c r="L1086" s="1" t="s">
        <v>533</v>
      </c>
      <c r="M1086" s="1" t="s">
        <v>534</v>
      </c>
    </row>
    <row r="1087" customFormat="false" ht="15" hidden="false" customHeight="false" outlineLevel="0" collapsed="false">
      <c r="A1087" s="1" t="n">
        <v>861</v>
      </c>
      <c r="B1087" s="1" t="n">
        <v>3030</v>
      </c>
      <c r="C108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B8500  10L/14B  </v>
      </c>
      <c r="D1087" s="75" t="n">
        <v>46132</v>
      </c>
      <c r="E108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320</v>
      </c>
      <c r="F108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22.8571428571429</v>
      </c>
      <c r="G1087" s="1" t="n">
        <v>1</v>
      </c>
      <c r="I1087" s="1" t="n">
        <f aca="false">(salidas26[[#This Row],[CANT JUEGOS ]]*salidas26[[#This Row],[PRECIO JUEGO]])</f>
        <v>320</v>
      </c>
      <c r="J1087" s="1" t="n">
        <f aca="false">(salidas26[[#This Row],[CANT BARRAS]]*salidas26[[#This Row],[PRECIO BARRA]])</f>
        <v>0</v>
      </c>
      <c r="K1087" s="1" t="n">
        <v>350</v>
      </c>
      <c r="L1087" s="1" t="s">
        <v>533</v>
      </c>
      <c r="M1087" s="1" t="s">
        <v>759</v>
      </c>
    </row>
    <row r="1088" customFormat="false" ht="15" hidden="false" customHeight="false" outlineLevel="0" collapsed="false">
      <c r="A1088" s="1" t="n">
        <v>862</v>
      </c>
      <c r="B1088" s="1" t="n">
        <v>1108</v>
      </c>
      <c r="C108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50 UK 6550 /3B</v>
      </c>
      <c r="D1088" s="75" t="n">
        <v>46132</v>
      </c>
      <c r="E108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300</v>
      </c>
      <c r="F108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100</v>
      </c>
      <c r="G1088" s="1" t="n">
        <v>1</v>
      </c>
      <c r="I1088" s="1" t="n">
        <f aca="false">(salidas26[[#This Row],[CANT JUEGOS ]]*salidas26[[#This Row],[PRECIO JUEGO]])</f>
        <v>300</v>
      </c>
      <c r="J1088" s="1" t="n">
        <f aca="false">(salidas26[[#This Row],[CANT BARRAS]]*salidas26[[#This Row],[PRECIO BARRA]])</f>
        <v>0</v>
      </c>
      <c r="K1088" s="1" t="n">
        <v>240</v>
      </c>
      <c r="L1088" s="1" t="s">
        <v>502</v>
      </c>
      <c r="M1088" s="1" t="s">
        <v>534</v>
      </c>
    </row>
    <row r="1089" customFormat="false" ht="15" hidden="false" customHeight="false" outlineLevel="0" collapsed="false">
      <c r="A1089" s="1" t="n">
        <v>863</v>
      </c>
      <c r="B1089" s="1" t="n">
        <v>6009</v>
      </c>
      <c r="C108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L4700 TOSHIBA/6B (180 Bs) -43UJ-6200/LG/8B (200 BS)</v>
      </c>
      <c r="D1089" s="75" t="n">
        <v>46133</v>
      </c>
      <c r="E108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08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H1089" s="1" t="n">
        <v>6</v>
      </c>
      <c r="I1089" s="1" t="n">
        <f aca="false">(salidas26[[#This Row],[CANT JUEGOS ]]*salidas26[[#This Row],[PRECIO JUEGO]])</f>
        <v>0</v>
      </c>
      <c r="J1089" s="1" t="n">
        <f aca="false">(salidas26[[#This Row],[CANT BARRAS]]*salidas26[[#This Row],[PRECIO BARRA]])</f>
        <v>135</v>
      </c>
      <c r="K1089" s="1" t="n">
        <v>150</v>
      </c>
      <c r="L1089" s="1" t="s">
        <v>502</v>
      </c>
      <c r="M1089" s="1" t="s">
        <v>742</v>
      </c>
    </row>
    <row r="1090" customFormat="false" ht="15" hidden="false" customHeight="false" outlineLevel="0" collapsed="false">
      <c r="A1090" s="1" t="n">
        <v>865</v>
      </c>
      <c r="B1090" s="1" t="n">
        <v>8021</v>
      </c>
      <c r="C109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JVC RECTO /2B</v>
      </c>
      <c r="D1090" s="75" t="n">
        <v>46133</v>
      </c>
      <c r="E109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109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090" s="1" t="n">
        <v>1</v>
      </c>
      <c r="I1090" s="1" t="n">
        <f aca="false">(salidas26[[#This Row],[CANT JUEGOS ]]*salidas26[[#This Row],[PRECIO JUEGO]])</f>
        <v>60</v>
      </c>
      <c r="J1090" s="1" t="n">
        <f aca="false">(salidas26[[#This Row],[CANT BARRAS]]*salidas26[[#This Row],[PRECIO BARRA]])</f>
        <v>0</v>
      </c>
      <c r="K1090" s="1" t="n">
        <v>50</v>
      </c>
      <c r="L1090" s="1" t="s">
        <v>502</v>
      </c>
      <c r="M1090" s="1" t="s">
        <v>760</v>
      </c>
    </row>
    <row r="1091" customFormat="false" ht="15" hidden="false" customHeight="false" outlineLevel="0" collapsed="false">
      <c r="A1091" s="1" t="n">
        <v>866</v>
      </c>
      <c r="B1091" s="1" t="n">
        <v>6110</v>
      </c>
      <c r="C109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A 4H HISENSE 5L/3V/2B</v>
      </c>
      <c r="D1091" s="75" t="n">
        <v>46133</v>
      </c>
      <c r="E109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1091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G1091" s="1" t="n">
        <v>1</v>
      </c>
      <c r="I1091" s="1" t="n">
        <f aca="false">(salidas26[[#This Row],[CANT JUEGOS ]]*salidas26[[#This Row],[PRECIO JUEGO]])</f>
        <v>60</v>
      </c>
      <c r="J1091" s="1" t="e">
        <f aca="false">(salidas26[[#This Row],[CANT BARRAS]]*salidas26[[#This Row],[PRECIO BARRA]])</f>
        <v>#VALUE!</v>
      </c>
      <c r="K1091" s="1" t="n">
        <v>60</v>
      </c>
      <c r="L1091" s="1" t="s">
        <v>502</v>
      </c>
      <c r="M1091" s="1" t="s">
        <v>507</v>
      </c>
    </row>
    <row r="1092" customFormat="false" ht="15" hidden="false" customHeight="false" outlineLevel="0" collapsed="false">
      <c r="A1092" s="1" t="n">
        <v>867</v>
      </c>
      <c r="B1092" s="1" t="n">
        <v>2000</v>
      </c>
      <c r="C109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UN32FH4005G-UN32JH4005G CUERNITO 2B</v>
      </c>
      <c r="D1092" s="75" t="n">
        <v>46133</v>
      </c>
      <c r="E109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109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40</v>
      </c>
      <c r="G1092" s="1" t="n">
        <v>1</v>
      </c>
      <c r="I1092" s="1" t="n">
        <f aca="false">(salidas26[[#This Row],[CANT JUEGOS ]]*salidas26[[#This Row],[PRECIO JUEGO]])</f>
        <v>80</v>
      </c>
      <c r="J1092" s="1" t="n">
        <f aca="false">(salidas26[[#This Row],[CANT BARRAS]]*salidas26[[#This Row],[PRECIO BARRA]])</f>
        <v>0</v>
      </c>
      <c r="K1092" s="1" t="n">
        <v>80</v>
      </c>
      <c r="L1092" s="1" t="s">
        <v>502</v>
      </c>
      <c r="M1092" s="1" t="s">
        <v>503</v>
      </c>
    </row>
    <row r="1093" customFormat="false" ht="15" hidden="false" customHeight="false" outlineLevel="0" collapsed="false">
      <c r="A1093" s="1" t="n">
        <v>868</v>
      </c>
      <c r="B1093" s="1" t="n">
        <v>4003</v>
      </c>
      <c r="C109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DAEWOO 8L/3V - 3B</v>
      </c>
      <c r="D1093" s="75" t="n">
        <v>46133</v>
      </c>
      <c r="E109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90</v>
      </c>
      <c r="F109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093" s="1" t="n">
        <v>2</v>
      </c>
      <c r="I1093" s="1" t="n">
        <f aca="false">(salidas26[[#This Row],[CANT JUEGOS ]]*salidas26[[#This Row],[PRECIO JUEGO]])</f>
        <v>180</v>
      </c>
      <c r="J1093" s="1" t="n">
        <f aca="false">(salidas26[[#This Row],[CANT BARRAS]]*salidas26[[#This Row],[PRECIO BARRA]])</f>
        <v>0</v>
      </c>
      <c r="K1093" s="1" t="n">
        <v>144</v>
      </c>
      <c r="L1093" s="1" t="s">
        <v>502</v>
      </c>
      <c r="M1093" s="1" t="s">
        <v>534</v>
      </c>
    </row>
    <row r="1094" customFormat="false" ht="15" hidden="false" customHeight="false" outlineLevel="0" collapsed="false">
      <c r="A1094" s="1" t="n">
        <v>869</v>
      </c>
      <c r="B1094" s="1" t="n">
        <v>1132</v>
      </c>
      <c r="C109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55UH8500/2B</v>
      </c>
      <c r="D1094" s="75" t="n">
        <v>46133</v>
      </c>
      <c r="E109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109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130</v>
      </c>
      <c r="G1094" s="1" t="n">
        <v>1</v>
      </c>
      <c r="I1094" s="1" t="n">
        <f aca="false">(salidas26[[#This Row],[CANT JUEGOS ]]*salidas26[[#This Row],[PRECIO JUEGO]])</f>
        <v>260</v>
      </c>
      <c r="J1094" s="1" t="n">
        <f aca="false">(salidas26[[#This Row],[CANT BARRAS]]*salidas26[[#This Row],[PRECIO BARRA]])</f>
        <v>0</v>
      </c>
      <c r="K1094" s="1" t="n">
        <v>208</v>
      </c>
      <c r="L1094" s="1" t="s">
        <v>502</v>
      </c>
      <c r="M1094" s="1" t="s">
        <v>534</v>
      </c>
    </row>
    <row r="1095" customFormat="false" ht="15" hidden="false" customHeight="false" outlineLevel="0" collapsed="false">
      <c r="A1095" s="1" t="n">
        <v>870</v>
      </c>
      <c r="B1095" s="1" t="n">
        <v>8015</v>
      </c>
      <c r="C109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CHINO CHUECO 2B PREMIER</v>
      </c>
      <c r="D1095" s="75" t="n">
        <v>46133</v>
      </c>
      <c r="E109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60</v>
      </c>
      <c r="F109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30</v>
      </c>
      <c r="G1095" s="1" t="n">
        <v>1</v>
      </c>
      <c r="I1095" s="1" t="n">
        <f aca="false">(salidas26[[#This Row],[CANT JUEGOS ]]*salidas26[[#This Row],[PRECIO JUEGO]])</f>
        <v>60</v>
      </c>
      <c r="J1095" s="1" t="n">
        <f aca="false">(salidas26[[#This Row],[CANT BARRAS]]*salidas26[[#This Row],[PRECIO BARRA]])</f>
        <v>0</v>
      </c>
      <c r="K1095" s="1" t="n">
        <v>60</v>
      </c>
      <c r="L1095" s="1" t="s">
        <v>502</v>
      </c>
      <c r="M1095" s="1" t="s">
        <v>722</v>
      </c>
    </row>
    <row r="1096" customFormat="false" ht="15" hidden="false" customHeight="false" outlineLevel="0" collapsed="false">
      <c r="A1096" s="1" t="n">
        <v>872</v>
      </c>
      <c r="B1096" s="1" t="n">
        <v>1003</v>
      </c>
      <c r="C109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 LA -3B/3V/7-8-7L</v>
      </c>
      <c r="D1096" s="75" t="n">
        <v>46134</v>
      </c>
      <c r="E109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109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1096" s="1" t="n">
        <v>1</v>
      </c>
      <c r="I1096" s="1" t="n">
        <f aca="false">(salidas26[[#This Row],[CANT JUEGOS ]]*salidas26[[#This Row],[PRECIO JUEGO]])</f>
        <v>80</v>
      </c>
      <c r="J1096" s="1" t="n">
        <f aca="false">(salidas26[[#This Row],[CANT BARRAS]]*salidas26[[#This Row],[PRECIO BARRA]])</f>
        <v>0</v>
      </c>
      <c r="K1096" s="1" t="n">
        <v>80</v>
      </c>
      <c r="L1096" s="1" t="s">
        <v>502</v>
      </c>
      <c r="M1096" s="1" t="s">
        <v>761</v>
      </c>
    </row>
    <row r="1097" customFormat="false" ht="15" hidden="false" customHeight="false" outlineLevel="0" collapsed="false">
      <c r="B1097" s="1" t="n">
        <v>8098</v>
      </c>
      <c r="C109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PREMIER 11B/6L </v>
      </c>
      <c r="D1097" s="75" t="n">
        <v>46134</v>
      </c>
      <c r="E109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420</v>
      </c>
      <c r="F109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1097" s="1" t="n">
        <v>1</v>
      </c>
      <c r="I1097" s="1" t="n">
        <f aca="false">(salidas26[[#This Row],[CANT JUEGOS ]]*salidas26[[#This Row],[PRECIO JUEGO]])</f>
        <v>420</v>
      </c>
      <c r="J1097" s="1" t="n">
        <f aca="false">(salidas26[[#This Row],[CANT BARRAS]]*salidas26[[#This Row],[PRECIO BARRA]])</f>
        <v>0</v>
      </c>
      <c r="M1097" s="1" t="s">
        <v>762</v>
      </c>
    </row>
    <row r="1098" customFormat="false" ht="15" hidden="false" customHeight="false" outlineLevel="0" collapsed="false">
      <c r="A1098" s="1" t="n">
        <v>873</v>
      </c>
      <c r="B1098" s="1" t="n">
        <v>8098</v>
      </c>
      <c r="C109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PREMIER 11B/6L </v>
      </c>
      <c r="D1098" s="75" t="n">
        <v>46134</v>
      </c>
      <c r="E109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420</v>
      </c>
      <c r="F109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35</v>
      </c>
      <c r="G1098" s="1" t="n">
        <v>1</v>
      </c>
      <c r="H1098" s="1" t="n">
        <v>1</v>
      </c>
      <c r="I1098" s="1" t="n">
        <f aca="false">(salidas26[[#This Row],[CANT JUEGOS ]]*salidas26[[#This Row],[PRECIO JUEGO]])</f>
        <v>420</v>
      </c>
      <c r="J1098" s="1" t="n">
        <f aca="false">(salidas26[[#This Row],[CANT BARRAS]]*salidas26[[#This Row],[PRECIO BARRA]])</f>
        <v>35</v>
      </c>
      <c r="K1098" s="1" t="n">
        <v>350</v>
      </c>
      <c r="L1098" s="1" t="s">
        <v>502</v>
      </c>
      <c r="M1098" s="1" t="s">
        <v>508</v>
      </c>
    </row>
    <row r="1099" customFormat="false" ht="15" hidden="false" customHeight="false" outlineLevel="0" collapsed="false">
      <c r="A1099" s="1" t="n">
        <v>874</v>
      </c>
      <c r="B1099" s="1" t="n">
        <v>1123</v>
      </c>
      <c r="C109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UB8300/2B</v>
      </c>
      <c r="D1099" s="75" t="n">
        <v>46134</v>
      </c>
      <c r="E109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320</v>
      </c>
      <c r="F109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160</v>
      </c>
      <c r="G1099" s="1" t="n">
        <v>1</v>
      </c>
      <c r="I1099" s="1" t="n">
        <f aca="false">(salidas26[[#This Row],[CANT JUEGOS ]]*salidas26[[#This Row],[PRECIO JUEGO]])</f>
        <v>320</v>
      </c>
      <c r="J1099" s="1" t="n">
        <f aca="false">(salidas26[[#This Row],[CANT BARRAS]]*salidas26[[#This Row],[PRECIO BARRA]])</f>
        <v>0</v>
      </c>
      <c r="K1099" s="1" t="n">
        <v>300</v>
      </c>
      <c r="L1099" s="1" t="s">
        <v>502</v>
      </c>
      <c r="M1099" s="1" t="s">
        <v>633</v>
      </c>
    </row>
    <row r="1100" customFormat="false" ht="15" hidden="false" customHeight="false" outlineLevel="0" collapsed="false">
      <c r="A1100" s="1" t="n">
        <v>875</v>
      </c>
      <c r="B1100" s="1" t="n">
        <v>6006</v>
      </c>
      <c r="C110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40 SKYWORTH TOSHIBA /3B</v>
      </c>
      <c r="D1100" s="75" t="n">
        <v>46134</v>
      </c>
      <c r="E110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140</v>
      </c>
      <c r="F110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46.6666666666667</v>
      </c>
      <c r="G1100" s="1" t="n">
        <v>1</v>
      </c>
      <c r="I1100" s="1" t="n">
        <f aca="false">(salidas26[[#This Row],[CANT JUEGOS ]]*salidas26[[#This Row],[PRECIO JUEGO]])</f>
        <v>140</v>
      </c>
      <c r="J1100" s="1" t="n">
        <f aca="false">(salidas26[[#This Row],[CANT BARRAS]]*salidas26[[#This Row],[PRECIO BARRA]])</f>
        <v>0</v>
      </c>
      <c r="K1100" s="1" t="n">
        <v>150</v>
      </c>
      <c r="L1100" s="1" t="s">
        <v>502</v>
      </c>
      <c r="M1100" s="1" t="s">
        <v>503</v>
      </c>
    </row>
    <row r="1101" customFormat="false" ht="15" hidden="false" customHeight="false" outlineLevel="0" collapsed="false">
      <c r="A1101" s="1" t="n">
        <v>876</v>
      </c>
      <c r="B1101" s="1" t="n">
        <v>3040</v>
      </c>
      <c r="C110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65 HAIER LE65U6500DUA</v>
      </c>
      <c r="D1101" s="75" t="n">
        <v>46134</v>
      </c>
      <c r="E110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450</v>
      </c>
      <c r="F110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28.125</v>
      </c>
      <c r="G1101" s="1" t="n">
        <v>1</v>
      </c>
      <c r="I1101" s="1" t="n">
        <f aca="false">(salidas26[[#This Row],[CANT JUEGOS ]]*salidas26[[#This Row],[PRECIO JUEGO]])</f>
        <v>450</v>
      </c>
      <c r="J1101" s="1" t="n">
        <f aca="false">(salidas26[[#This Row],[CANT BARRAS]]*salidas26[[#This Row],[PRECIO BARRA]])</f>
        <v>0</v>
      </c>
      <c r="K1101" s="1" t="n">
        <v>350</v>
      </c>
      <c r="L1101" s="1" t="s">
        <v>533</v>
      </c>
      <c r="M1101" s="1" t="s">
        <v>508</v>
      </c>
    </row>
    <row r="1102" customFormat="false" ht="15" hidden="false" customHeight="false" outlineLevel="0" collapsed="false">
      <c r="A1102" s="1" t="n">
        <v>877</v>
      </c>
      <c r="B1102" s="1" t="n">
        <v>1129</v>
      </c>
      <c r="C110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55UH6500/2B</v>
      </c>
      <c r="D1102" s="75" t="n">
        <v>46134</v>
      </c>
      <c r="E1102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260</v>
      </c>
      <c r="F1102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130</v>
      </c>
      <c r="G1102" s="1" t="n">
        <v>1</v>
      </c>
      <c r="I1102" s="1" t="n">
        <f aca="false">(salidas26[[#This Row],[CANT JUEGOS ]]*salidas26[[#This Row],[PRECIO JUEGO]])</f>
        <v>260</v>
      </c>
      <c r="J1102" s="1" t="n">
        <f aca="false">(salidas26[[#This Row],[CANT BARRAS]]*salidas26[[#This Row],[PRECIO BARRA]])</f>
        <v>0</v>
      </c>
      <c r="M1102" s="1" t="s">
        <v>510</v>
      </c>
    </row>
    <row r="1103" customFormat="false" ht="15" hidden="false" customHeight="false" outlineLevel="0" collapsed="false">
      <c r="A1103" s="1" t="n">
        <v>878</v>
      </c>
      <c r="B1103" s="1" t="n">
        <v>4011</v>
      </c>
      <c r="C110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 DAEWO L43V780BTS 3B/7LED/3V</v>
      </c>
      <c r="D1103" s="75" t="n">
        <v>46135</v>
      </c>
      <c r="E1103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160</v>
      </c>
      <c r="F1103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53.3333333333333</v>
      </c>
      <c r="G1103" s="1" t="n">
        <v>1</v>
      </c>
      <c r="H1103" s="1" t="n">
        <v>1</v>
      </c>
      <c r="I1103" s="1" t="n">
        <f aca="false">(salidas26[[#This Row],[CANT JUEGOS ]]*salidas26[[#This Row],[PRECIO JUEGO]])</f>
        <v>160</v>
      </c>
      <c r="J1103" s="1" t="n">
        <f aca="false">(salidas26[[#This Row],[CANT BARRAS]]*salidas26[[#This Row],[PRECIO BARRA]])</f>
        <v>53.3333333333333</v>
      </c>
      <c r="K1103" s="1" t="n">
        <v>200</v>
      </c>
      <c r="L1103" s="1" t="s">
        <v>502</v>
      </c>
      <c r="M1103" s="1" t="s">
        <v>763</v>
      </c>
    </row>
    <row r="1104" customFormat="false" ht="15" hidden="false" customHeight="false" outlineLevel="0" collapsed="false">
      <c r="A1104" s="1" t="n">
        <v>879</v>
      </c>
      <c r="B1104" s="1" t="n">
        <v>2095</v>
      </c>
      <c r="C110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UN60AU8000G-60BU8000/2B</v>
      </c>
      <c r="D1104" s="75" t="n">
        <v>46135</v>
      </c>
      <c r="E1104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250</v>
      </c>
      <c r="F1104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125</v>
      </c>
      <c r="G1104" s="1" t="n">
        <v>1</v>
      </c>
      <c r="I1104" s="1" t="n">
        <f aca="false">(salidas26[[#This Row],[CANT JUEGOS ]]*salidas26[[#This Row],[PRECIO JUEGO]])</f>
        <v>250</v>
      </c>
      <c r="J1104" s="1" t="n">
        <f aca="false">(salidas26[[#This Row],[CANT BARRAS]]*salidas26[[#This Row],[PRECIO BARRA]])</f>
        <v>0</v>
      </c>
      <c r="M1104" s="1" t="s">
        <v>763</v>
      </c>
    </row>
    <row r="1105" customFormat="false" ht="15" hidden="false" customHeight="false" outlineLevel="0" collapsed="false">
      <c r="A1105" s="1" t="n">
        <v>881</v>
      </c>
      <c r="B1105" s="1" t="n">
        <v>5018</v>
      </c>
      <c r="C110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KDL-40R475 SONY/10B</v>
      </c>
      <c r="D1105" s="75" t="n">
        <v>46135</v>
      </c>
      <c r="E1105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200</v>
      </c>
      <c r="F1105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20</v>
      </c>
      <c r="H1105" s="1" t="n">
        <v>8</v>
      </c>
      <c r="I1105" s="1" t="n">
        <f aca="false">(salidas26[[#This Row],[CANT JUEGOS ]]*salidas26[[#This Row],[PRECIO JUEGO]])</f>
        <v>0</v>
      </c>
      <c r="J1105" s="1" t="n">
        <f aca="false">(salidas26[[#This Row],[CANT BARRAS]]*salidas26[[#This Row],[PRECIO BARRA]])</f>
        <v>160</v>
      </c>
      <c r="M1105" s="1" t="s">
        <v>508</v>
      </c>
    </row>
    <row r="1106" customFormat="false" ht="15" hidden="false" customHeight="false" outlineLevel="0" collapsed="false">
      <c r="A1106" s="1" t="n">
        <v>882</v>
      </c>
      <c r="B1106" s="1" t="n">
        <v>1049</v>
      </c>
      <c r="C110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43LJ5500 3B/7L</v>
      </c>
      <c r="D1106" s="75" t="n">
        <v>46135</v>
      </c>
      <c r="E1106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106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60</v>
      </c>
      <c r="G1106" s="1" t="n">
        <v>1</v>
      </c>
      <c r="I1106" s="1" t="n">
        <f aca="false">(salidas26[[#This Row],[CANT JUEGOS ]]*salidas26[[#This Row],[PRECIO JUEGO]])</f>
        <v>180</v>
      </c>
      <c r="J1106" s="1" t="n">
        <f aca="false">(salidas26[[#This Row],[CANT BARRAS]]*salidas26[[#This Row],[PRECIO BARRA]])</f>
        <v>0</v>
      </c>
      <c r="K1106" s="1" t="n">
        <v>170</v>
      </c>
      <c r="L1106" s="1" t="s">
        <v>502</v>
      </c>
      <c r="M1106" s="1" t="s">
        <v>503</v>
      </c>
    </row>
    <row r="1107" customFormat="false" ht="15" hidden="false" customHeight="false" outlineLevel="0" collapsed="false">
      <c r="A1107" s="1" t="n">
        <v>884</v>
      </c>
      <c r="B1107" s="1" t="n">
        <v>2027</v>
      </c>
      <c r="C110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UN43J5290/8B</v>
      </c>
      <c r="D1107" s="75" t="n">
        <v>46134</v>
      </c>
      <c r="E1107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180</v>
      </c>
      <c r="F1107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22.5</v>
      </c>
      <c r="G1107" s="1" t="n">
        <v>2</v>
      </c>
      <c r="I1107" s="1" t="n">
        <f aca="false">(salidas26[[#This Row],[CANT JUEGOS ]]*salidas26[[#This Row],[PRECIO JUEGO]])</f>
        <v>360</v>
      </c>
      <c r="J1107" s="1" t="n">
        <f aca="false">(salidas26[[#This Row],[CANT BARRAS]]*salidas26[[#This Row],[PRECIO BARRA]])</f>
        <v>0</v>
      </c>
      <c r="M1107" s="1" t="s">
        <v>764</v>
      </c>
    </row>
    <row r="1108" customFormat="false" ht="15" hidden="false" customHeight="false" outlineLevel="0" collapsed="false">
      <c r="B1108" s="1" t="n">
        <v>6027</v>
      </c>
      <c r="C110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HISENSE K321UW/10B reemplazo 55 6L/3V/10B</v>
      </c>
      <c r="D1108" s="75" t="n">
        <v>46134</v>
      </c>
      <c r="E1108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1108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28</v>
      </c>
      <c r="G1108" s="1" t="n">
        <v>1</v>
      </c>
      <c r="I1108" s="1" t="n">
        <f aca="false">(salidas26[[#This Row],[CANT JUEGOS ]]*salidas26[[#This Row],[PRECIO JUEGO]])</f>
        <v>280</v>
      </c>
      <c r="J1108" s="1" t="n">
        <f aca="false">(salidas26[[#This Row],[CANT BARRAS]]*salidas26[[#This Row],[PRECIO BARRA]])</f>
        <v>0</v>
      </c>
      <c r="M1108" s="1" t="s">
        <v>663</v>
      </c>
    </row>
    <row r="1109" customFormat="false" ht="15" hidden="false" customHeight="false" outlineLevel="0" collapsed="false">
      <c r="A1109" s="1" t="n">
        <v>885</v>
      </c>
      <c r="B1109" s="1" t="n">
        <v>6027</v>
      </c>
      <c r="C110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55 HISENSE K321UW/10B reemplazo 55 6L/3V/10B</v>
      </c>
      <c r="D1109" s="75" t="n">
        <v>46134</v>
      </c>
      <c r="E1109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280</v>
      </c>
      <c r="F1109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28</v>
      </c>
      <c r="H1109" s="1" t="n">
        <v>8</v>
      </c>
      <c r="I1109" s="1" t="n">
        <f aca="false">(salidas26[[#This Row],[CANT JUEGOS ]]*salidas26[[#This Row],[PRECIO JUEGO]])</f>
        <v>0</v>
      </c>
      <c r="J1109" s="1" t="n">
        <f aca="false">(salidas26[[#This Row],[CANT BARRAS]]*salidas26[[#This Row],[PRECIO BARRA]])</f>
        <v>224</v>
      </c>
      <c r="M1109" s="1" t="s">
        <v>764</v>
      </c>
    </row>
    <row r="1110" customFormat="false" ht="15" hidden="false" customHeight="false" outlineLevel="0" collapsed="false">
      <c r="A1110" s="1" t="n">
        <v>887</v>
      </c>
      <c r="B1110" s="1" t="n">
        <v>1015</v>
      </c>
      <c r="C111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32LH500B-32LK500 3B/7L/3V</v>
      </c>
      <c r="D1110" s="75" t="n">
        <v>46135</v>
      </c>
      <c r="E1110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80</v>
      </c>
      <c r="F1110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26.6666666666667</v>
      </c>
      <c r="G1110" s="1" t="n">
        <v>13</v>
      </c>
      <c r="H1110" s="1" t="n">
        <v>1</v>
      </c>
      <c r="I1110" s="1" t="n">
        <f aca="false">(salidas26[[#This Row],[CANT JUEGOS ]]*salidas26[[#This Row],[PRECIO JUEGO]])</f>
        <v>1040</v>
      </c>
      <c r="J1110" s="1" t="n">
        <f aca="false">(salidas26[[#This Row],[CANT BARRAS]]*salidas26[[#This Row],[PRECIO BARRA]])</f>
        <v>26.6666666666667</v>
      </c>
      <c r="M1110" s="1" t="s">
        <v>765</v>
      </c>
    </row>
    <row r="1111" customFormat="false" ht="15" hidden="false" customHeight="false" outlineLevel="0" collapsed="false">
      <c r="B1111" s="1" t="n">
        <v>5009</v>
      </c>
      <c r="C111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KDL-39R475B - SONY/10B</v>
      </c>
      <c r="D1111" s="75" t="n">
        <v>46087</v>
      </c>
      <c r="E1111" s="1" t="n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150</v>
      </c>
      <c r="F1111" s="1" t="n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15</v>
      </c>
      <c r="G1111" s="1" t="n">
        <v>1</v>
      </c>
      <c r="I1111" s="1" t="n">
        <f aca="false">(salidas26[[#This Row],[CANT JUEGOS ]]*salidas26[[#This Row],[PRECIO JUEGO]])</f>
        <v>150</v>
      </c>
      <c r="J1111" s="1" t="n">
        <f aca="false">(salidas26[[#This Row],[CANT BARRAS]]*salidas26[[#This Row],[PRECIO BARRA]])</f>
        <v>0</v>
      </c>
      <c r="M1111" s="1" t="s">
        <v>766</v>
      </c>
    </row>
    <row r="1112" customFormat="false" ht="15" hidden="false" customHeight="false" outlineLevel="0" collapsed="false">
      <c r="C111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12" s="75"/>
      <c r="E1112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12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12" s="1" t="e">
        <f aca="false">(salidas26[[#This Row],[CANT JUEGOS ]]*salidas26[[#This Row],[PRECIO JUEGO]])</f>
        <v>#VALUE!</v>
      </c>
      <c r="J1112" s="1" t="e">
        <f aca="false">(salidas26[[#This Row],[CANT BARRAS]]*salidas26[[#This Row],[PRECIO BARRA]])</f>
        <v>#VALUE!</v>
      </c>
    </row>
    <row r="1113" customFormat="false" ht="15" hidden="false" customHeight="false" outlineLevel="0" collapsed="false">
      <c r="C111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13" s="75"/>
      <c r="E1113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13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13" s="1" t="e">
        <f aca="false">(salidas26[[#This Row],[CANT JUEGOS ]]*salidas26[[#This Row],[PRECIO JUEGO]])</f>
        <v>#VALUE!</v>
      </c>
      <c r="J1113" s="1" t="e">
        <f aca="false">(salidas26[[#This Row],[CANT BARRAS]]*salidas26[[#This Row],[PRECIO BARRA]])</f>
        <v>#VALUE!</v>
      </c>
    </row>
    <row r="1114" customFormat="false" ht="15" hidden="false" customHeight="false" outlineLevel="0" collapsed="false">
      <c r="C111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14" s="75"/>
      <c r="E1114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14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14" s="1" t="e">
        <f aca="false">(salidas26[[#This Row],[CANT JUEGOS ]]*salidas26[[#This Row],[PRECIO JUEGO]])</f>
        <v>#VALUE!</v>
      </c>
      <c r="J1114" s="1" t="e">
        <f aca="false">(salidas26[[#This Row],[CANT BARRAS]]*salidas26[[#This Row],[PRECIO BARRA]])</f>
        <v>#VALUE!</v>
      </c>
    </row>
    <row r="1115" customFormat="false" ht="15" hidden="false" customHeight="false" outlineLevel="0" collapsed="false">
      <c r="C111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15" s="75"/>
      <c r="E1115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15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15" s="1" t="e">
        <f aca="false">(salidas26[[#This Row],[CANT JUEGOS ]]*salidas26[[#This Row],[PRECIO JUEGO]])</f>
        <v>#VALUE!</v>
      </c>
      <c r="J1115" s="1" t="e">
        <f aca="false">(salidas26[[#This Row],[CANT BARRAS]]*salidas26[[#This Row],[PRECIO BARRA]])</f>
        <v>#VALUE!</v>
      </c>
    </row>
    <row r="1116" customFormat="false" ht="15" hidden="false" customHeight="false" outlineLevel="0" collapsed="false">
      <c r="C111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16" s="75"/>
      <c r="E1116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16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16" s="1" t="e">
        <f aca="false">(salidas26[[#This Row],[CANT JUEGOS ]]*salidas26[[#This Row],[PRECIO JUEGO]])</f>
        <v>#VALUE!</v>
      </c>
      <c r="J1116" s="1" t="e">
        <f aca="false">(salidas26[[#This Row],[CANT BARRAS]]*salidas26[[#This Row],[PRECIO BARRA]])</f>
        <v>#VALUE!</v>
      </c>
    </row>
    <row r="1117" customFormat="false" ht="15" hidden="false" customHeight="false" outlineLevel="0" collapsed="false">
      <c r="C111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17" s="75"/>
      <c r="E1117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17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17" s="1" t="e">
        <f aca="false">(salidas26[[#This Row],[CANT JUEGOS ]]*salidas26[[#This Row],[PRECIO JUEGO]])</f>
        <v>#VALUE!</v>
      </c>
      <c r="J1117" s="1" t="e">
        <f aca="false">(salidas26[[#This Row],[CANT BARRAS]]*salidas26[[#This Row],[PRECIO BARRA]])</f>
        <v>#VALUE!</v>
      </c>
    </row>
    <row r="1118" customFormat="false" ht="15" hidden="false" customHeight="false" outlineLevel="0" collapsed="false">
      <c r="C111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18" s="75"/>
      <c r="E1118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18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18" s="1" t="e">
        <f aca="false">(salidas26[[#This Row],[CANT JUEGOS ]]*salidas26[[#This Row],[PRECIO JUEGO]])</f>
        <v>#VALUE!</v>
      </c>
      <c r="J1118" s="1" t="e">
        <f aca="false">(salidas26[[#This Row],[CANT BARRAS]]*salidas26[[#This Row],[PRECIO BARRA]])</f>
        <v>#VALUE!</v>
      </c>
    </row>
    <row r="1119" customFormat="false" ht="15" hidden="false" customHeight="false" outlineLevel="0" collapsed="false">
      <c r="C111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19" s="75"/>
      <c r="E1119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19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19" s="1" t="e">
        <f aca="false">(salidas26[[#This Row],[CANT JUEGOS ]]*salidas26[[#This Row],[PRECIO JUEGO]])</f>
        <v>#VALUE!</v>
      </c>
      <c r="J1119" s="1" t="e">
        <f aca="false">(salidas26[[#This Row],[CANT BARRAS]]*salidas26[[#This Row],[PRECIO BARRA]])</f>
        <v>#VALUE!</v>
      </c>
    </row>
    <row r="1120" customFormat="false" ht="15" hidden="false" customHeight="false" outlineLevel="0" collapsed="false">
      <c r="C112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20" s="75"/>
      <c r="E1120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20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20" s="1" t="e">
        <f aca="false">(salidas26[[#This Row],[CANT JUEGOS ]]*salidas26[[#This Row],[PRECIO JUEGO]])</f>
        <v>#VALUE!</v>
      </c>
      <c r="J1120" s="1" t="e">
        <f aca="false">(salidas26[[#This Row],[CANT BARRAS]]*salidas26[[#This Row],[PRECIO BARRA]])</f>
        <v>#VALUE!</v>
      </c>
    </row>
    <row r="1121" customFormat="false" ht="15" hidden="false" customHeight="false" outlineLevel="0" collapsed="false">
      <c r="C112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21" s="75"/>
      <c r="E1121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21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21" s="1" t="e">
        <f aca="false">(salidas26[[#This Row],[CANT JUEGOS ]]*salidas26[[#This Row],[PRECIO JUEGO]])</f>
        <v>#VALUE!</v>
      </c>
      <c r="J1121" s="1" t="e">
        <f aca="false">(salidas26[[#This Row],[CANT BARRAS]]*salidas26[[#This Row],[PRECIO BARRA]])</f>
        <v>#VALUE!</v>
      </c>
    </row>
    <row r="1122" customFormat="false" ht="15" hidden="false" customHeight="false" outlineLevel="0" collapsed="false">
      <c r="C112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22" s="75"/>
      <c r="E1122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22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22" s="1" t="e">
        <f aca="false">(salidas26[[#This Row],[CANT JUEGOS ]]*salidas26[[#This Row],[PRECIO JUEGO]])</f>
        <v>#VALUE!</v>
      </c>
      <c r="J1122" s="1" t="e">
        <f aca="false">(salidas26[[#This Row],[CANT BARRAS]]*salidas26[[#This Row],[PRECIO BARRA]])</f>
        <v>#VALUE!</v>
      </c>
    </row>
    <row r="1123" customFormat="false" ht="15" hidden="false" customHeight="false" outlineLevel="0" collapsed="false">
      <c r="C112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23" s="75"/>
      <c r="E1123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23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23" s="1" t="e">
        <f aca="false">(salidas26[[#This Row],[CANT JUEGOS ]]*salidas26[[#This Row],[PRECIO JUEGO]])</f>
        <v>#VALUE!</v>
      </c>
      <c r="J1123" s="1" t="e">
        <f aca="false">(salidas26[[#This Row],[CANT BARRAS]]*salidas26[[#This Row],[PRECIO BARRA]])</f>
        <v>#VALUE!</v>
      </c>
    </row>
    <row r="1124" customFormat="false" ht="15" hidden="false" customHeight="false" outlineLevel="0" collapsed="false">
      <c r="C112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24" s="75"/>
      <c r="E1124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24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24" s="1" t="e">
        <f aca="false">(salidas26[[#This Row],[CANT JUEGOS ]]*salidas26[[#This Row],[PRECIO JUEGO]])</f>
        <v>#VALUE!</v>
      </c>
      <c r="J1124" s="1" t="e">
        <f aca="false">(salidas26[[#This Row],[CANT BARRAS]]*salidas26[[#This Row],[PRECIO BARRA]])</f>
        <v>#VALUE!</v>
      </c>
    </row>
    <row r="1125" customFormat="false" ht="15" hidden="false" customHeight="false" outlineLevel="0" collapsed="false">
      <c r="C112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25" s="75"/>
      <c r="E1125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25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25" s="1" t="e">
        <f aca="false">(salidas26[[#This Row],[CANT JUEGOS ]]*salidas26[[#This Row],[PRECIO JUEGO]])</f>
        <v>#VALUE!</v>
      </c>
      <c r="J1125" s="1" t="e">
        <f aca="false">(salidas26[[#This Row],[CANT BARRAS]]*salidas26[[#This Row],[PRECIO BARRA]])</f>
        <v>#VALUE!</v>
      </c>
    </row>
    <row r="1126" customFormat="false" ht="15" hidden="false" customHeight="false" outlineLevel="0" collapsed="false">
      <c r="C112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26" s="75"/>
      <c r="E1126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26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26" s="1" t="e">
        <f aca="false">(salidas26[[#This Row],[CANT JUEGOS ]]*salidas26[[#This Row],[PRECIO JUEGO]])</f>
        <v>#VALUE!</v>
      </c>
      <c r="J1126" s="1" t="e">
        <f aca="false">(salidas26[[#This Row],[CANT BARRAS]]*salidas26[[#This Row],[PRECIO BARRA]])</f>
        <v>#VALUE!</v>
      </c>
    </row>
    <row r="1127" customFormat="false" ht="15" hidden="false" customHeight="false" outlineLevel="0" collapsed="false">
      <c r="C112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27" s="75"/>
      <c r="E1127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27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27" s="1" t="e">
        <f aca="false">(salidas26[[#This Row],[CANT JUEGOS ]]*salidas26[[#This Row],[PRECIO JUEGO]])</f>
        <v>#VALUE!</v>
      </c>
      <c r="J1127" s="1" t="e">
        <f aca="false">(salidas26[[#This Row],[CANT BARRAS]]*salidas26[[#This Row],[PRECIO BARRA]])</f>
        <v>#VALUE!</v>
      </c>
    </row>
    <row r="1128" customFormat="false" ht="15" hidden="false" customHeight="false" outlineLevel="0" collapsed="false">
      <c r="C112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28" s="75"/>
      <c r="E1128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28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28" s="1" t="e">
        <f aca="false">(salidas26[[#This Row],[CANT JUEGOS ]]*salidas26[[#This Row],[PRECIO JUEGO]])</f>
        <v>#VALUE!</v>
      </c>
      <c r="J1128" s="1" t="e">
        <f aca="false">(salidas26[[#This Row],[CANT BARRAS]]*salidas26[[#This Row],[PRECIO BARRA]])</f>
        <v>#VALUE!</v>
      </c>
    </row>
    <row r="1129" customFormat="false" ht="15" hidden="false" customHeight="false" outlineLevel="0" collapsed="false">
      <c r="C112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29" s="75"/>
      <c r="E1129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29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29" s="1" t="e">
        <f aca="false">(salidas26[[#This Row],[CANT JUEGOS ]]*salidas26[[#This Row],[PRECIO JUEGO]])</f>
        <v>#VALUE!</v>
      </c>
      <c r="J1129" s="1" t="e">
        <f aca="false">(salidas26[[#This Row],[CANT BARRAS]]*salidas26[[#This Row],[PRECIO BARRA]])</f>
        <v>#VALUE!</v>
      </c>
    </row>
    <row r="1130" customFormat="false" ht="15" hidden="false" customHeight="false" outlineLevel="0" collapsed="false">
      <c r="C113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30" s="75"/>
      <c r="E1130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30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30" s="1" t="e">
        <f aca="false">(salidas26[[#This Row],[CANT JUEGOS ]]*salidas26[[#This Row],[PRECIO JUEGO]])</f>
        <v>#VALUE!</v>
      </c>
      <c r="J1130" s="1" t="e">
        <f aca="false">(salidas26[[#This Row],[CANT BARRAS]]*salidas26[[#This Row],[PRECIO BARRA]])</f>
        <v>#VALUE!</v>
      </c>
    </row>
    <row r="1131" customFormat="false" ht="15" hidden="false" customHeight="false" outlineLevel="0" collapsed="false">
      <c r="C113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31" s="75"/>
      <c r="E1131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31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31" s="1" t="e">
        <f aca="false">(salidas26[[#This Row],[CANT JUEGOS ]]*salidas26[[#This Row],[PRECIO JUEGO]])</f>
        <v>#VALUE!</v>
      </c>
      <c r="J1131" s="1" t="e">
        <f aca="false">(salidas26[[#This Row],[CANT BARRAS]]*salidas26[[#This Row],[PRECIO BARRA]])</f>
        <v>#VALUE!</v>
      </c>
    </row>
    <row r="1132" customFormat="false" ht="15" hidden="false" customHeight="false" outlineLevel="0" collapsed="false">
      <c r="C113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32" s="75"/>
      <c r="E1132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32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32" s="1" t="e">
        <f aca="false">(salidas26[[#This Row],[CANT JUEGOS ]]*salidas26[[#This Row],[PRECIO JUEGO]])</f>
        <v>#VALUE!</v>
      </c>
      <c r="J1132" s="1" t="e">
        <f aca="false">(salidas26[[#This Row],[CANT BARRAS]]*salidas26[[#This Row],[PRECIO BARRA]])</f>
        <v>#VALUE!</v>
      </c>
    </row>
    <row r="1133" customFormat="false" ht="15" hidden="false" customHeight="false" outlineLevel="0" collapsed="false">
      <c r="C113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33" s="75"/>
      <c r="E1133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33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33" s="1" t="e">
        <f aca="false">(salidas26[[#This Row],[CANT JUEGOS ]]*salidas26[[#This Row],[PRECIO JUEGO]])</f>
        <v>#VALUE!</v>
      </c>
      <c r="J1133" s="1" t="e">
        <f aca="false">(salidas26[[#This Row],[CANT BARRAS]]*salidas26[[#This Row],[PRECIO BARRA]])</f>
        <v>#VALUE!</v>
      </c>
    </row>
    <row r="1134" customFormat="false" ht="15" hidden="false" customHeight="false" outlineLevel="0" collapsed="false">
      <c r="C113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34" s="75"/>
      <c r="E1134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34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34" s="1" t="e">
        <f aca="false">(salidas26[[#This Row],[CANT JUEGOS ]]*salidas26[[#This Row],[PRECIO JUEGO]])</f>
        <v>#VALUE!</v>
      </c>
      <c r="J1134" s="1" t="e">
        <f aca="false">(salidas26[[#This Row],[CANT BARRAS]]*salidas26[[#This Row],[PRECIO BARRA]])</f>
        <v>#VALUE!</v>
      </c>
    </row>
    <row r="1135" customFormat="false" ht="15" hidden="false" customHeight="false" outlineLevel="0" collapsed="false">
      <c r="C113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35" s="75"/>
      <c r="E1135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35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35" s="1" t="e">
        <f aca="false">(salidas26[[#This Row],[CANT JUEGOS ]]*salidas26[[#This Row],[PRECIO JUEGO]])</f>
        <v>#VALUE!</v>
      </c>
      <c r="J1135" s="1" t="e">
        <f aca="false">(salidas26[[#This Row],[CANT BARRAS]]*salidas26[[#This Row],[PRECIO BARRA]])</f>
        <v>#VALUE!</v>
      </c>
    </row>
    <row r="1136" customFormat="false" ht="15" hidden="false" customHeight="false" outlineLevel="0" collapsed="false">
      <c r="C113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36" s="75"/>
      <c r="E1136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36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36" s="1" t="e">
        <f aca="false">(salidas26[[#This Row],[CANT JUEGOS ]]*salidas26[[#This Row],[PRECIO JUEGO]])</f>
        <v>#VALUE!</v>
      </c>
      <c r="J1136" s="1" t="e">
        <f aca="false">(salidas26[[#This Row],[CANT BARRAS]]*salidas26[[#This Row],[PRECIO BARRA]])</f>
        <v>#VALUE!</v>
      </c>
    </row>
    <row r="1137" customFormat="false" ht="15" hidden="false" customHeight="false" outlineLevel="0" collapsed="false">
      <c r="C113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37" s="75"/>
      <c r="E1137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37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37" s="1" t="e">
        <f aca="false">(salidas26[[#This Row],[CANT JUEGOS ]]*salidas26[[#This Row],[PRECIO JUEGO]])</f>
        <v>#VALUE!</v>
      </c>
      <c r="J1137" s="1" t="e">
        <f aca="false">(salidas26[[#This Row],[CANT BARRAS]]*salidas26[[#This Row],[PRECIO BARRA]])</f>
        <v>#VALUE!</v>
      </c>
    </row>
    <row r="1138" customFormat="false" ht="15" hidden="false" customHeight="false" outlineLevel="0" collapsed="false">
      <c r="C113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38" s="75"/>
      <c r="E1138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38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38" s="1" t="e">
        <f aca="false">(salidas26[[#This Row],[CANT JUEGOS ]]*salidas26[[#This Row],[PRECIO JUEGO]])</f>
        <v>#VALUE!</v>
      </c>
      <c r="J1138" s="1" t="e">
        <f aca="false">(salidas26[[#This Row],[CANT BARRAS]]*salidas26[[#This Row],[PRECIO BARRA]])</f>
        <v>#VALUE!</v>
      </c>
    </row>
    <row r="1139" customFormat="false" ht="15" hidden="false" customHeight="false" outlineLevel="0" collapsed="false">
      <c r="C113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39" s="75"/>
      <c r="E1139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39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39" s="1" t="e">
        <f aca="false">(salidas26[[#This Row],[CANT JUEGOS ]]*salidas26[[#This Row],[PRECIO JUEGO]])</f>
        <v>#VALUE!</v>
      </c>
      <c r="J1139" s="1" t="e">
        <f aca="false">(salidas26[[#This Row],[CANT BARRAS]]*salidas26[[#This Row],[PRECIO BARRA]])</f>
        <v>#VALUE!</v>
      </c>
    </row>
    <row r="1140" customFormat="false" ht="15" hidden="false" customHeight="false" outlineLevel="0" collapsed="false">
      <c r="C114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40" s="75"/>
      <c r="E1140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40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40" s="1" t="e">
        <f aca="false">(salidas26[[#This Row],[CANT JUEGOS ]]*salidas26[[#This Row],[PRECIO JUEGO]])</f>
        <v>#VALUE!</v>
      </c>
      <c r="J1140" s="1" t="e">
        <f aca="false">(salidas26[[#This Row],[CANT BARRAS]]*salidas26[[#This Row],[PRECIO BARRA]])</f>
        <v>#VALUE!</v>
      </c>
    </row>
    <row r="1141" customFormat="false" ht="15" hidden="false" customHeight="false" outlineLevel="0" collapsed="false">
      <c r="C114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41" s="75"/>
      <c r="E1141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41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41" s="1" t="e">
        <f aca="false">(salidas26[[#This Row],[CANT JUEGOS ]]*salidas26[[#This Row],[PRECIO JUEGO]])</f>
        <v>#VALUE!</v>
      </c>
      <c r="J1141" s="1" t="e">
        <f aca="false">(salidas26[[#This Row],[CANT BARRAS]]*salidas26[[#This Row],[PRECIO BARRA]])</f>
        <v>#VALUE!</v>
      </c>
    </row>
    <row r="1142" customFormat="false" ht="15" hidden="false" customHeight="false" outlineLevel="0" collapsed="false">
      <c r="C114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42" s="75"/>
      <c r="E1142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42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42" s="1" t="e">
        <f aca="false">(salidas26[[#This Row],[CANT JUEGOS ]]*salidas26[[#This Row],[PRECIO JUEGO]])</f>
        <v>#VALUE!</v>
      </c>
      <c r="J1142" s="1" t="e">
        <f aca="false">(salidas26[[#This Row],[CANT BARRAS]]*salidas26[[#This Row],[PRECIO BARRA]])</f>
        <v>#VALUE!</v>
      </c>
    </row>
    <row r="1143" customFormat="false" ht="15" hidden="false" customHeight="false" outlineLevel="0" collapsed="false">
      <c r="C114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43" s="75"/>
      <c r="E1143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43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43" s="1" t="e">
        <f aca="false">(salidas26[[#This Row],[CANT JUEGOS ]]*salidas26[[#This Row],[PRECIO JUEGO]])</f>
        <v>#VALUE!</v>
      </c>
      <c r="J1143" s="1" t="e">
        <f aca="false">(salidas26[[#This Row],[CANT BARRAS]]*salidas26[[#This Row],[PRECIO BARRA]])</f>
        <v>#VALUE!</v>
      </c>
    </row>
    <row r="1144" customFormat="false" ht="15" hidden="false" customHeight="false" outlineLevel="0" collapsed="false">
      <c r="C114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44" s="75"/>
      <c r="E1144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44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44" s="1" t="e">
        <f aca="false">(salidas26[[#This Row],[CANT JUEGOS ]]*salidas26[[#This Row],[PRECIO JUEGO]])</f>
        <v>#VALUE!</v>
      </c>
      <c r="J1144" s="1" t="e">
        <f aca="false">(salidas26[[#This Row],[CANT BARRAS]]*salidas26[[#This Row],[PRECIO BARRA]])</f>
        <v>#VALUE!</v>
      </c>
    </row>
    <row r="1145" customFormat="false" ht="15" hidden="false" customHeight="false" outlineLevel="0" collapsed="false">
      <c r="C114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45" s="75"/>
      <c r="E1145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45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45" s="1" t="e">
        <f aca="false">(salidas26[[#This Row],[CANT JUEGOS ]]*salidas26[[#This Row],[PRECIO JUEGO]])</f>
        <v>#VALUE!</v>
      </c>
      <c r="J1145" s="1" t="e">
        <f aca="false">(salidas26[[#This Row],[CANT BARRAS]]*salidas26[[#This Row],[PRECIO BARRA]])</f>
        <v>#VALUE!</v>
      </c>
    </row>
    <row r="1146" customFormat="false" ht="15" hidden="false" customHeight="false" outlineLevel="0" collapsed="false">
      <c r="C114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46" s="75"/>
      <c r="E1146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46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46" s="1" t="e">
        <f aca="false">(salidas26[[#This Row],[CANT JUEGOS ]]*salidas26[[#This Row],[PRECIO JUEGO]])</f>
        <v>#VALUE!</v>
      </c>
      <c r="J1146" s="1" t="e">
        <f aca="false">(salidas26[[#This Row],[CANT BARRAS]]*salidas26[[#This Row],[PRECIO BARRA]])</f>
        <v>#VALUE!</v>
      </c>
    </row>
    <row r="1147" customFormat="false" ht="15" hidden="false" customHeight="false" outlineLevel="0" collapsed="false">
      <c r="C114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47" s="75"/>
      <c r="E1147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47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47" s="1" t="e">
        <f aca="false">(salidas26[[#This Row],[CANT JUEGOS ]]*salidas26[[#This Row],[PRECIO JUEGO]])</f>
        <v>#VALUE!</v>
      </c>
      <c r="J1147" s="1" t="e">
        <f aca="false">(salidas26[[#This Row],[CANT BARRAS]]*salidas26[[#This Row],[PRECIO BARRA]])</f>
        <v>#VALUE!</v>
      </c>
    </row>
    <row r="1148" customFormat="false" ht="15" hidden="false" customHeight="false" outlineLevel="0" collapsed="false">
      <c r="C114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48" s="75"/>
      <c r="E1148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48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48" s="1" t="e">
        <f aca="false">(salidas26[[#This Row],[CANT JUEGOS ]]*salidas26[[#This Row],[PRECIO JUEGO]])</f>
        <v>#VALUE!</v>
      </c>
      <c r="J1148" s="1" t="e">
        <f aca="false">(salidas26[[#This Row],[CANT BARRAS]]*salidas26[[#This Row],[PRECIO BARRA]])</f>
        <v>#VALUE!</v>
      </c>
    </row>
    <row r="1149" customFormat="false" ht="15" hidden="false" customHeight="false" outlineLevel="0" collapsed="false">
      <c r="C114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49" s="75"/>
      <c r="E1149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49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49" s="1" t="e">
        <f aca="false">(salidas26[[#This Row],[CANT JUEGOS ]]*salidas26[[#This Row],[PRECIO JUEGO]])</f>
        <v>#VALUE!</v>
      </c>
      <c r="J1149" s="1" t="e">
        <f aca="false">(salidas26[[#This Row],[CANT BARRAS]]*salidas26[[#This Row],[PRECIO BARRA]])</f>
        <v>#VALUE!</v>
      </c>
    </row>
    <row r="1150" customFormat="false" ht="15" hidden="false" customHeight="false" outlineLevel="0" collapsed="false">
      <c r="C115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50" s="75"/>
      <c r="E1150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50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50" s="1" t="e">
        <f aca="false">(salidas26[[#This Row],[CANT JUEGOS ]]*salidas26[[#This Row],[PRECIO JUEGO]])</f>
        <v>#VALUE!</v>
      </c>
      <c r="J1150" s="1" t="e">
        <f aca="false">(salidas26[[#This Row],[CANT BARRAS]]*salidas26[[#This Row],[PRECIO BARRA]])</f>
        <v>#VALUE!</v>
      </c>
    </row>
    <row r="1151" customFormat="false" ht="15" hidden="false" customHeight="false" outlineLevel="0" collapsed="false">
      <c r="C115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51" s="75"/>
      <c r="E1151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51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51" s="1" t="e">
        <f aca="false">(salidas26[[#This Row],[CANT JUEGOS ]]*salidas26[[#This Row],[PRECIO JUEGO]])</f>
        <v>#VALUE!</v>
      </c>
      <c r="J1151" s="1" t="e">
        <f aca="false">(salidas26[[#This Row],[CANT BARRAS]]*salidas26[[#This Row],[PRECIO BARRA]])</f>
        <v>#VALUE!</v>
      </c>
    </row>
    <row r="1152" customFormat="false" ht="15" hidden="false" customHeight="false" outlineLevel="0" collapsed="false">
      <c r="C115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52" s="75"/>
      <c r="E1152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52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52" s="1" t="e">
        <f aca="false">(salidas26[[#This Row],[CANT JUEGOS ]]*salidas26[[#This Row],[PRECIO JUEGO]])</f>
        <v>#VALUE!</v>
      </c>
      <c r="J1152" s="1" t="e">
        <f aca="false">(salidas26[[#This Row],[CANT BARRAS]]*salidas26[[#This Row],[PRECIO BARRA]])</f>
        <v>#VALUE!</v>
      </c>
    </row>
    <row r="1153" customFormat="false" ht="15" hidden="false" customHeight="false" outlineLevel="0" collapsed="false">
      <c r="C115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53" s="75"/>
      <c r="E1153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53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53" s="1" t="e">
        <f aca="false">(salidas26[[#This Row],[CANT JUEGOS ]]*salidas26[[#This Row],[PRECIO JUEGO]])</f>
        <v>#VALUE!</v>
      </c>
      <c r="J1153" s="1" t="e">
        <f aca="false">(salidas26[[#This Row],[CANT BARRAS]]*salidas26[[#This Row],[PRECIO BARRA]])</f>
        <v>#VALUE!</v>
      </c>
    </row>
    <row r="1154" customFormat="false" ht="15" hidden="false" customHeight="false" outlineLevel="0" collapsed="false">
      <c r="C115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54" s="75"/>
      <c r="E1154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54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54" s="1" t="e">
        <f aca="false">(salidas26[[#This Row],[CANT JUEGOS ]]*salidas26[[#This Row],[PRECIO JUEGO]])</f>
        <v>#VALUE!</v>
      </c>
      <c r="J1154" s="1" t="e">
        <f aca="false">(salidas26[[#This Row],[CANT BARRAS]]*salidas26[[#This Row],[PRECIO BARRA]])</f>
        <v>#VALUE!</v>
      </c>
    </row>
    <row r="1155" customFormat="false" ht="15" hidden="false" customHeight="false" outlineLevel="0" collapsed="false">
      <c r="C115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55" s="75"/>
      <c r="E1155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55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55" s="1" t="e">
        <f aca="false">(salidas26[[#This Row],[CANT JUEGOS ]]*salidas26[[#This Row],[PRECIO JUEGO]])</f>
        <v>#VALUE!</v>
      </c>
      <c r="J1155" s="1" t="e">
        <f aca="false">(salidas26[[#This Row],[CANT BARRAS]]*salidas26[[#This Row],[PRECIO BARRA]])</f>
        <v>#VALUE!</v>
      </c>
    </row>
    <row r="1156" customFormat="false" ht="15" hidden="false" customHeight="false" outlineLevel="0" collapsed="false">
      <c r="C115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56" s="75"/>
      <c r="E1156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56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56" s="1" t="e">
        <f aca="false">(salidas26[[#This Row],[CANT JUEGOS ]]*salidas26[[#This Row],[PRECIO JUEGO]])</f>
        <v>#VALUE!</v>
      </c>
      <c r="J1156" s="1" t="e">
        <f aca="false">(salidas26[[#This Row],[CANT BARRAS]]*salidas26[[#This Row],[PRECIO BARRA]])</f>
        <v>#VALUE!</v>
      </c>
    </row>
    <row r="1157" customFormat="false" ht="15" hidden="false" customHeight="false" outlineLevel="0" collapsed="false">
      <c r="C115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57" s="75"/>
      <c r="E1157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57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57" s="1" t="e">
        <f aca="false">(salidas26[[#This Row],[CANT JUEGOS ]]*salidas26[[#This Row],[PRECIO JUEGO]])</f>
        <v>#VALUE!</v>
      </c>
      <c r="J1157" s="1" t="e">
        <f aca="false">(salidas26[[#This Row],[CANT BARRAS]]*salidas26[[#This Row],[PRECIO BARRA]])</f>
        <v>#VALUE!</v>
      </c>
    </row>
    <row r="1158" customFormat="false" ht="15" hidden="false" customHeight="false" outlineLevel="0" collapsed="false">
      <c r="C115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58" s="75"/>
      <c r="E1158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58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58" s="1" t="e">
        <f aca="false">(salidas26[[#This Row],[CANT JUEGOS ]]*salidas26[[#This Row],[PRECIO JUEGO]])</f>
        <v>#VALUE!</v>
      </c>
      <c r="J1158" s="1" t="e">
        <f aca="false">(salidas26[[#This Row],[CANT BARRAS]]*salidas26[[#This Row],[PRECIO BARRA]])</f>
        <v>#VALUE!</v>
      </c>
    </row>
    <row r="1159" customFormat="false" ht="15" hidden="false" customHeight="false" outlineLevel="0" collapsed="false">
      <c r="C115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59" s="75"/>
      <c r="E1159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59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59" s="1" t="e">
        <f aca="false">(salidas26[[#This Row],[CANT JUEGOS ]]*salidas26[[#This Row],[PRECIO JUEGO]])</f>
        <v>#VALUE!</v>
      </c>
      <c r="J1159" s="1" t="e">
        <f aca="false">(salidas26[[#This Row],[CANT BARRAS]]*salidas26[[#This Row],[PRECIO BARRA]])</f>
        <v>#VALUE!</v>
      </c>
    </row>
    <row r="1160" customFormat="false" ht="15" hidden="false" customHeight="false" outlineLevel="0" collapsed="false">
      <c r="C116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60" s="75"/>
      <c r="E1160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60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60" s="1" t="e">
        <f aca="false">(salidas26[[#This Row],[CANT JUEGOS ]]*salidas26[[#This Row],[PRECIO JUEGO]])</f>
        <v>#VALUE!</v>
      </c>
      <c r="J1160" s="1" t="e">
        <f aca="false">(salidas26[[#This Row],[CANT BARRAS]]*salidas26[[#This Row],[PRECIO BARRA]])</f>
        <v>#VALUE!</v>
      </c>
    </row>
    <row r="1161" customFormat="false" ht="15" hidden="false" customHeight="false" outlineLevel="0" collapsed="false">
      <c r="C116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61" s="75"/>
      <c r="E1161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61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61" s="1" t="e">
        <f aca="false">(salidas26[[#This Row],[CANT JUEGOS ]]*salidas26[[#This Row],[PRECIO JUEGO]])</f>
        <v>#VALUE!</v>
      </c>
      <c r="J1161" s="1" t="e">
        <f aca="false">(salidas26[[#This Row],[CANT BARRAS]]*salidas26[[#This Row],[PRECIO BARRA]])</f>
        <v>#VALUE!</v>
      </c>
    </row>
    <row r="1162" customFormat="false" ht="15" hidden="false" customHeight="false" outlineLevel="0" collapsed="false">
      <c r="C116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62" s="75"/>
      <c r="E1162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62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62" s="1" t="e">
        <f aca="false">(salidas26[[#This Row],[CANT JUEGOS ]]*salidas26[[#This Row],[PRECIO JUEGO]])</f>
        <v>#VALUE!</v>
      </c>
      <c r="J1162" s="1" t="e">
        <f aca="false">(salidas26[[#This Row],[CANT BARRAS]]*salidas26[[#This Row],[PRECIO BARRA]])</f>
        <v>#VALUE!</v>
      </c>
    </row>
    <row r="1163" customFormat="false" ht="15" hidden="false" customHeight="false" outlineLevel="0" collapsed="false">
      <c r="C116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63" s="75"/>
      <c r="E1163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63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63" s="1" t="e">
        <f aca="false">(salidas26[[#This Row],[CANT JUEGOS ]]*salidas26[[#This Row],[PRECIO JUEGO]])</f>
        <v>#VALUE!</v>
      </c>
      <c r="J1163" s="1" t="e">
        <f aca="false">(salidas26[[#This Row],[CANT BARRAS]]*salidas26[[#This Row],[PRECIO BARRA]])</f>
        <v>#VALUE!</v>
      </c>
    </row>
    <row r="1164" customFormat="false" ht="15" hidden="false" customHeight="false" outlineLevel="0" collapsed="false">
      <c r="C116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64" s="75"/>
      <c r="E1164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64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64" s="1" t="e">
        <f aca="false">(salidas26[[#This Row],[CANT JUEGOS ]]*salidas26[[#This Row],[PRECIO JUEGO]])</f>
        <v>#VALUE!</v>
      </c>
      <c r="J1164" s="1" t="e">
        <f aca="false">(salidas26[[#This Row],[CANT BARRAS]]*salidas26[[#This Row],[PRECIO BARRA]])</f>
        <v>#VALUE!</v>
      </c>
    </row>
    <row r="1165" customFormat="false" ht="15" hidden="false" customHeight="false" outlineLevel="0" collapsed="false">
      <c r="C116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65" s="75"/>
      <c r="E1165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65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65" s="1" t="e">
        <f aca="false">(salidas26[[#This Row],[CANT JUEGOS ]]*salidas26[[#This Row],[PRECIO JUEGO]])</f>
        <v>#VALUE!</v>
      </c>
      <c r="J1165" s="1" t="e">
        <f aca="false">(salidas26[[#This Row],[CANT BARRAS]]*salidas26[[#This Row],[PRECIO BARRA]])</f>
        <v>#VALUE!</v>
      </c>
    </row>
    <row r="1166" customFormat="false" ht="15" hidden="false" customHeight="false" outlineLevel="0" collapsed="false">
      <c r="C116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66" s="75"/>
      <c r="E1166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66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66" s="1" t="e">
        <f aca="false">(salidas26[[#This Row],[CANT JUEGOS ]]*salidas26[[#This Row],[PRECIO JUEGO]])</f>
        <v>#VALUE!</v>
      </c>
      <c r="J1166" s="1" t="e">
        <f aca="false">(salidas26[[#This Row],[CANT BARRAS]]*salidas26[[#This Row],[PRECIO BARRA]])</f>
        <v>#VALUE!</v>
      </c>
    </row>
    <row r="1167" customFormat="false" ht="15" hidden="false" customHeight="false" outlineLevel="0" collapsed="false">
      <c r="C116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67" s="75"/>
      <c r="E1167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67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67" s="1" t="e">
        <f aca="false">(salidas26[[#This Row],[CANT JUEGOS ]]*salidas26[[#This Row],[PRECIO JUEGO]])</f>
        <v>#VALUE!</v>
      </c>
      <c r="J1167" s="1" t="e">
        <f aca="false">(salidas26[[#This Row],[CANT BARRAS]]*salidas26[[#This Row],[PRECIO BARRA]])</f>
        <v>#VALUE!</v>
      </c>
    </row>
    <row r="1168" customFormat="false" ht="15" hidden="false" customHeight="false" outlineLevel="0" collapsed="false">
      <c r="C116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68" s="75"/>
      <c r="E1168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68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68" s="1" t="e">
        <f aca="false">(salidas26[[#This Row],[CANT JUEGOS ]]*salidas26[[#This Row],[PRECIO JUEGO]])</f>
        <v>#VALUE!</v>
      </c>
      <c r="J1168" s="1" t="e">
        <f aca="false">(salidas26[[#This Row],[CANT BARRAS]]*salidas26[[#This Row],[PRECIO BARRA]])</f>
        <v>#VALUE!</v>
      </c>
    </row>
    <row r="1169" customFormat="false" ht="15" hidden="false" customHeight="false" outlineLevel="0" collapsed="false">
      <c r="C116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69" s="75"/>
      <c r="E1169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69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69" s="1" t="e">
        <f aca="false">(salidas26[[#This Row],[CANT JUEGOS ]]*salidas26[[#This Row],[PRECIO JUEGO]])</f>
        <v>#VALUE!</v>
      </c>
      <c r="J1169" s="1" t="e">
        <f aca="false">(salidas26[[#This Row],[CANT BARRAS]]*salidas26[[#This Row],[PRECIO BARRA]])</f>
        <v>#VALUE!</v>
      </c>
    </row>
    <row r="1170" customFormat="false" ht="15" hidden="false" customHeight="false" outlineLevel="0" collapsed="false">
      <c r="C117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70" s="75"/>
      <c r="E1170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70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70" s="1" t="e">
        <f aca="false">(salidas26[[#This Row],[CANT JUEGOS ]]*salidas26[[#This Row],[PRECIO JUEGO]])</f>
        <v>#VALUE!</v>
      </c>
      <c r="J1170" s="1" t="e">
        <f aca="false">(salidas26[[#This Row],[CANT BARRAS]]*salidas26[[#This Row],[PRECIO BARRA]])</f>
        <v>#VALUE!</v>
      </c>
    </row>
    <row r="1171" customFormat="false" ht="15" hidden="false" customHeight="false" outlineLevel="0" collapsed="false">
      <c r="C117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71" s="75"/>
      <c r="E1171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71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71" s="1" t="e">
        <f aca="false">(salidas26[[#This Row],[CANT JUEGOS ]]*salidas26[[#This Row],[PRECIO JUEGO]])</f>
        <v>#VALUE!</v>
      </c>
      <c r="J1171" s="1" t="e">
        <f aca="false">(salidas26[[#This Row],[CANT BARRAS]]*salidas26[[#This Row],[PRECIO BARRA]])</f>
        <v>#VALUE!</v>
      </c>
    </row>
    <row r="1172" customFormat="false" ht="15" hidden="false" customHeight="false" outlineLevel="0" collapsed="false">
      <c r="C117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72" s="75"/>
      <c r="E1172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72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72" s="1" t="e">
        <f aca="false">(salidas26[[#This Row],[CANT JUEGOS ]]*salidas26[[#This Row],[PRECIO JUEGO]])</f>
        <v>#VALUE!</v>
      </c>
      <c r="J1172" s="1" t="e">
        <f aca="false">(salidas26[[#This Row],[CANT BARRAS]]*salidas26[[#This Row],[PRECIO BARRA]])</f>
        <v>#VALUE!</v>
      </c>
    </row>
    <row r="1173" customFormat="false" ht="15" hidden="false" customHeight="false" outlineLevel="0" collapsed="false">
      <c r="C117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73" s="75"/>
      <c r="E1173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73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73" s="1" t="e">
        <f aca="false">(salidas26[[#This Row],[CANT JUEGOS ]]*salidas26[[#This Row],[PRECIO JUEGO]])</f>
        <v>#VALUE!</v>
      </c>
      <c r="J1173" s="1" t="e">
        <f aca="false">(salidas26[[#This Row],[CANT BARRAS]]*salidas26[[#This Row],[PRECIO BARRA]])</f>
        <v>#VALUE!</v>
      </c>
    </row>
    <row r="1174" customFormat="false" ht="15" hidden="false" customHeight="false" outlineLevel="0" collapsed="false">
      <c r="C117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74" s="75"/>
      <c r="E1174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74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74" s="1" t="e">
        <f aca="false">(salidas26[[#This Row],[CANT JUEGOS ]]*salidas26[[#This Row],[PRECIO JUEGO]])</f>
        <v>#VALUE!</v>
      </c>
      <c r="J1174" s="1" t="e">
        <f aca="false">(salidas26[[#This Row],[CANT BARRAS]]*salidas26[[#This Row],[PRECIO BARRA]])</f>
        <v>#VALUE!</v>
      </c>
    </row>
    <row r="1175" customFormat="false" ht="15" hidden="false" customHeight="false" outlineLevel="0" collapsed="false">
      <c r="C117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75" s="75"/>
      <c r="E1175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75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75" s="1" t="e">
        <f aca="false">(salidas26[[#This Row],[CANT JUEGOS ]]*salidas26[[#This Row],[PRECIO JUEGO]])</f>
        <v>#VALUE!</v>
      </c>
      <c r="J1175" s="1" t="e">
        <f aca="false">(salidas26[[#This Row],[CANT BARRAS]]*salidas26[[#This Row],[PRECIO BARRA]])</f>
        <v>#VALUE!</v>
      </c>
    </row>
    <row r="1176" customFormat="false" ht="15" hidden="false" customHeight="false" outlineLevel="0" collapsed="false">
      <c r="C117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76" s="75"/>
      <c r="E1176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76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76" s="1" t="e">
        <f aca="false">(salidas26[[#This Row],[CANT JUEGOS ]]*salidas26[[#This Row],[PRECIO JUEGO]])</f>
        <v>#VALUE!</v>
      </c>
      <c r="J1176" s="1" t="e">
        <f aca="false">(salidas26[[#This Row],[CANT BARRAS]]*salidas26[[#This Row],[PRECIO BARRA]])</f>
        <v>#VALUE!</v>
      </c>
    </row>
    <row r="1177" customFormat="false" ht="15" hidden="false" customHeight="false" outlineLevel="0" collapsed="false">
      <c r="C117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77" s="75"/>
      <c r="E1177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77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77" s="1" t="e">
        <f aca="false">(salidas26[[#This Row],[CANT JUEGOS ]]*salidas26[[#This Row],[PRECIO JUEGO]])</f>
        <v>#VALUE!</v>
      </c>
      <c r="J1177" s="1" t="e">
        <f aca="false">(salidas26[[#This Row],[CANT BARRAS]]*salidas26[[#This Row],[PRECIO BARRA]])</f>
        <v>#VALUE!</v>
      </c>
    </row>
    <row r="1178" customFormat="false" ht="15" hidden="false" customHeight="false" outlineLevel="0" collapsed="false">
      <c r="C117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78" s="75"/>
      <c r="E1178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78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78" s="1" t="e">
        <f aca="false">(salidas26[[#This Row],[CANT JUEGOS ]]*salidas26[[#This Row],[PRECIO JUEGO]])</f>
        <v>#VALUE!</v>
      </c>
      <c r="J1178" s="1" t="e">
        <f aca="false">(salidas26[[#This Row],[CANT BARRAS]]*salidas26[[#This Row],[PRECIO BARRA]])</f>
        <v>#VALUE!</v>
      </c>
    </row>
    <row r="1179" customFormat="false" ht="15" hidden="false" customHeight="false" outlineLevel="0" collapsed="false">
      <c r="C117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79" s="75"/>
      <c r="E1179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79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79" s="1" t="e">
        <f aca="false">(salidas26[[#This Row],[CANT JUEGOS ]]*salidas26[[#This Row],[PRECIO JUEGO]])</f>
        <v>#VALUE!</v>
      </c>
      <c r="J1179" s="1" t="e">
        <f aca="false">(salidas26[[#This Row],[CANT BARRAS]]*salidas26[[#This Row],[PRECIO BARRA]])</f>
        <v>#VALUE!</v>
      </c>
    </row>
    <row r="1180" customFormat="false" ht="15" hidden="false" customHeight="false" outlineLevel="0" collapsed="false">
      <c r="C118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80" s="75"/>
      <c r="E1180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80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80" s="1" t="e">
        <f aca="false">(salidas26[[#This Row],[CANT JUEGOS ]]*salidas26[[#This Row],[PRECIO JUEGO]])</f>
        <v>#VALUE!</v>
      </c>
      <c r="J1180" s="1" t="e">
        <f aca="false">(salidas26[[#This Row],[CANT BARRAS]]*salidas26[[#This Row],[PRECIO BARRA]])</f>
        <v>#VALUE!</v>
      </c>
    </row>
    <row r="1181" customFormat="false" ht="15" hidden="false" customHeight="false" outlineLevel="0" collapsed="false">
      <c r="C118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81" s="75"/>
      <c r="E1181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81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81" s="1" t="e">
        <f aca="false">(salidas26[[#This Row],[CANT JUEGOS ]]*salidas26[[#This Row],[PRECIO JUEGO]])</f>
        <v>#VALUE!</v>
      </c>
      <c r="J1181" s="1" t="e">
        <f aca="false">(salidas26[[#This Row],[CANT BARRAS]]*salidas26[[#This Row],[PRECIO BARRA]])</f>
        <v>#VALUE!</v>
      </c>
    </row>
    <row r="1182" customFormat="false" ht="15" hidden="false" customHeight="false" outlineLevel="0" collapsed="false">
      <c r="C118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82" s="75"/>
      <c r="E1182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82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82" s="1" t="e">
        <f aca="false">(salidas26[[#This Row],[CANT JUEGOS ]]*salidas26[[#This Row],[PRECIO JUEGO]])</f>
        <v>#VALUE!</v>
      </c>
      <c r="J1182" s="1" t="e">
        <f aca="false">(salidas26[[#This Row],[CANT BARRAS]]*salidas26[[#This Row],[PRECIO BARRA]])</f>
        <v>#VALUE!</v>
      </c>
    </row>
    <row r="1183" customFormat="false" ht="15" hidden="false" customHeight="false" outlineLevel="0" collapsed="false">
      <c r="C118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83" s="75"/>
      <c r="E1183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83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83" s="1" t="e">
        <f aca="false">(salidas26[[#This Row],[CANT JUEGOS ]]*salidas26[[#This Row],[PRECIO JUEGO]])</f>
        <v>#VALUE!</v>
      </c>
      <c r="J1183" s="1" t="e">
        <f aca="false">(salidas26[[#This Row],[CANT BARRAS]]*salidas26[[#This Row],[PRECIO BARRA]])</f>
        <v>#VALUE!</v>
      </c>
    </row>
    <row r="1184" customFormat="false" ht="15" hidden="false" customHeight="false" outlineLevel="0" collapsed="false">
      <c r="C118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84" s="75"/>
      <c r="E1184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84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84" s="1" t="e">
        <f aca="false">(salidas26[[#This Row],[CANT JUEGOS ]]*salidas26[[#This Row],[PRECIO JUEGO]])</f>
        <v>#VALUE!</v>
      </c>
      <c r="J1184" s="1" t="e">
        <f aca="false">(salidas26[[#This Row],[CANT BARRAS]]*salidas26[[#This Row],[PRECIO BARRA]])</f>
        <v>#VALUE!</v>
      </c>
    </row>
    <row r="1185" customFormat="false" ht="15" hidden="false" customHeight="false" outlineLevel="0" collapsed="false">
      <c r="C118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85" s="75"/>
      <c r="E1185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85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85" s="1" t="e">
        <f aca="false">(salidas26[[#This Row],[CANT JUEGOS ]]*salidas26[[#This Row],[PRECIO JUEGO]])</f>
        <v>#VALUE!</v>
      </c>
      <c r="J1185" s="1" t="e">
        <f aca="false">(salidas26[[#This Row],[CANT BARRAS]]*salidas26[[#This Row],[PRECIO BARRA]])</f>
        <v>#VALUE!</v>
      </c>
    </row>
    <row r="1186" customFormat="false" ht="15" hidden="false" customHeight="false" outlineLevel="0" collapsed="false">
      <c r="C118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86" s="75"/>
      <c r="E1186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86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86" s="1" t="e">
        <f aca="false">(salidas26[[#This Row],[CANT JUEGOS ]]*salidas26[[#This Row],[PRECIO JUEGO]])</f>
        <v>#VALUE!</v>
      </c>
      <c r="J1186" s="1" t="e">
        <f aca="false">(salidas26[[#This Row],[CANT BARRAS]]*salidas26[[#This Row],[PRECIO BARRA]])</f>
        <v>#VALUE!</v>
      </c>
    </row>
    <row r="1187" customFormat="false" ht="15" hidden="false" customHeight="false" outlineLevel="0" collapsed="false">
      <c r="C118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87" s="75"/>
      <c r="E1187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87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87" s="1" t="e">
        <f aca="false">(salidas26[[#This Row],[CANT JUEGOS ]]*salidas26[[#This Row],[PRECIO JUEGO]])</f>
        <v>#VALUE!</v>
      </c>
      <c r="J1187" s="1" t="e">
        <f aca="false">(salidas26[[#This Row],[CANT BARRAS]]*salidas26[[#This Row],[PRECIO BARRA]])</f>
        <v>#VALUE!</v>
      </c>
    </row>
    <row r="1188" customFormat="false" ht="15" hidden="false" customHeight="false" outlineLevel="0" collapsed="false">
      <c r="C1188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88" s="75"/>
      <c r="E1188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88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88" s="1" t="e">
        <f aca="false">(salidas26[[#This Row],[CANT JUEGOS ]]*salidas26[[#This Row],[PRECIO JUEGO]])</f>
        <v>#VALUE!</v>
      </c>
      <c r="J1188" s="1" t="e">
        <f aca="false">(salidas26[[#This Row],[CANT BARRAS]]*salidas26[[#This Row],[PRECIO BARRA]])</f>
        <v>#VALUE!</v>
      </c>
    </row>
    <row r="1189" customFormat="false" ht="15" hidden="false" customHeight="false" outlineLevel="0" collapsed="false">
      <c r="C1189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89" s="75"/>
      <c r="E1189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89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89" s="1" t="e">
        <f aca="false">(salidas26[[#This Row],[CANT JUEGOS ]]*salidas26[[#This Row],[PRECIO JUEGO]])</f>
        <v>#VALUE!</v>
      </c>
      <c r="J1189" s="1" t="e">
        <f aca="false">(salidas26[[#This Row],[CANT BARRAS]]*salidas26[[#This Row],[PRECIO BARRA]])</f>
        <v>#VALUE!</v>
      </c>
    </row>
    <row r="1190" customFormat="false" ht="15" hidden="false" customHeight="false" outlineLevel="0" collapsed="false">
      <c r="C1190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90" s="75"/>
      <c r="E1190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90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90" s="1" t="e">
        <f aca="false">(salidas26[[#This Row],[CANT JUEGOS ]]*salidas26[[#This Row],[PRECIO JUEGO]])</f>
        <v>#VALUE!</v>
      </c>
      <c r="J1190" s="1" t="e">
        <f aca="false">(salidas26[[#This Row],[CANT BARRAS]]*salidas26[[#This Row],[PRECIO BARRA]])</f>
        <v>#VALUE!</v>
      </c>
    </row>
    <row r="1191" customFormat="false" ht="15" hidden="false" customHeight="false" outlineLevel="0" collapsed="false">
      <c r="C1191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91" s="75"/>
      <c r="E1191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91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91" s="1" t="e">
        <f aca="false">(salidas26[[#This Row],[CANT JUEGOS ]]*salidas26[[#This Row],[PRECIO JUEGO]])</f>
        <v>#VALUE!</v>
      </c>
      <c r="J1191" s="1" t="e">
        <f aca="false">(salidas26[[#This Row],[CANT BARRAS]]*salidas26[[#This Row],[PRECIO BARRA]])</f>
        <v>#VALUE!</v>
      </c>
    </row>
    <row r="1192" customFormat="false" ht="15" hidden="false" customHeight="false" outlineLevel="0" collapsed="false">
      <c r="C1192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92" s="75"/>
      <c r="E1192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92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92" s="1" t="e">
        <f aca="false">(salidas26[[#This Row],[CANT JUEGOS ]]*salidas26[[#This Row],[PRECIO JUEGO]])</f>
        <v>#VALUE!</v>
      </c>
      <c r="J1192" s="1" t="e">
        <f aca="false">(salidas26[[#This Row],[CANT BARRAS]]*salidas26[[#This Row],[PRECIO BARRA]])</f>
        <v>#VALUE!</v>
      </c>
    </row>
    <row r="1193" customFormat="false" ht="15" hidden="false" customHeight="false" outlineLevel="0" collapsed="false">
      <c r="C1193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93" s="75"/>
      <c r="E1193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93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93" s="1" t="e">
        <f aca="false">(salidas26[[#This Row],[CANT JUEGOS ]]*salidas26[[#This Row],[PRECIO JUEGO]])</f>
        <v>#VALUE!</v>
      </c>
      <c r="J1193" s="1" t="e">
        <f aca="false">(salidas26[[#This Row],[CANT BARRAS]]*salidas26[[#This Row],[PRECIO BARRA]])</f>
        <v>#VALUE!</v>
      </c>
    </row>
    <row r="1194" customFormat="false" ht="15" hidden="false" customHeight="false" outlineLevel="0" collapsed="false">
      <c r="C1194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D1194" s="75"/>
      <c r="E1194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94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94" s="1" t="e">
        <f aca="false">(salidas26[[#This Row],[CANT JUEGOS ]]*salidas26[[#This Row],[PRECIO JUEGO]])</f>
        <v>#VALUE!</v>
      </c>
      <c r="J1194" s="1" t="e">
        <f aca="false">(salidas26[[#This Row],[CANT BARRAS]]*salidas26[[#This Row],[PRECIO BARRA]])</f>
        <v>#VALUE!</v>
      </c>
    </row>
    <row r="1195" customFormat="false" ht="15" hidden="false" customHeight="false" outlineLevel="0" collapsed="false">
      <c r="C1195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E1195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95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95" s="1" t="e">
        <f aca="false">(salidas26[[#This Row],[CANT JUEGOS ]]*salidas26[[#This Row],[PRECIO JUEGO]])</f>
        <v>#VALUE!</v>
      </c>
      <c r="J1195" s="1" t="e">
        <f aca="false">(salidas26[[#This Row],[CANT BARRAS]]*salidas26[[#This Row],[PRECIO BARRA]])</f>
        <v>#VALUE!</v>
      </c>
    </row>
    <row r="1196" customFormat="false" ht="15" hidden="false" customHeight="false" outlineLevel="0" collapsed="false">
      <c r="C1196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E1196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96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96" s="1" t="e">
        <f aca="false">(salidas26[[#This Row],[CANT JUEGOS ]]*salidas26[[#This Row],[PRECIO JUEGO]])</f>
        <v>#VALUE!</v>
      </c>
      <c r="J1196" s="1" t="e">
        <f aca="false">(salidas26[[#This Row],[CANT BARRAS]]*salidas26[[#This Row],[PRECIO BARRA]])</f>
        <v>#VALUE!</v>
      </c>
    </row>
    <row r="1197" customFormat="false" ht="15" hidden="false" customHeight="false" outlineLevel="0" collapsed="false">
      <c r="C1197" s="1" t="str">
        <f aca="false">IFERROR(VLOOKUP(salidas26[[#This Row],[CODIGO ]],LG26V[],2,(FALSE())),IFERROR(VLOOKUP(salidas26[[#This Row],[CODIGO ]],samgung26[],2,(FALSE())),IFERROR(VLOOKUP(salidas26[[#This Row],[CODIGO ]],sony26[],2,(FALSE())),IFERROR(VLOOKUP(salidas26[[#This Row],[CODIGO ]],haier26[],2,(FALSE())),IFERROR(VLOOKUP(salidas26[[#This Row],[CODIGO ]],daewoo26[],2,(FALSE())),IFERROR(VLOOKUP(salidas26[[#This Row],[CODIGO ]],toshiba26[],2,(FALSE())),IFERROR(VLOOKUP(salidas26[[#This Row],[CODIGO ]],aocyjvc26[],2,(FALSE())),IFERROR(VLOOKUP(salidas26[[#This Row],[CODIGO ]],chino26[],2,(FALSE())),IFERROR(VLOOKUP(salidas26[[#This Row],[CODIGO ]],philips26[],2,(FALSE())),IFERROR(VLOOKUP(salidas26[[#This Row],[CODIGO ]],premier26[],2,(FALSE())),IFERROR(VLOOKUP(salidas26[[#This Row],[CODIGO ]],MASTERG26[],2,(FALSE())),IFERROR(VLOOKUP(salidas26[[#This Row],[CODIGO ]],SKYW26[],2,(FALSE())),IFERROR(VLOOKUP(salidas26[[#This Row],[CODIGO ]],HISENSE26[],2,(FALSE())),("No existe"))))))))))))))</f>
        <v>No existe</v>
      </c>
      <c r="E1197" s="1" t="str">
        <f aca="false">IFERROR(VLOOKUP(salidas26[[#This Row],[CODIGO ]],LG26V[],5,(FALSE())),IFERROR(VLOOKUP(salidas26[[#This Row],[CODIGO ]],samgung26[],5,(FALSE())),IFERROR(VLOOKUP(salidas26[[#This Row],[CODIGO ]],sony26[],5,(FALSE())),IFERROR(VLOOKUP(salidas26[[#This Row],[CODIGO ]],haier26[],5,(FALSE())),IFERROR(VLOOKUP(salidas26[[#This Row],[CODIGO ]],daewoo26[],5,(FALSE())),IFERROR(VLOOKUP(salidas26[[#This Row],[CODIGO ]],toshiba26[],5,(FALSE())),IFERROR(VLOOKUP(salidas26[[#This Row],[CODIGO ]],aocyjvc26[],5,(FALSE())),IFERROR(VLOOKUP(salidas26[[#This Row],[CODIGO ]],chino26[],5,(FALSE())),IFERROR(VLOOKUP(salidas26[[#This Row],[CODIGO ]],philips26[],5,(FALSE())),IFERROR(VLOOKUP(salidas26[[#This Row],[CODIGO ]],premier26[],5,(FALSE())),IFERROR(VLOOKUP(salidas26[[#This Row],[CODIGO ]],MASTERG26[],5,(FALSE())),IFERROR(VLOOKUP(salidas26[[#This Row],[CODIGO ]],SKYW26[],5,(FALSE())),IFERROR(VLOOKUP(salidas26[[#This Row],[CODIGO ]],HISENSE26[],5,(FALSE())),("No existe"))))))))))))))</f>
        <v>No existe</v>
      </c>
      <c r="F1197" s="1" t="str">
        <f aca="false">IFERROR(VLOOKUP(salidas26[[#This Row],[CODIGO ]],LG26V[],8,(FALSE())),IFERROR(VLOOKUP(salidas26[[#This Row],[CODIGO ]],samgung26[],8,(FALSE())),IFERROR(VLOOKUP(salidas26[[#This Row],[CODIGO ]],sony26[],8,(FALSE())),IFERROR(VLOOKUP(salidas26[[#This Row],[CODIGO ]],haier26[],8,(FALSE())),IFERROR(VLOOKUP(salidas26[[#This Row],[CODIGO ]],daewoo26[],8,(FALSE())),IFERROR(VLOOKUP(salidas26[[#This Row],[CODIGO ]],toshiba26[],8,(FALSE())),IFERROR(VLOOKUP(salidas26[[#This Row],[CODIGO ]],aocyjvc26[],8,(FALSE())),IFERROR(VLOOKUP(salidas26[[#This Row],[CODIGO ]],chino26[],8,(FALSE())),IFERROR(VLOOKUP(salidas26[[#This Row],[CODIGO ]],philips26[],8,(FALSE())),IFERROR(VLOOKUP(salidas26[[#This Row],[CODIGO ]],premier26[],8,(FALSE())),IFERROR(VLOOKUP(salidas26[[#This Row],[CODIGO ]],MASTERG26[],8,(FALSE())),IFERROR(VLOOKUP(salidas26[[#This Row],[CODIGO ]],SKYW26[],8,(FALSE())),IFERROR(VLOOKUP(salidas26[[#This Row],[CODIGO ]],HISENSE26[],8,(FALSE())),("No existe"))))))))))))))</f>
        <v>No existe</v>
      </c>
      <c r="I1197" s="1" t="e">
        <f aca="false">(salidas26[[#This Row],[CANT JUEGOS ]]*salidas26[[#This Row],[PRECIO JUEGO]])</f>
        <v>#VALUE!</v>
      </c>
      <c r="J1197" s="1" t="e">
        <f aca="false">(salidas26[[#This Row],[CANT BARRAS]]*salidas26[[#This Row],[PRECIO BARRA]])</f>
        <v>#VALUE!</v>
      </c>
    </row>
    <row r="1198" customFormat="false" ht="15" hidden="false" customHeight="false" outlineLevel="0" collapsed="false">
      <c r="A1198" s="1" t="s">
        <v>767</v>
      </c>
    </row>
  </sheetData>
  <mergeCells count="1">
    <mergeCell ref="A2:M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12" activeCellId="0" sqref="H112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1" width="10.43"/>
    <col collapsed="false" customWidth="true" hidden="false" outlineLevel="0" max="2" min="2" style="1" width="33"/>
    <col collapsed="false" customWidth="true" hidden="false" outlineLevel="0" max="3" min="3" style="1" width="11"/>
    <col collapsed="false" customWidth="true" hidden="false" outlineLevel="0" max="4" min="4" style="1" width="14.86"/>
    <col collapsed="false" customWidth="true" hidden="false" outlineLevel="0" max="5" min="5" style="1" width="14.43"/>
    <col collapsed="false" customWidth="true" hidden="false" outlineLevel="0" max="6" min="6" style="1" width="11"/>
    <col collapsed="false" customWidth="true" hidden="false" outlineLevel="0" max="7" min="7" style="1" width="18.86"/>
    <col collapsed="false" customWidth="true" hidden="false" outlineLevel="0" max="8" min="8" style="1" width="29.86"/>
  </cols>
  <sheetData>
    <row r="2" customFormat="false" ht="15" hidden="false" customHeight="false" outlineLevel="0" collapsed="false">
      <c r="A2" s="71" t="s">
        <v>768</v>
      </c>
      <c r="B2" s="71"/>
      <c r="C2" s="71"/>
      <c r="D2" s="71"/>
      <c r="E2" s="71"/>
      <c r="F2" s="71"/>
      <c r="G2" s="71"/>
      <c r="H2" s="71"/>
    </row>
    <row r="3" customFormat="false" ht="15" hidden="false" customHeight="false" outlineLevel="0" collapsed="false">
      <c r="A3" s="71"/>
      <c r="B3" s="71"/>
      <c r="C3" s="71"/>
      <c r="D3" s="71"/>
      <c r="E3" s="71"/>
      <c r="F3" s="71"/>
      <c r="G3" s="71"/>
      <c r="H3" s="71"/>
    </row>
    <row r="4" customFormat="false" ht="15" hidden="false" customHeight="false" outlineLevel="0" collapsed="false">
      <c r="A4" s="71"/>
      <c r="B4" s="71"/>
      <c r="C4" s="71"/>
      <c r="D4" s="71"/>
      <c r="E4" s="71"/>
      <c r="F4" s="71"/>
      <c r="G4" s="71"/>
      <c r="H4" s="71"/>
    </row>
    <row r="5" customFormat="false" ht="15" hidden="false" customHeight="false" outlineLevel="0" collapsed="false">
      <c r="A5" s="71"/>
      <c r="B5" s="71"/>
      <c r="C5" s="71"/>
      <c r="D5" s="71"/>
      <c r="E5" s="71"/>
      <c r="F5" s="71"/>
      <c r="G5" s="71"/>
      <c r="H5" s="71"/>
    </row>
    <row r="6" customFormat="false" ht="16.4" hidden="false" customHeight="false" outlineLevel="0" collapsed="false">
      <c r="A6" s="73" t="s">
        <v>769</v>
      </c>
      <c r="B6" s="73" t="s">
        <v>491</v>
      </c>
      <c r="C6" s="73" t="s">
        <v>770</v>
      </c>
      <c r="D6" s="73" t="s">
        <v>771</v>
      </c>
      <c r="E6" s="73" t="s">
        <v>772</v>
      </c>
      <c r="F6" s="73" t="s">
        <v>773</v>
      </c>
      <c r="G6" s="73" t="s">
        <v>774</v>
      </c>
      <c r="H6" s="73" t="s">
        <v>501</v>
      </c>
      <c r="I6" s="73" t="s">
        <v>775</v>
      </c>
    </row>
    <row r="7" customFormat="false" ht="15" hidden="false" customHeight="false" outlineLevel="0" collapsed="false">
      <c r="A7" s="1" t="n">
        <v>2003</v>
      </c>
      <c r="B7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UN32F5000-SAMSUNG 5B</v>
      </c>
      <c r="C7" s="75" t="n">
        <v>46030</v>
      </c>
      <c r="E7" s="1" t="n">
        <v>5</v>
      </c>
      <c r="G7" s="1" t="e">
        <f aca="false">(entradas26[[#This Row],[PRECIO]]/entradas26[[#This Row],[CAN JUEGOS ]])</f>
        <v>#DIV/0!</v>
      </c>
      <c r="H7" s="1" t="s">
        <v>663</v>
      </c>
    </row>
    <row r="8" customFormat="false" ht="15" hidden="false" customHeight="false" outlineLevel="0" collapsed="false">
      <c r="A8" s="1" t="n">
        <v>5018</v>
      </c>
      <c r="B8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KDL-40R475 SONY/10B</v>
      </c>
      <c r="C8" s="75" t="n">
        <v>46030</v>
      </c>
      <c r="E8" s="1" t="n">
        <v>10</v>
      </c>
      <c r="G8" s="1" t="e">
        <f aca="false">(entradas26[[#This Row],[PRECIO]]/entradas26[[#This Row],[CAN JUEGOS ]])</f>
        <v>#DIV/0!</v>
      </c>
      <c r="H8" s="1" t="s">
        <v>663</v>
      </c>
    </row>
    <row r="9" customFormat="false" ht="15" hidden="false" customHeight="false" outlineLevel="0" collapsed="false">
      <c r="A9" s="1" t="n">
        <v>5006</v>
      </c>
      <c r="B9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KDL-32R304B/3B</v>
      </c>
      <c r="C9" s="75" t="n">
        <v>46037</v>
      </c>
      <c r="E9" s="1" t="n">
        <v>3</v>
      </c>
      <c r="G9" s="1" t="e">
        <f aca="false">(entradas26[[#This Row],[PRECIO]]/entradas26[[#This Row],[CAN JUEGOS ]])</f>
        <v>#DIV/0!</v>
      </c>
      <c r="H9" s="1" t="s">
        <v>663</v>
      </c>
    </row>
    <row r="10" customFormat="false" ht="15" hidden="false" customHeight="false" outlineLevel="0" collapsed="false">
      <c r="A10" s="1" t="n">
        <v>2003</v>
      </c>
      <c r="B10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UN32F5000-SAMSUNG 5B</v>
      </c>
      <c r="C10" s="75" t="n">
        <v>46038</v>
      </c>
      <c r="E10" s="1" t="n">
        <v>5</v>
      </c>
      <c r="G10" s="1" t="e">
        <f aca="false">(entradas26[[#This Row],[PRECIO]]/entradas26[[#This Row],[CAN JUEGOS ]])</f>
        <v>#DIV/0!</v>
      </c>
      <c r="H10" s="1" t="s">
        <v>663</v>
      </c>
    </row>
    <row r="11" customFormat="false" ht="15" hidden="false" customHeight="false" outlineLevel="0" collapsed="false">
      <c r="A11" s="1" t="n">
        <v>4010</v>
      </c>
      <c r="B11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43 DAEWO S780 3B/8LED/3V</v>
      </c>
      <c r="C11" s="75" t="n">
        <v>46038</v>
      </c>
      <c r="E11" s="1" t="n">
        <v>3</v>
      </c>
      <c r="G11" s="1" t="e">
        <f aca="false">(entradas26[[#This Row],[PRECIO]]/entradas26[[#This Row],[CAN JUEGOS ]])</f>
        <v>#DIV/0!</v>
      </c>
      <c r="H11" s="1" t="s">
        <v>663</v>
      </c>
    </row>
    <row r="12" customFormat="false" ht="15" hidden="false" customHeight="false" outlineLevel="0" collapsed="false">
      <c r="A12" s="1" t="n">
        <v>8003</v>
      </c>
      <c r="B12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24 PULG</v>
      </c>
      <c r="C12" s="75" t="n">
        <v>46039</v>
      </c>
      <c r="E12" s="1" t="n">
        <v>2</v>
      </c>
      <c r="G12" s="1" t="e">
        <f aca="false">(entradas26[[#This Row],[PRECIO]]/entradas26[[#This Row],[CAN JUEGOS ]])</f>
        <v>#DIV/0!</v>
      </c>
      <c r="H12" s="1" t="s">
        <v>663</v>
      </c>
    </row>
    <row r="13" customFormat="false" ht="15" hidden="false" customHeight="false" outlineLevel="0" collapsed="false">
      <c r="A13" s="1" t="n">
        <v>9001</v>
      </c>
      <c r="B13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75 JVC /12B</v>
      </c>
      <c r="C13" s="75" t="n">
        <v>46043</v>
      </c>
      <c r="E13" s="1" t="n">
        <v>12</v>
      </c>
      <c r="G13" s="1" t="e">
        <f aca="false">(entradas26[[#This Row],[PRECIO]]/entradas26[[#This Row],[CAN JUEGOS ]])</f>
        <v>#DIV/0!</v>
      </c>
      <c r="H13" s="1" t="s">
        <v>663</v>
      </c>
    </row>
    <row r="14" customFormat="false" ht="15" hidden="false" customHeight="false" outlineLevel="0" collapsed="false">
      <c r="A14" s="1" t="n">
        <v>4011</v>
      </c>
      <c r="B14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43 DAEWO L43V780BTS 3B/7LED/3V</v>
      </c>
      <c r="C14" s="75" t="n">
        <v>46049</v>
      </c>
      <c r="E14" s="1" t="n">
        <v>3</v>
      </c>
      <c r="G14" s="1" t="e">
        <f aca="false">(entradas26[[#This Row],[PRECIO]]/entradas26[[#This Row],[CAN JUEGOS ]])</f>
        <v>#DIV/0!</v>
      </c>
      <c r="H14" s="1" t="s">
        <v>663</v>
      </c>
    </row>
    <row r="15" customFormat="false" ht="15" hidden="false" customHeight="false" outlineLevel="0" collapsed="false">
      <c r="A15" s="1" t="n">
        <v>2027</v>
      </c>
      <c r="B15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UN43J5290/8B</v>
      </c>
      <c r="C15" s="75" t="n">
        <v>46050</v>
      </c>
      <c r="E15" s="1" t="n">
        <v>8</v>
      </c>
      <c r="G15" s="1" t="e">
        <f aca="false">(entradas26[[#This Row],[PRECIO]]/entradas26[[#This Row],[CAN JUEGOS ]])</f>
        <v>#DIV/0!</v>
      </c>
      <c r="H15" s="1" t="s">
        <v>663</v>
      </c>
    </row>
    <row r="16" customFormat="false" ht="15" hidden="false" customHeight="false" outlineLevel="0" collapsed="false">
      <c r="A16" s="1" t="n">
        <v>9002</v>
      </c>
      <c r="B16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75 JVC  KB527 14B/7L</v>
      </c>
      <c r="C16" s="75" t="n">
        <v>46051</v>
      </c>
      <c r="D16" s="1" t="n">
        <v>10</v>
      </c>
      <c r="F16" s="1" t="n">
        <v>2370</v>
      </c>
      <c r="G16" s="1" t="n">
        <f aca="false">(entradas26[[#This Row],[PRECIO]]/entradas26[[#This Row],[CAN JUEGOS ]])</f>
        <v>237</v>
      </c>
      <c r="H16" s="1" t="s">
        <v>776</v>
      </c>
      <c r="I16" s="0" t="s">
        <v>777</v>
      </c>
    </row>
    <row r="17" customFormat="false" ht="15" hidden="false" customHeight="false" outlineLevel="0" collapsed="false">
      <c r="A17" s="1" t="n">
        <v>8073</v>
      </c>
      <c r="B17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50 DISMAC 4B/9L TV-6747SF50SFW (PREMIER)</v>
      </c>
      <c r="C17" s="75" t="n">
        <v>46051</v>
      </c>
      <c r="D17" s="1" t="n">
        <v>30</v>
      </c>
      <c r="F17" s="1" t="n">
        <v>2130</v>
      </c>
      <c r="G17" s="1" t="n">
        <f aca="false">(entradas26[[#This Row],[PRECIO]]/entradas26[[#This Row],[CAN JUEGOS ]])</f>
        <v>71</v>
      </c>
      <c r="H17" s="1" t="s">
        <v>776</v>
      </c>
      <c r="I17" s="0" t="s">
        <v>777</v>
      </c>
    </row>
    <row r="18" customFormat="false" ht="15" hidden="false" customHeight="false" outlineLevel="0" collapsed="false">
      <c r="A18" s="15" t="n">
        <v>8098</v>
      </c>
      <c r="B18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65 PREMIER 11B/6L </v>
      </c>
      <c r="C18" s="75" t="n">
        <v>46051</v>
      </c>
      <c r="D18" s="1" t="n">
        <v>20</v>
      </c>
      <c r="F18" s="1" t="n">
        <v>3420</v>
      </c>
      <c r="G18" s="1" t="n">
        <f aca="false">(entradas26[[#This Row],[PRECIO]]/entradas26[[#This Row],[CAN JUEGOS ]])</f>
        <v>171</v>
      </c>
      <c r="H18" s="1" t="s">
        <v>776</v>
      </c>
      <c r="I18" s="0" t="s">
        <v>777</v>
      </c>
    </row>
    <row r="19" customFormat="false" ht="15" hidden="false" customHeight="false" outlineLevel="0" collapsed="false">
      <c r="A19" s="1" t="n">
        <v>6025</v>
      </c>
      <c r="B19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55 M550KB TOSHIBA 5B/14L</v>
      </c>
      <c r="C19" s="75" t="n">
        <v>46051</v>
      </c>
      <c r="D19" s="1" t="n">
        <v>20</v>
      </c>
      <c r="F19" s="1" t="n">
        <v>2560</v>
      </c>
      <c r="G19" s="1" t="n">
        <f aca="false">(entradas26[[#This Row],[PRECIO]]/entradas26[[#This Row],[CAN JUEGOS ]])</f>
        <v>128</v>
      </c>
      <c r="H19" s="1" t="s">
        <v>776</v>
      </c>
      <c r="I19" s="0" t="s">
        <v>777</v>
      </c>
    </row>
    <row r="20" customFormat="false" ht="15" hidden="false" customHeight="false" outlineLevel="0" collapsed="false">
      <c r="A20" s="1" t="n">
        <v>5029</v>
      </c>
      <c r="B20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47 PANASONIC EDGE</v>
      </c>
      <c r="C20" s="75" t="n">
        <v>46051</v>
      </c>
      <c r="D20" s="1" t="n">
        <v>20</v>
      </c>
      <c r="F20" s="1" t="n">
        <v>2120</v>
      </c>
      <c r="G20" s="1" t="n">
        <f aca="false">(entradas26[[#This Row],[PRECIO]]/entradas26[[#This Row],[CAN JUEGOS ]])</f>
        <v>106</v>
      </c>
      <c r="H20" s="1" t="s">
        <v>776</v>
      </c>
      <c r="I20" s="0" t="s">
        <v>777</v>
      </c>
    </row>
    <row r="21" customFormat="false" ht="15" hidden="false" customHeight="false" outlineLevel="0" collapsed="false">
      <c r="A21" s="1" t="n">
        <v>4021</v>
      </c>
      <c r="B21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50 DAEWOO LS50U1   8B/4L/3v</v>
      </c>
      <c r="C21" s="75" t="n">
        <v>46051</v>
      </c>
      <c r="D21" s="1" t="n">
        <v>20</v>
      </c>
      <c r="F21" s="1" t="n">
        <v>1520</v>
      </c>
      <c r="G21" s="1" t="n">
        <f aca="false">(entradas26[[#This Row],[PRECIO]]/entradas26[[#This Row],[CAN JUEGOS ]])</f>
        <v>76</v>
      </c>
      <c r="H21" s="1" t="s">
        <v>776</v>
      </c>
      <c r="I21" s="0" t="s">
        <v>777</v>
      </c>
    </row>
    <row r="22" customFormat="false" ht="15" hidden="false" customHeight="false" outlineLevel="0" collapsed="false">
      <c r="A22" s="1" t="n">
        <v>4015</v>
      </c>
      <c r="B22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49-DAeWO/ 9B EL JUEGO</v>
      </c>
      <c r="C22" s="75" t="n">
        <v>46051</v>
      </c>
      <c r="D22" s="1" t="n">
        <v>8</v>
      </c>
      <c r="F22" s="1" t="n">
        <v>744</v>
      </c>
      <c r="G22" s="1" t="n">
        <f aca="false">(entradas26[[#This Row],[PRECIO]]/entradas26[[#This Row],[CAN JUEGOS ]])</f>
        <v>93</v>
      </c>
      <c r="H22" s="1" t="s">
        <v>776</v>
      </c>
      <c r="I22" s="0" t="s">
        <v>777</v>
      </c>
    </row>
    <row r="23" customFormat="false" ht="15" hidden="false" customHeight="false" outlineLevel="0" collapsed="false">
      <c r="A23" s="1" t="n">
        <v>4018</v>
      </c>
      <c r="B23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49 DAEWO DOBLE PIN </v>
      </c>
      <c r="C23" s="75" t="n">
        <v>46051</v>
      </c>
      <c r="D23" s="1" t="n">
        <v>11</v>
      </c>
      <c r="E23" s="1" t="n">
        <v>9</v>
      </c>
      <c r="F23" s="1" t="n">
        <v>1116</v>
      </c>
      <c r="G23" s="87" t="n">
        <f aca="false">(entradas26[[#This Row],[PRECIO]]/entradas26[[#This Row],[CAN JUEGOS ]])</f>
        <v>101.454545454545</v>
      </c>
      <c r="H23" s="1" t="s">
        <v>776</v>
      </c>
      <c r="I23" s="0" t="s">
        <v>777</v>
      </c>
    </row>
    <row r="24" customFormat="false" ht="15" hidden="false" customHeight="false" outlineLevel="0" collapsed="false">
      <c r="A24" s="1" t="n">
        <v>8000</v>
      </c>
      <c r="B24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19 PULG</v>
      </c>
      <c r="C24" s="75" t="n">
        <v>46055</v>
      </c>
      <c r="E24" s="1" t="n">
        <v>2</v>
      </c>
      <c r="G24" s="1" t="e">
        <f aca="false">(entradas26[[#This Row],[PRECIO]]/entradas26[[#This Row],[CAN JUEGOS ]])</f>
        <v>#DIV/0!</v>
      </c>
      <c r="H24" s="1" t="s">
        <v>663</v>
      </c>
    </row>
    <row r="25" customFormat="false" ht="15" hidden="false" customHeight="false" outlineLevel="0" collapsed="false">
      <c r="A25" s="1" t="n">
        <v>1006</v>
      </c>
      <c r="B25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32 LA -3B/3V/8-8-8</v>
      </c>
      <c r="C25" s="75" t="n">
        <v>46055</v>
      </c>
      <c r="D25" s="1" t="n">
        <v>20</v>
      </c>
      <c r="F25" s="1" t="n">
        <v>760</v>
      </c>
      <c r="G25" s="1" t="n">
        <f aca="false">(entradas26[[#This Row],[PRECIO]]/entradas26[[#This Row],[CAN JUEGOS ]])</f>
        <v>38</v>
      </c>
      <c r="H25" s="1" t="s">
        <v>778</v>
      </c>
      <c r="I25" s="0" t="s">
        <v>779</v>
      </c>
    </row>
    <row r="26" customFormat="false" ht="15" hidden="false" customHeight="false" outlineLevel="0" collapsed="false">
      <c r="A26" s="1" t="n">
        <v>1075</v>
      </c>
      <c r="B26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49LJ5500-49UJ6300/8B</v>
      </c>
      <c r="C26" s="75" t="n">
        <v>46055</v>
      </c>
      <c r="D26" s="1" t="n">
        <v>20</v>
      </c>
      <c r="F26" s="1" t="n">
        <v>1710</v>
      </c>
      <c r="G26" s="1" t="n">
        <f aca="false">(entradas26[[#This Row],[PRECIO]]/entradas26[[#This Row],[CAN JUEGOS ]])</f>
        <v>85.5</v>
      </c>
      <c r="H26" s="1" t="s">
        <v>778</v>
      </c>
      <c r="I26" s="0" t="s">
        <v>779</v>
      </c>
    </row>
    <row r="27" customFormat="false" ht="15" hidden="false" customHeight="false" outlineLevel="0" collapsed="false">
      <c r="A27" s="1" t="n">
        <v>1108</v>
      </c>
      <c r="B27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50 UK 6550 /3B</v>
      </c>
      <c r="C27" s="75" t="n">
        <v>46055</v>
      </c>
      <c r="D27" s="1" t="n">
        <v>20</v>
      </c>
      <c r="F27" s="1" t="n">
        <v>1786</v>
      </c>
      <c r="G27" s="1" t="n">
        <f aca="false">(entradas26[[#This Row],[PRECIO]]/entradas26[[#This Row],[CAN JUEGOS ]])</f>
        <v>89.3</v>
      </c>
      <c r="H27" s="1" t="s">
        <v>778</v>
      </c>
      <c r="I27" s="0" t="s">
        <v>779</v>
      </c>
    </row>
    <row r="28" customFormat="false" ht="15" hidden="false" customHeight="false" outlineLevel="0" collapsed="false">
      <c r="A28" s="1" t="n">
        <v>1117</v>
      </c>
      <c r="B28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55LB6500/10B/6V </v>
      </c>
      <c r="C28" s="75" t="n">
        <v>46055</v>
      </c>
      <c r="D28" s="1" t="n">
        <v>20</v>
      </c>
      <c r="F28" s="1" t="n">
        <v>3344</v>
      </c>
      <c r="G28" s="1" t="n">
        <f aca="false">(entradas26[[#This Row],[PRECIO]]/entradas26[[#This Row],[CAN JUEGOS ]])</f>
        <v>167.2</v>
      </c>
      <c r="H28" s="1" t="s">
        <v>778</v>
      </c>
      <c r="I28" s="0" t="s">
        <v>779</v>
      </c>
    </row>
    <row r="29" customFormat="false" ht="15" hidden="false" customHeight="false" outlineLevel="0" collapsed="false">
      <c r="A29" s="1" t="n">
        <v>2033</v>
      </c>
      <c r="B29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UN46F5000 - F6400 /16B</v>
      </c>
      <c r="C29" s="75" t="n">
        <v>46055</v>
      </c>
      <c r="D29" s="1" t="n">
        <v>20</v>
      </c>
      <c r="F29" s="1" t="n">
        <v>3990</v>
      </c>
      <c r="G29" s="1" t="n">
        <f aca="false">(entradas26[[#This Row],[PRECIO]]/entradas26[[#This Row],[CAN JUEGOS ]])</f>
        <v>199.5</v>
      </c>
      <c r="H29" s="1" t="s">
        <v>778</v>
      </c>
      <c r="I29" s="0" t="s">
        <v>779</v>
      </c>
    </row>
    <row r="30" customFormat="false" ht="15" hidden="false" customHeight="false" outlineLevel="0" collapsed="false">
      <c r="A30" s="1" t="n">
        <v>2039</v>
      </c>
      <c r="B30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UN48H4200/8B</v>
      </c>
      <c r="C30" s="75" t="n">
        <v>46055</v>
      </c>
      <c r="D30" s="1" t="n">
        <v>20</v>
      </c>
      <c r="F30" s="1" t="n">
        <v>2888</v>
      </c>
      <c r="G30" s="1" t="n">
        <f aca="false">(entradas26[[#This Row],[PRECIO]]/entradas26[[#This Row],[CAN JUEGOS ]])</f>
        <v>144.4</v>
      </c>
      <c r="H30" s="1" t="s">
        <v>778</v>
      </c>
      <c r="I30" s="0" t="s">
        <v>779</v>
      </c>
    </row>
    <row r="31" customFormat="false" ht="15" hidden="false" customHeight="false" outlineLevel="0" collapsed="false">
      <c r="A31" s="1" t="n">
        <v>3000</v>
      </c>
      <c r="B31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32B8000 3B/10LED/3V </v>
      </c>
      <c r="C31" s="75" t="n">
        <v>46055</v>
      </c>
      <c r="D31" s="1" t="n">
        <v>20</v>
      </c>
      <c r="F31" s="1" t="n">
        <v>912</v>
      </c>
      <c r="G31" s="1" t="n">
        <f aca="false">(entradas26[[#This Row],[PRECIO]]/entradas26[[#This Row],[CAN JUEGOS ]])</f>
        <v>45.6</v>
      </c>
      <c r="H31" s="1" t="s">
        <v>778</v>
      </c>
      <c r="I31" s="0" t="s">
        <v>779</v>
      </c>
    </row>
    <row r="32" customFormat="false" ht="15" hidden="false" customHeight="false" outlineLevel="0" collapsed="false">
      <c r="A32" s="1" t="n">
        <v>8055</v>
      </c>
      <c r="B32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43 PREMIER 8L/3V/3B 8047SF43SF</v>
      </c>
      <c r="C32" s="75" t="n">
        <v>46055</v>
      </c>
      <c r="D32" s="1" t="n">
        <v>20</v>
      </c>
      <c r="F32" s="1" t="n">
        <v>722</v>
      </c>
      <c r="G32" s="1" t="n">
        <f aca="false">(entradas26[[#This Row],[PRECIO]]/entradas26[[#This Row],[CAN JUEGOS ]])</f>
        <v>36.1</v>
      </c>
      <c r="H32" s="1" t="s">
        <v>778</v>
      </c>
      <c r="I32" s="0" t="s">
        <v>779</v>
      </c>
    </row>
    <row r="33" customFormat="false" ht="15" hidden="false" customHeight="false" outlineLevel="0" collapsed="false">
      <c r="A33" s="1" t="n">
        <v>8015</v>
      </c>
      <c r="B33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32 CHINO CHUECO 2B PREMIER</v>
      </c>
      <c r="C33" s="75" t="n">
        <v>46055</v>
      </c>
      <c r="D33" s="1" t="n">
        <v>50</v>
      </c>
      <c r="F33" s="1" t="n">
        <v>1045</v>
      </c>
      <c r="G33" s="1" t="n">
        <f aca="false">(entradas26[[#This Row],[PRECIO]]/entradas26[[#This Row],[CAN JUEGOS ]])</f>
        <v>20.9</v>
      </c>
      <c r="H33" s="1" t="s">
        <v>778</v>
      </c>
      <c r="I33" s="0" t="s">
        <v>779</v>
      </c>
    </row>
    <row r="34" customFormat="false" ht="15" hidden="false" customHeight="false" outlineLevel="0" collapsed="false">
      <c r="A34" s="1" t="n">
        <v>8057</v>
      </c>
      <c r="B34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45 PREMIER 7L/4B</v>
      </c>
      <c r="C34" s="75" t="n">
        <v>46055</v>
      </c>
      <c r="D34" s="1" t="n">
        <v>20</v>
      </c>
      <c r="F34" s="1" t="n">
        <v>836</v>
      </c>
      <c r="G34" s="1" t="n">
        <f aca="false">(entradas26[[#This Row],[PRECIO]]/entradas26[[#This Row],[CAN JUEGOS ]])</f>
        <v>41.8</v>
      </c>
      <c r="H34" s="1" t="s">
        <v>778</v>
      </c>
      <c r="I34" s="0" t="s">
        <v>779</v>
      </c>
    </row>
    <row r="35" customFormat="false" ht="15" hidden="false" customHeight="false" outlineLevel="0" collapsed="false">
      <c r="A35" s="1" t="n">
        <v>6011</v>
      </c>
      <c r="B35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43 TOSHIBA C350KB</v>
      </c>
      <c r="C35" s="75" t="n">
        <v>46055</v>
      </c>
      <c r="D35" s="1" t="n">
        <v>20</v>
      </c>
      <c r="F35" s="1" t="n">
        <v>1976</v>
      </c>
      <c r="G35" s="1" t="n">
        <f aca="false">(entradas26[[#This Row],[PRECIO]]/entradas26[[#This Row],[CAN JUEGOS ]])</f>
        <v>98.8</v>
      </c>
      <c r="H35" s="1" t="s">
        <v>778</v>
      </c>
      <c r="I35" s="0" t="s">
        <v>779</v>
      </c>
    </row>
    <row r="36" customFormat="false" ht="15" hidden="false" customHeight="false" outlineLevel="0" collapsed="false">
      <c r="A36" s="1" t="n">
        <v>2013</v>
      </c>
      <c r="B36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UN40J6400</v>
      </c>
      <c r="C36" s="75" t="n">
        <v>46055</v>
      </c>
      <c r="D36" s="1" t="n">
        <v>10</v>
      </c>
      <c r="F36" s="1" t="n">
        <v>1368</v>
      </c>
      <c r="G36" s="1" t="n">
        <f aca="false">(entradas26[[#This Row],[PRECIO]]/entradas26[[#This Row],[CAN JUEGOS ]])</f>
        <v>136.8</v>
      </c>
      <c r="H36" s="1" t="s">
        <v>778</v>
      </c>
      <c r="I36" s="0" t="s">
        <v>779</v>
      </c>
    </row>
    <row r="37" customFormat="false" ht="15" hidden="false" customHeight="false" outlineLevel="0" collapsed="false">
      <c r="A37" s="1" t="n">
        <v>8064</v>
      </c>
      <c r="B37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65 AIWA B4K 8L/6B/3v/ DIF 180°</v>
      </c>
      <c r="C37" s="75" t="n">
        <v>46055</v>
      </c>
      <c r="D37" s="1" t="n">
        <v>20</v>
      </c>
      <c r="F37" s="1" t="n">
        <v>1444</v>
      </c>
      <c r="G37" s="1" t="n">
        <f aca="false">(entradas26[[#This Row],[PRECIO]]/entradas26[[#This Row],[CAN JUEGOS ]])</f>
        <v>72.2</v>
      </c>
      <c r="H37" s="1" t="s">
        <v>778</v>
      </c>
      <c r="I37" s="0" t="s">
        <v>779</v>
      </c>
    </row>
    <row r="38" customFormat="false" ht="15" hidden="false" customHeight="false" outlineLevel="0" collapsed="false">
      <c r="A38" s="1" t="n">
        <v>8091</v>
      </c>
      <c r="B38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55 P735 TCL 15L/2B/3v/ DIF 180°</v>
      </c>
      <c r="C38" s="75" t="n">
        <v>46055</v>
      </c>
      <c r="D38" s="1" t="n">
        <v>20</v>
      </c>
      <c r="F38" s="1" t="n">
        <v>2432</v>
      </c>
      <c r="G38" s="1" t="n">
        <f aca="false">(entradas26[[#This Row],[PRECIO]]/entradas26[[#This Row],[CAN JUEGOS ]])</f>
        <v>121.6</v>
      </c>
      <c r="H38" s="1" t="s">
        <v>778</v>
      </c>
      <c r="I38" s="0" t="s">
        <v>780</v>
      </c>
    </row>
    <row r="39" customFormat="false" ht="15" hidden="false" customHeight="false" outlineLevel="0" collapsed="false">
      <c r="A39" s="1" t="n">
        <v>2091</v>
      </c>
      <c r="B39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UN65 H6400</v>
      </c>
      <c r="C39" s="75" t="n">
        <v>46055</v>
      </c>
      <c r="D39" s="1" t="n">
        <v>10</v>
      </c>
      <c r="F39" s="1" t="n">
        <v>3534</v>
      </c>
      <c r="G39" s="1" t="n">
        <f aca="false">(entradas26[[#This Row],[PRECIO]]/entradas26[[#This Row],[CAN JUEGOS ]])</f>
        <v>353.4</v>
      </c>
      <c r="H39" s="1" t="s">
        <v>778</v>
      </c>
      <c r="I39" s="0" t="s">
        <v>779</v>
      </c>
    </row>
    <row r="40" customFormat="false" ht="15" hidden="false" customHeight="false" outlineLevel="0" collapsed="false">
      <c r="A40" s="1" t="n">
        <v>2086</v>
      </c>
      <c r="B40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UN65 AU7000</v>
      </c>
      <c r="C40" s="75" t="n">
        <v>46055</v>
      </c>
      <c r="D40" s="1" t="n">
        <v>10</v>
      </c>
      <c r="F40" s="1" t="n">
        <v>988</v>
      </c>
      <c r="G40" s="1" t="n">
        <f aca="false">(entradas26[[#This Row],[PRECIO]]/entradas26[[#This Row],[CAN JUEGOS ]])</f>
        <v>98.8</v>
      </c>
      <c r="H40" s="1" t="s">
        <v>778</v>
      </c>
      <c r="I40" s="0" t="s">
        <v>779</v>
      </c>
    </row>
    <row r="41" customFormat="false" ht="15" hidden="false" customHeight="false" outlineLevel="0" collapsed="false">
      <c r="A41" s="1" t="n">
        <v>8013</v>
      </c>
      <c r="B41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32 CHANCHONG CD2000 6L/3V/3B</v>
      </c>
      <c r="C41" s="75" t="n">
        <v>46055</v>
      </c>
      <c r="E41" s="1" t="n">
        <v>3</v>
      </c>
      <c r="G41" s="1" t="e">
        <f aca="false">(entradas26[[#This Row],[PRECIO]]/entradas26[[#This Row],[CAN JUEGOS ]])</f>
        <v>#DIV/0!</v>
      </c>
      <c r="H41" s="1" t="s">
        <v>663</v>
      </c>
    </row>
    <row r="42" customFormat="false" ht="15" hidden="false" customHeight="false" outlineLevel="0" collapsed="false">
      <c r="A42" s="1" t="n">
        <v>2095</v>
      </c>
      <c r="B42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UN60AU8000G-60BU8000/2B</v>
      </c>
      <c r="C42" s="75" t="n">
        <v>46055</v>
      </c>
      <c r="E42" s="1" t="n">
        <v>2</v>
      </c>
      <c r="G42" s="1" t="e">
        <f aca="false">(entradas26[[#This Row],[PRECIO]]/entradas26[[#This Row],[CAN JUEGOS ]])</f>
        <v>#DIV/0!</v>
      </c>
      <c r="H42" s="1" t="s">
        <v>663</v>
      </c>
    </row>
    <row r="43" customFormat="false" ht="15" hidden="false" customHeight="false" outlineLevel="0" collapsed="false">
      <c r="A43" s="1" t="n">
        <v>1015</v>
      </c>
      <c r="B43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32LH500B-32LK500 3B/7L/3V</v>
      </c>
      <c r="C43" s="75" t="n">
        <v>46063</v>
      </c>
      <c r="E43" s="1" t="n">
        <v>3</v>
      </c>
      <c r="G43" s="1" t="e">
        <f aca="false">(entradas26[[#This Row],[PRECIO]]/entradas26[[#This Row],[CAN JUEGOS ]])</f>
        <v>#DIV/0!</v>
      </c>
      <c r="H43" s="1" t="s">
        <v>663</v>
      </c>
    </row>
    <row r="44" customFormat="false" ht="15" hidden="false" customHeight="false" outlineLevel="0" collapsed="false">
      <c r="A44" s="1" t="n">
        <v>4021</v>
      </c>
      <c r="B44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50 DAEWOO LS50U1   8B/4L/3v</v>
      </c>
      <c r="C44" s="75" t="n">
        <v>46063</v>
      </c>
      <c r="E44" s="1" t="n">
        <v>16</v>
      </c>
      <c r="G44" s="1" t="e">
        <f aca="false">(entradas26[[#This Row],[PRECIO]]/entradas26[[#This Row],[CAN JUEGOS ]])</f>
        <v>#DIV/0!</v>
      </c>
      <c r="H44" s="1" t="s">
        <v>663</v>
      </c>
    </row>
    <row r="45" customFormat="false" ht="15" hidden="false" customHeight="false" outlineLevel="0" collapsed="false">
      <c r="A45" s="1" t="n">
        <v>2089</v>
      </c>
      <c r="B45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UN58TU7100 8B/6L 3V-58TU7000</v>
      </c>
      <c r="C45" s="75" t="n">
        <v>46066</v>
      </c>
      <c r="D45" s="1" t="n">
        <v>1</v>
      </c>
      <c r="G45" s="1" t="n">
        <f aca="false">(entradas26[[#This Row],[PRECIO]]/entradas26[[#This Row],[CAN JUEGOS ]])</f>
        <v>0</v>
      </c>
      <c r="H45" s="1" t="s">
        <v>781</v>
      </c>
    </row>
    <row r="46" customFormat="false" ht="15" hidden="false" customHeight="false" outlineLevel="0" collapsed="false">
      <c r="A46" s="1" t="n">
        <v>5018</v>
      </c>
      <c r="B46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KDL-40R475 SONY/10B</v>
      </c>
      <c r="C46" s="75" t="n">
        <v>46072</v>
      </c>
      <c r="E46" s="1" t="n">
        <v>10</v>
      </c>
      <c r="G46" s="1" t="e">
        <f aca="false">(entradas26[[#This Row],[PRECIO]]/entradas26[[#This Row],[CAN JUEGOS ]])</f>
        <v>#DIV/0!</v>
      </c>
      <c r="H46" s="1" t="s">
        <v>663</v>
      </c>
    </row>
    <row r="47" customFormat="false" ht="15" hidden="false" customHeight="false" outlineLevel="0" collapsed="false">
      <c r="A47" s="1" t="n">
        <v>4020</v>
      </c>
      <c r="B47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49 DAEWOO L49R770BNS 6L/10B</v>
      </c>
      <c r="C47" s="75" t="n">
        <v>46072</v>
      </c>
      <c r="E47" s="1" t="n">
        <v>10</v>
      </c>
      <c r="G47" s="1" t="e">
        <f aca="false">(entradas26[[#This Row],[PRECIO]]/entradas26[[#This Row],[CAN JUEGOS ]])</f>
        <v>#DIV/0!</v>
      </c>
      <c r="H47" s="1" t="s">
        <v>663</v>
      </c>
    </row>
    <row r="48" customFormat="false" ht="15" hidden="false" customHeight="false" outlineLevel="0" collapsed="false">
      <c r="A48" s="1" t="n">
        <v>2003</v>
      </c>
      <c r="B48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UN32F5000-SAMSUNG 5B</v>
      </c>
      <c r="C48" s="75" t="n">
        <v>46073</v>
      </c>
      <c r="E48" s="1" t="n">
        <v>5</v>
      </c>
      <c r="G48" s="1" t="e">
        <f aca="false">(entradas26[[#This Row],[PRECIO]]/entradas26[[#This Row],[CAN JUEGOS ]])</f>
        <v>#DIV/0!</v>
      </c>
      <c r="H48" s="1" t="s">
        <v>663</v>
      </c>
    </row>
    <row r="49" customFormat="false" ht="15" hidden="false" customHeight="false" outlineLevel="0" collapsed="false">
      <c r="A49" s="1" t="n">
        <v>7004</v>
      </c>
      <c r="B49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40 IRT LED4060SFHD 8L/3V/3B</v>
      </c>
      <c r="C49" s="75" t="n">
        <v>46077</v>
      </c>
      <c r="E49" s="1" t="n">
        <v>3</v>
      </c>
      <c r="G49" s="1" t="e">
        <f aca="false">(entradas26[[#This Row],[PRECIO]]/entradas26[[#This Row],[CAN JUEGOS ]])</f>
        <v>#DIV/0!</v>
      </c>
      <c r="H49" s="1" t="s">
        <v>782</v>
      </c>
    </row>
    <row r="50" customFormat="false" ht="15" hidden="false" customHeight="false" outlineLevel="0" collapsed="false">
      <c r="A50" s="1" t="n">
        <v>8082</v>
      </c>
      <c r="B50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L55M5-5ASP-XIAOMI 4B/12L/3V</v>
      </c>
      <c r="C50" s="75" t="n">
        <v>46080</v>
      </c>
      <c r="D50" s="1" t="n">
        <v>5</v>
      </c>
      <c r="F50" s="1" t="n">
        <v>350</v>
      </c>
      <c r="G50" s="1" t="n">
        <f aca="false">(entradas26[[#This Row],[PRECIO]]/entradas26[[#This Row],[CAN JUEGOS ]])</f>
        <v>70</v>
      </c>
      <c r="H50" s="1" t="s">
        <v>783</v>
      </c>
    </row>
    <row r="51" customFormat="false" ht="15" hidden="false" customHeight="false" outlineLevel="0" collapsed="false">
      <c r="A51" s="1" t="n">
        <v>2089</v>
      </c>
      <c r="B51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UN58TU7100 8B/6L 3V-58TU7000</v>
      </c>
      <c r="C51" s="75" t="n">
        <v>46080</v>
      </c>
      <c r="D51" s="1" t="n">
        <v>2</v>
      </c>
      <c r="F51" s="1" t="n">
        <v>500</v>
      </c>
      <c r="G51" s="1" t="n">
        <f aca="false">(entradas26[[#This Row],[PRECIO]]/entradas26[[#This Row],[CAN JUEGOS ]])</f>
        <v>250</v>
      </c>
      <c r="H51" s="1" t="s">
        <v>784</v>
      </c>
    </row>
    <row r="52" customFormat="false" ht="15" hidden="false" customHeight="false" outlineLevel="0" collapsed="false">
      <c r="A52" s="1" t="n">
        <v>6034</v>
      </c>
      <c r="B52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65 HISENSE A6GSA 6B/8L/3V</v>
      </c>
      <c r="C52" s="75" t="n">
        <v>46091</v>
      </c>
      <c r="E52" s="1" t="n">
        <v>6</v>
      </c>
      <c r="G52" s="1" t="e">
        <f aca="false">(entradas26[[#This Row],[PRECIO]]/entradas26[[#This Row],[CAN JUEGOS ]])</f>
        <v>#DIV/0!</v>
      </c>
      <c r="H52" s="1" t="s">
        <v>782</v>
      </c>
    </row>
    <row r="53" customFormat="false" ht="15" hidden="false" customHeight="false" outlineLevel="0" collapsed="false">
      <c r="A53" s="1" t="n">
        <v>2048</v>
      </c>
      <c r="B53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UN49 NU7100/2B EDGE</v>
      </c>
      <c r="C53" s="75" t="n">
        <v>46091</v>
      </c>
      <c r="E53" s="1" t="n">
        <v>2</v>
      </c>
      <c r="G53" s="1" t="e">
        <f aca="false">(entradas26[[#This Row],[PRECIO]]/entradas26[[#This Row],[CAN JUEGOS ]])</f>
        <v>#DIV/0!</v>
      </c>
      <c r="H53" s="1" t="s">
        <v>782</v>
      </c>
    </row>
    <row r="54" customFormat="false" ht="15" hidden="false" customHeight="false" outlineLevel="0" collapsed="false">
      <c r="A54" s="1" t="n">
        <v>6009</v>
      </c>
      <c r="B54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43 L4700 TOSHIBA/6B (180 Bs) -43UJ-6200/LG/8B (200 BS)</v>
      </c>
      <c r="C54" s="75" t="n">
        <v>46091</v>
      </c>
      <c r="E54" s="1" t="n">
        <v>24</v>
      </c>
      <c r="F54" s="1" t="n">
        <v>450</v>
      </c>
      <c r="G54" s="1" t="e">
        <f aca="false">(entradas26[[#This Row],[PRECIO]]/entradas26[[#This Row],[CAN JUEGOS ]])</f>
        <v>#DIV/0!</v>
      </c>
      <c r="H54" s="1" t="s">
        <v>781</v>
      </c>
    </row>
    <row r="55" customFormat="false" ht="15" hidden="false" customHeight="false" outlineLevel="0" collapsed="false">
      <c r="A55" s="1" t="n">
        <v>8021</v>
      </c>
      <c r="B55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32 JVC RECTO /2B</v>
      </c>
      <c r="C55" s="75" t="n">
        <v>46093</v>
      </c>
      <c r="E55" s="1" t="n">
        <v>2</v>
      </c>
      <c r="G55" s="1" t="e">
        <f aca="false">(entradas26[[#This Row],[PRECIO]]/entradas26[[#This Row],[CAN JUEGOS ]])</f>
        <v>#DIV/0!</v>
      </c>
      <c r="H55" s="1" t="s">
        <v>663</v>
      </c>
    </row>
    <row r="56" customFormat="false" ht="15" hidden="false" customHeight="false" outlineLevel="0" collapsed="false">
      <c r="A56" s="1" t="n">
        <v>1033</v>
      </c>
      <c r="B56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42LB6200-42LF6200 8B/6V</v>
      </c>
      <c r="C56" s="75" t="n">
        <v>46094</v>
      </c>
      <c r="D56" s="1" t="n">
        <v>3</v>
      </c>
      <c r="F56" s="1" t="n">
        <v>450</v>
      </c>
      <c r="G56" s="1" t="n">
        <f aca="false">(entradas26[[#This Row],[PRECIO]]/entradas26[[#This Row],[CAN JUEGOS ]])</f>
        <v>150</v>
      </c>
      <c r="H56" s="1" t="s">
        <v>781</v>
      </c>
    </row>
    <row r="57" customFormat="false" ht="15" hidden="false" customHeight="false" outlineLevel="0" collapsed="false">
      <c r="A57" s="1" t="n">
        <v>6006</v>
      </c>
      <c r="B57" s="70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C57" s="75" t="n">
        <v>46104</v>
      </c>
      <c r="D57" s="1" t="n">
        <v>20</v>
      </c>
      <c r="F57" s="1" t="n">
        <v>684</v>
      </c>
      <c r="G57" s="1" t="n">
        <f aca="false">(entradas26[[#This Row],[PRECIO]]/entradas26[[#This Row],[CAN JUEGOS ]])</f>
        <v>34.2</v>
      </c>
      <c r="H57" s="1" t="s">
        <v>785</v>
      </c>
    </row>
    <row r="58" customFormat="false" ht="15" hidden="false" customHeight="false" outlineLevel="0" collapsed="false">
      <c r="A58" s="1" t="n">
        <v>6022</v>
      </c>
      <c r="B58" s="70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D58" s="1" t="n">
        <v>20</v>
      </c>
      <c r="F58" s="1" t="n">
        <v>2736</v>
      </c>
      <c r="G58" s="1" t="n">
        <f aca="false">(entradas26[[#This Row],[PRECIO]]/entradas26[[#This Row],[CAN JUEGOS ]])</f>
        <v>136.8</v>
      </c>
      <c r="H58" s="1" t="s">
        <v>785</v>
      </c>
    </row>
    <row r="59" customFormat="false" ht="15" hidden="false" customHeight="false" outlineLevel="0" collapsed="false">
      <c r="A59" s="1" t="n">
        <v>8033</v>
      </c>
      <c r="B59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40 o 39 PREMIER 3B/7-6-7 LEDS /6V  7180SF40</v>
      </c>
      <c r="D59" s="1" t="n">
        <v>50</v>
      </c>
      <c r="F59" s="1" t="n">
        <v>1995</v>
      </c>
      <c r="G59" s="1" t="n">
        <f aca="false">(entradas26[[#This Row],[PRECIO]]/entradas26[[#This Row],[CAN JUEGOS ]])</f>
        <v>39.9</v>
      </c>
      <c r="H59" s="1" t="s">
        <v>785</v>
      </c>
    </row>
    <row r="60" customFormat="false" ht="15" hidden="false" customHeight="false" outlineLevel="0" collapsed="false">
      <c r="A60" s="1" t="n">
        <v>8095</v>
      </c>
      <c r="B60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58  PREMIER 5L/3V 10B</v>
      </c>
      <c r="D60" s="1" t="n">
        <v>30</v>
      </c>
      <c r="F60" s="1" t="n">
        <v>2907</v>
      </c>
      <c r="G60" s="1" t="n">
        <f aca="false">(entradas26[[#This Row],[PRECIO]]/entradas26[[#This Row],[CAN JUEGOS ]])</f>
        <v>96.9</v>
      </c>
      <c r="H60" s="1" t="s">
        <v>785</v>
      </c>
    </row>
    <row r="61" customFormat="false" ht="15" hidden="false" customHeight="false" outlineLevel="0" collapsed="false">
      <c r="A61" s="1" t="n">
        <v>5006</v>
      </c>
      <c r="B61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KDL-32R304B/3B</v>
      </c>
      <c r="D61" s="1" t="n">
        <v>20</v>
      </c>
      <c r="F61" s="1" t="n">
        <v>684</v>
      </c>
      <c r="G61" s="1" t="n">
        <f aca="false">(entradas26[[#This Row],[PRECIO]]/entradas26[[#This Row],[CAN JUEGOS ]])</f>
        <v>34.2</v>
      </c>
      <c r="H61" s="1" t="s">
        <v>785</v>
      </c>
    </row>
    <row r="62" customFormat="false" ht="15" hidden="false" customHeight="false" outlineLevel="0" collapsed="false">
      <c r="A62" s="1" t="n">
        <v>5018</v>
      </c>
      <c r="B62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KDL-40R475 SONY/10B</v>
      </c>
      <c r="D62" s="1" t="n">
        <v>20</v>
      </c>
      <c r="F62" s="1" t="n">
        <v>1444</v>
      </c>
      <c r="G62" s="1" t="n">
        <f aca="false">(entradas26[[#This Row],[PRECIO]]/entradas26[[#This Row],[CAN JUEGOS ]])</f>
        <v>72.2</v>
      </c>
      <c r="H62" s="1" t="s">
        <v>785</v>
      </c>
    </row>
    <row r="63" customFormat="false" ht="15" hidden="false" customHeight="false" outlineLevel="0" collapsed="false">
      <c r="A63" s="1" t="n">
        <v>1000</v>
      </c>
      <c r="B63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32 LA -3B/3V/7-7L</v>
      </c>
      <c r="D63" s="1" t="n">
        <v>20</v>
      </c>
      <c r="F63" s="1" t="n">
        <v>684</v>
      </c>
      <c r="G63" s="1" t="n">
        <f aca="false">(entradas26[[#This Row],[PRECIO]]/entradas26[[#This Row],[CAN JUEGOS ]])</f>
        <v>34.2</v>
      </c>
      <c r="H63" s="1" t="s">
        <v>785</v>
      </c>
    </row>
    <row r="64" customFormat="false" ht="15" hidden="false" customHeight="false" outlineLevel="0" collapsed="false">
      <c r="A64" s="1" t="n">
        <v>1033</v>
      </c>
      <c r="B64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42LB6200-42LF6200 8B/6V</v>
      </c>
      <c r="D64" s="1" t="n">
        <v>20</v>
      </c>
      <c r="F64" s="1" t="n">
        <v>2052</v>
      </c>
      <c r="G64" s="1" t="n">
        <f aca="false">(entradas26[[#This Row],[PRECIO]]/entradas26[[#This Row],[CAN JUEGOS ]])</f>
        <v>102.6</v>
      </c>
      <c r="H64" s="1" t="s">
        <v>785</v>
      </c>
    </row>
    <row r="65" customFormat="false" ht="31.3" hidden="false" customHeight="false" outlineLevel="0" collapsed="false">
      <c r="A65" s="1" t="n">
        <v>4000</v>
      </c>
      <c r="B65" s="76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32 DAEWO V780-TCL 5L/6V -2B
MI L32M5-5ASP</v>
      </c>
      <c r="D65" s="1" t="n">
        <v>20</v>
      </c>
      <c r="F65" s="1" t="n">
        <v>494</v>
      </c>
      <c r="G65" s="1" t="n">
        <f aca="false">(entradas26[[#This Row],[PRECIO]]/entradas26[[#This Row],[CAN JUEGOS ]])</f>
        <v>24.7</v>
      </c>
      <c r="H65" s="1" t="s">
        <v>785</v>
      </c>
    </row>
    <row r="66" customFormat="false" ht="15" hidden="false" customHeight="false" outlineLevel="0" collapsed="false">
      <c r="A66" s="1" t="n">
        <v>4002</v>
      </c>
      <c r="B66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32 DAEWO S780 6L/6V -2B</v>
      </c>
      <c r="D66" s="1" t="n">
        <v>20</v>
      </c>
      <c r="F66" s="1" t="n">
        <v>570</v>
      </c>
      <c r="G66" s="1" t="n">
        <f aca="false">(entradas26[[#This Row],[PRECIO]]/entradas26[[#This Row],[CAN JUEGOS ]])</f>
        <v>28.5</v>
      </c>
      <c r="H66" s="1" t="s">
        <v>785</v>
      </c>
    </row>
    <row r="67" customFormat="false" ht="15" hidden="false" customHeight="false" outlineLevel="0" collapsed="false">
      <c r="A67" s="1" t="n">
        <v>6009</v>
      </c>
      <c r="B67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43 L4700 TOSHIBA/6B (180 Bs) -43UJ-6200/LG/8B (200 BS)</v>
      </c>
      <c r="E67" s="1" t="n">
        <v>160</v>
      </c>
      <c r="F67" s="1" t="n">
        <v>1406</v>
      </c>
      <c r="G67" s="70" t="e">
        <f aca="false">(entradas26[[#This Row],[PRECIO]]/entradas26[[#This Row],[CAN JUEGOS ]])</f>
        <v>#DIV/0!</v>
      </c>
      <c r="H67" s="1" t="s">
        <v>785</v>
      </c>
    </row>
    <row r="68" customFormat="false" ht="15" hidden="false" customHeight="false" outlineLevel="0" collapsed="false">
      <c r="A68" s="1" t="n">
        <v>6020</v>
      </c>
      <c r="B68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55K321 9B/6L/</v>
      </c>
      <c r="D68" s="1" t="n">
        <v>20</v>
      </c>
      <c r="F68" s="1" t="n">
        <v>2508</v>
      </c>
      <c r="G68" s="1" t="n">
        <f aca="false">(entradas26[[#This Row],[PRECIO]]/entradas26[[#This Row],[CAN JUEGOS ]])</f>
        <v>125.4</v>
      </c>
      <c r="H68" s="1" t="s">
        <v>785</v>
      </c>
    </row>
    <row r="69" customFormat="false" ht="15" hidden="false" customHeight="false" outlineLevel="0" collapsed="false">
      <c r="A69" s="1" t="n">
        <v>1154</v>
      </c>
      <c r="B69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86Q9050- 86UP8770</v>
      </c>
      <c r="D69" s="1" t="n">
        <v>5</v>
      </c>
      <c r="F69" s="1" t="n">
        <v>2755</v>
      </c>
      <c r="G69" s="1" t="n">
        <f aca="false">(entradas26[[#This Row],[PRECIO]]/entradas26[[#This Row],[CAN JUEGOS ]])</f>
        <v>551</v>
      </c>
      <c r="H69" s="1" t="s">
        <v>785</v>
      </c>
    </row>
    <row r="70" customFormat="false" ht="15" hidden="false" customHeight="false" outlineLevel="0" collapsed="false">
      <c r="A70" s="1" t="n">
        <v>5015</v>
      </c>
      <c r="B70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KDL-40W655A/3B SONY</v>
      </c>
      <c r="D70" s="1" t="n">
        <v>20</v>
      </c>
      <c r="F70" s="1" t="n">
        <v>988</v>
      </c>
      <c r="G70" s="1" t="n">
        <f aca="false">(entradas26[[#This Row],[PRECIO]]/entradas26[[#This Row],[CAN JUEGOS ]])</f>
        <v>49.4</v>
      </c>
      <c r="H70" s="1" t="s">
        <v>785</v>
      </c>
    </row>
    <row r="71" customFormat="false" ht="15" hidden="false" customHeight="false" outlineLevel="0" collapsed="false">
      <c r="A71" s="1" t="n">
        <v>6016</v>
      </c>
      <c r="B71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50 TOSHIBA C350KB /8B</v>
      </c>
      <c r="D71" s="1" t="n">
        <v>20</v>
      </c>
      <c r="F71" s="1" t="n">
        <v>1216</v>
      </c>
      <c r="G71" s="1" t="n">
        <f aca="false">(entradas26[[#This Row],[PRECIO]]/entradas26[[#This Row],[CAN JUEGOS ]])</f>
        <v>60.8</v>
      </c>
      <c r="H71" s="1" t="s">
        <v>785</v>
      </c>
    </row>
    <row r="72" customFormat="false" ht="15" hidden="false" customHeight="false" outlineLevel="0" collapsed="false">
      <c r="A72" s="1" t="n">
        <v>2089</v>
      </c>
      <c r="B72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UN58TU7100 8B/6L 3V-58TU7000</v>
      </c>
      <c r="D72" s="1" t="n">
        <v>20</v>
      </c>
      <c r="F72" s="1" t="n">
        <v>1748</v>
      </c>
      <c r="G72" s="1" t="n">
        <f aca="false">(entradas26[[#This Row],[PRECIO]]/entradas26[[#This Row],[CAN JUEGOS ]])</f>
        <v>87.4</v>
      </c>
      <c r="H72" s="1" t="s">
        <v>785</v>
      </c>
    </row>
    <row r="73" customFormat="false" ht="15" hidden="false" customHeight="false" outlineLevel="0" collapsed="false">
      <c r="A73" s="1" t="n">
        <v>1126</v>
      </c>
      <c r="B73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55UH6150/2B</v>
      </c>
      <c r="D73" s="1" t="n">
        <v>20</v>
      </c>
      <c r="F73" s="1" t="n">
        <v>1292</v>
      </c>
      <c r="G73" s="1" t="n">
        <f aca="false">(entradas26[[#This Row],[PRECIO]]/entradas26[[#This Row],[CAN JUEGOS ]])</f>
        <v>64.6</v>
      </c>
      <c r="H73" s="1" t="s">
        <v>785</v>
      </c>
    </row>
    <row r="74" customFormat="false" ht="15" hidden="false" customHeight="false" outlineLevel="0" collapsed="false">
      <c r="A74" s="1" t="n">
        <v>1065</v>
      </c>
      <c r="B74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43UM7300</v>
      </c>
      <c r="D74" s="1" t="n">
        <v>20</v>
      </c>
      <c r="F74" s="1" t="n">
        <v>1596</v>
      </c>
      <c r="G74" s="1" t="n">
        <f aca="false">(entradas26[[#This Row],[PRECIO]]/entradas26[[#This Row],[CAN JUEGOS ]])</f>
        <v>79.8</v>
      </c>
      <c r="H74" s="1" t="s">
        <v>785</v>
      </c>
    </row>
    <row r="75" customFormat="false" ht="15" hidden="false" customHeight="false" outlineLevel="0" collapsed="false">
      <c r="A75" s="1" t="n">
        <v>5021</v>
      </c>
      <c r="B75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40  A400L PANASONIC/1B</v>
      </c>
      <c r="D75" s="1" t="n">
        <v>20</v>
      </c>
      <c r="F75" s="1" t="n">
        <v>570</v>
      </c>
      <c r="G75" s="1" t="n">
        <f aca="false">(entradas26[[#This Row],[PRECIO]]/entradas26[[#This Row],[CAN JUEGOS ]])</f>
        <v>28.5</v>
      </c>
      <c r="H75" s="1" t="s">
        <v>785</v>
      </c>
    </row>
    <row r="76" customFormat="false" ht="15" hidden="false" customHeight="false" outlineLevel="0" collapsed="false">
      <c r="A76" s="1" t="n">
        <v>2108</v>
      </c>
      <c r="B76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65 TU8500</v>
      </c>
      <c r="D76" s="1" t="n">
        <v>10</v>
      </c>
      <c r="F76" s="1" t="n">
        <v>1045</v>
      </c>
      <c r="G76" s="1" t="n">
        <f aca="false">(entradas26[[#This Row],[PRECIO]]/entradas26[[#This Row],[CAN JUEGOS ]])</f>
        <v>104.5</v>
      </c>
      <c r="H76" s="1" t="s">
        <v>785</v>
      </c>
    </row>
    <row r="77" customFormat="false" ht="15" hidden="false" customHeight="false" outlineLevel="0" collapsed="false">
      <c r="A77" s="1" t="n">
        <v>2025</v>
      </c>
      <c r="B77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43AU7000</v>
      </c>
      <c r="D77" s="1" t="n">
        <v>20</v>
      </c>
      <c r="F77" s="1" t="n">
        <v>1254</v>
      </c>
      <c r="G77" s="1" t="n">
        <f aca="false">(entradas26[[#This Row],[PRECIO]]/entradas26[[#This Row],[CAN JUEGOS ]])</f>
        <v>62.7</v>
      </c>
      <c r="H77" s="1" t="s">
        <v>785</v>
      </c>
    </row>
    <row r="78" customFormat="false" ht="15" hidden="false" customHeight="false" outlineLevel="0" collapsed="false">
      <c r="A78" s="1" t="n">
        <v>4021</v>
      </c>
      <c r="B78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50 DAEWOO LS50U1   8B/4L/3v</v>
      </c>
      <c r="E78" s="1" t="n">
        <v>8</v>
      </c>
      <c r="G78" s="1" t="e">
        <f aca="false">(entradas26[[#This Row],[PRECIO]]/entradas26[[#This Row],[CAN JUEGOS ]])</f>
        <v>#DIV/0!</v>
      </c>
      <c r="H78" s="1" t="s">
        <v>663</v>
      </c>
    </row>
    <row r="79" customFormat="false" ht="15" hidden="false" customHeight="false" outlineLevel="0" collapsed="false">
      <c r="A79" s="1" t="n">
        <v>3015</v>
      </c>
      <c r="B79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48M600 10B/8 - 8 LEDS/3V</v>
      </c>
      <c r="E79" s="1" t="n">
        <v>10</v>
      </c>
      <c r="G79" s="1" t="e">
        <f aca="false">(entradas26[[#This Row],[PRECIO]]/entradas26[[#This Row],[CAN JUEGOS ]])</f>
        <v>#DIV/0!</v>
      </c>
      <c r="H79" s="1" t="s">
        <v>663</v>
      </c>
    </row>
    <row r="80" customFormat="false" ht="15" hidden="false" customHeight="false" outlineLevel="0" collapsed="false">
      <c r="A80" s="1" t="n">
        <v>7003</v>
      </c>
      <c r="B80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40 IRT 8L/6V/3B</v>
      </c>
      <c r="D80" s="1" t="n">
        <v>3</v>
      </c>
      <c r="G80" s="1" t="n">
        <f aca="false">(entradas26[[#This Row],[PRECIO]]/entradas26[[#This Row],[CAN JUEGOS ]])</f>
        <v>0</v>
      </c>
      <c r="H80" s="1" t="s">
        <v>786</v>
      </c>
    </row>
    <row r="81" customFormat="false" ht="15" hidden="false" customHeight="false" outlineLevel="0" collapsed="false">
      <c r="A81" s="1" t="n">
        <v>8013</v>
      </c>
      <c r="B81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32 CHANCHONG CD2000 6L/3V/3B</v>
      </c>
      <c r="D81" s="1" t="n">
        <v>3</v>
      </c>
      <c r="G81" s="1" t="n">
        <f aca="false">(entradas26[[#This Row],[PRECIO]]/entradas26[[#This Row],[CAN JUEGOS ]])</f>
        <v>0</v>
      </c>
      <c r="H81" s="1" t="s">
        <v>787</v>
      </c>
    </row>
    <row r="82" customFormat="false" ht="15" hidden="false" customHeight="false" outlineLevel="0" collapsed="false">
      <c r="A82" s="1" t="n">
        <v>2078</v>
      </c>
      <c r="B82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UN55NU7095G/9L/4B</v>
      </c>
      <c r="E82" s="1" t="n">
        <v>4</v>
      </c>
      <c r="G82" s="1" t="e">
        <f aca="false">(entradas26[[#This Row],[PRECIO]]/entradas26[[#This Row],[CAN JUEGOS ]])</f>
        <v>#DIV/0!</v>
      </c>
      <c r="H82" s="1" t="s">
        <v>788</v>
      </c>
    </row>
    <row r="83" customFormat="false" ht="15" hidden="false" customHeight="false" outlineLevel="0" collapsed="false">
      <c r="A83" s="1" t="n">
        <v>1027</v>
      </c>
      <c r="B83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32LM3400-4B/3V/9L</v>
      </c>
      <c r="D83" s="1" t="n">
        <v>20</v>
      </c>
      <c r="F83" s="1" t="n">
        <v>1406</v>
      </c>
      <c r="G83" s="1" t="n">
        <f aca="false">(entradas26[[#This Row],[PRECIO]]/entradas26[[#This Row],[CAN JUEGOS ]])</f>
        <v>70.3</v>
      </c>
      <c r="H83" s="1" t="s">
        <v>789</v>
      </c>
    </row>
    <row r="84" customFormat="false" ht="15" hidden="false" customHeight="false" outlineLevel="0" collapsed="false">
      <c r="A84" s="1" t="n">
        <v>1036</v>
      </c>
      <c r="B84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42LA6130-42LN5400  10B/3V</v>
      </c>
      <c r="D84" s="1" t="n">
        <v>20</v>
      </c>
      <c r="F84" s="1" t="n">
        <v>1938</v>
      </c>
      <c r="G84" s="1" t="n">
        <f aca="false">(entradas26[[#This Row],[PRECIO]]/entradas26[[#This Row],[CAN JUEGOS ]])</f>
        <v>96.9</v>
      </c>
      <c r="H84" s="1" t="s">
        <v>789</v>
      </c>
    </row>
    <row r="85" customFormat="false" ht="15" hidden="false" customHeight="false" outlineLevel="0" collapsed="false">
      <c r="A85" s="1" t="n">
        <v>1049</v>
      </c>
      <c r="B85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43LJ5500 3B/7L</v>
      </c>
      <c r="D85" s="1" t="n">
        <v>20</v>
      </c>
      <c r="F85" s="1" t="n">
        <v>1140</v>
      </c>
      <c r="G85" s="1" t="n">
        <f aca="false">(entradas26[[#This Row],[PRECIO]]/entradas26[[#This Row],[CAN JUEGOS ]])</f>
        <v>57</v>
      </c>
      <c r="H85" s="1" t="s">
        <v>789</v>
      </c>
    </row>
    <row r="86" customFormat="false" ht="15" hidden="false" customHeight="false" outlineLevel="0" collapsed="false">
      <c r="A86" s="1" t="n">
        <v>1102</v>
      </c>
      <c r="B86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50LA6200/12B/3V</v>
      </c>
      <c r="D86" s="1" t="n">
        <v>20</v>
      </c>
      <c r="F86" s="1" t="n">
        <v>2318</v>
      </c>
      <c r="G86" s="1" t="n">
        <f aca="false">(entradas26[[#This Row],[PRECIO]]/entradas26[[#This Row],[CAN JUEGOS ]])</f>
        <v>115.9</v>
      </c>
      <c r="H86" s="1" t="s">
        <v>789</v>
      </c>
    </row>
    <row r="87" customFormat="false" ht="15" hidden="false" customHeight="false" outlineLevel="0" collapsed="false">
      <c r="A87" s="1" t="n">
        <v>2003</v>
      </c>
      <c r="B87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UN32F5000-SAMSUNG 5B</v>
      </c>
      <c r="D87" s="1" t="n">
        <v>20</v>
      </c>
      <c r="F87" s="1" t="n">
        <v>1482</v>
      </c>
      <c r="G87" s="1" t="n">
        <f aca="false">(entradas26[[#This Row],[PRECIO]]/entradas26[[#This Row],[CAN JUEGOS ]])</f>
        <v>74.1</v>
      </c>
      <c r="H87" s="1" t="s">
        <v>789</v>
      </c>
    </row>
    <row r="88" customFormat="false" ht="15" hidden="false" customHeight="false" outlineLevel="0" collapsed="false">
      <c r="A88" s="1" t="n">
        <v>2072</v>
      </c>
      <c r="B88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UN55H6400/12B</v>
      </c>
      <c r="D88" s="1" t="n">
        <v>10</v>
      </c>
      <c r="F88" s="1" t="n">
        <v>2375</v>
      </c>
      <c r="G88" s="1" t="n">
        <f aca="false">(entradas26[[#This Row],[PRECIO]]/entradas26[[#This Row],[CAN JUEGOS ]])</f>
        <v>237.5</v>
      </c>
      <c r="H88" s="1" t="s">
        <v>789</v>
      </c>
    </row>
    <row r="89" customFormat="false" ht="15" hidden="false" customHeight="false" outlineLevel="0" collapsed="false">
      <c r="A89" s="1" t="n">
        <v>1015</v>
      </c>
      <c r="B89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32LH500B-32LK500 3B/7L/3V</v>
      </c>
      <c r="D89" s="1" t="n">
        <v>20</v>
      </c>
      <c r="F89" s="1" t="n">
        <v>684</v>
      </c>
      <c r="G89" s="1" t="n">
        <f aca="false">(entradas26[[#This Row],[PRECIO]]/entradas26[[#This Row],[CAN JUEGOS ]])</f>
        <v>34.2</v>
      </c>
      <c r="H89" s="1" t="s">
        <v>789</v>
      </c>
    </row>
    <row r="90" customFormat="false" ht="15" hidden="false" customHeight="false" outlineLevel="0" collapsed="false">
      <c r="A90" s="1" t="n">
        <v>5010</v>
      </c>
      <c r="B90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40 SONY/AOC LE40D3142 -4B/9L</v>
      </c>
      <c r="D90" s="1" t="n">
        <v>20</v>
      </c>
      <c r="F90" s="1" t="n">
        <v>1178</v>
      </c>
      <c r="G90" s="1" t="n">
        <f aca="false">(entradas26[[#This Row],[PRECIO]]/entradas26[[#This Row],[CAN JUEGOS ]])</f>
        <v>58.9</v>
      </c>
      <c r="H90" s="1" t="s">
        <v>789</v>
      </c>
    </row>
    <row r="91" customFormat="false" ht="15" hidden="false" customHeight="false" outlineLevel="0" collapsed="false">
      <c r="A91" s="1" t="n">
        <v>4009</v>
      </c>
      <c r="B91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43-DAEWO L43R630BKS/ 8B</v>
      </c>
      <c r="D91" s="1" t="n">
        <v>20</v>
      </c>
      <c r="F91" s="1" t="n">
        <v>1330</v>
      </c>
      <c r="G91" s="1" t="n">
        <f aca="false">(entradas26[[#This Row],[PRECIO]]/entradas26[[#This Row],[CAN JUEGOS ]])</f>
        <v>66.5</v>
      </c>
      <c r="H91" s="1" t="s">
        <v>789</v>
      </c>
    </row>
    <row r="92" customFormat="false" ht="15" hidden="false" customHeight="false" outlineLevel="0" collapsed="false">
      <c r="A92" s="1" t="n">
        <v>7000</v>
      </c>
      <c r="B92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32 IRT/6L/2B/6V</v>
      </c>
      <c r="D92" s="1" t="n">
        <v>20</v>
      </c>
      <c r="F92" s="1" t="n">
        <v>418</v>
      </c>
      <c r="G92" s="1" t="n">
        <f aca="false">(entradas26[[#This Row],[PRECIO]]/entradas26[[#This Row],[CAN JUEGOS ]])</f>
        <v>20.9</v>
      </c>
      <c r="H92" s="1" t="s">
        <v>789</v>
      </c>
    </row>
    <row r="93" customFormat="false" ht="15" hidden="false" customHeight="false" outlineLevel="0" collapsed="false">
      <c r="A93" s="1" t="n">
        <v>7004</v>
      </c>
      <c r="B93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40 IRT LED4060SFHD 8L/3V/3B</v>
      </c>
      <c r="D93" s="1" t="n">
        <v>20</v>
      </c>
      <c r="F93" s="1" t="n">
        <v>798</v>
      </c>
      <c r="G93" s="1" t="n">
        <f aca="false">(entradas26[[#This Row],[PRECIO]]/entradas26[[#This Row],[CAN JUEGOS ]])</f>
        <v>39.9</v>
      </c>
      <c r="H93" s="1" t="s">
        <v>789</v>
      </c>
    </row>
    <row r="94" customFormat="false" ht="15" hidden="false" customHeight="false" outlineLevel="0" collapsed="false">
      <c r="A94" s="1" t="n">
        <v>6034</v>
      </c>
      <c r="B94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65 HISENSE A6GSA 6B/8L/3V</v>
      </c>
      <c r="D94" s="1" t="n">
        <v>20</v>
      </c>
      <c r="F94" s="1" t="n">
        <v>1862</v>
      </c>
      <c r="G94" s="1" t="n">
        <f aca="false">(entradas26[[#This Row],[PRECIO]]/entradas26[[#This Row],[CAN JUEGOS ]])</f>
        <v>93.1</v>
      </c>
      <c r="H94" s="1" t="s">
        <v>789</v>
      </c>
    </row>
    <row r="95" customFormat="false" ht="15" hidden="false" customHeight="false" outlineLevel="0" collapsed="false">
      <c r="A95" s="1" t="n">
        <v>8056</v>
      </c>
      <c r="B95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43 PREMIER 8L/6V/3B</v>
      </c>
      <c r="D95" s="1" t="n">
        <v>20</v>
      </c>
      <c r="F95" s="1" t="n">
        <v>798</v>
      </c>
      <c r="G95" s="1" t="n">
        <f aca="false">(entradas26[[#This Row],[PRECIO]]/entradas26[[#This Row],[CAN JUEGOS ]])</f>
        <v>39.9</v>
      </c>
      <c r="H95" s="1" t="s">
        <v>789</v>
      </c>
    </row>
    <row r="96" customFormat="false" ht="15" hidden="false" customHeight="false" outlineLevel="0" collapsed="false">
      <c r="A96" s="1" t="n">
        <v>8067</v>
      </c>
      <c r="B96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50 PREMIER 6V/10L/4B EN PARALELO</v>
      </c>
      <c r="D96" s="1" t="n">
        <v>20</v>
      </c>
      <c r="F96" s="1" t="n">
        <v>1178</v>
      </c>
      <c r="G96" s="1" t="n">
        <f aca="false">(entradas26[[#This Row],[PRECIO]]/entradas26[[#This Row],[CAN JUEGOS ]])</f>
        <v>58.9</v>
      </c>
      <c r="H96" s="1" t="s">
        <v>789</v>
      </c>
    </row>
    <row r="97" customFormat="false" ht="15" hidden="false" customHeight="false" outlineLevel="0" collapsed="false">
      <c r="A97" s="1" t="n">
        <v>8069</v>
      </c>
      <c r="B97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50 PREMIER 10L/6V/4B -50 WESTPOINT TEJ -EN SERIE</v>
      </c>
      <c r="D97" s="1" t="n">
        <v>20</v>
      </c>
      <c r="F97" s="1" t="n">
        <v>1178</v>
      </c>
      <c r="G97" s="1" t="n">
        <f aca="false">(entradas26[[#This Row],[PRECIO]]/entradas26[[#This Row],[CAN JUEGOS ]])</f>
        <v>58.9</v>
      </c>
      <c r="H97" s="1" t="s">
        <v>789</v>
      </c>
    </row>
    <row r="98" customFormat="false" ht="15" hidden="false" customHeight="false" outlineLevel="0" collapsed="false">
      <c r="A98" s="1" t="n">
        <v>6110</v>
      </c>
      <c r="B98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32 A 4H HISENSE 5L/3V/2B</v>
      </c>
      <c r="D98" s="1" t="n">
        <v>20</v>
      </c>
      <c r="F98" s="1" t="n">
        <v>418</v>
      </c>
      <c r="G98" s="1" t="n">
        <f aca="false">(entradas26[[#This Row],[PRECIO]]/entradas26[[#This Row],[CAN JUEGOS ]])</f>
        <v>20.9</v>
      </c>
      <c r="H98" s="1" t="s">
        <v>789</v>
      </c>
    </row>
    <row r="99" customFormat="false" ht="15" hidden="false" customHeight="false" outlineLevel="0" collapsed="false">
      <c r="A99" s="1" t="n">
        <v>3018</v>
      </c>
      <c r="B99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49 HAIER 9B/5L</v>
      </c>
      <c r="D99" s="1" t="n">
        <v>20</v>
      </c>
      <c r="F99" s="1" t="n">
        <v>1710</v>
      </c>
      <c r="G99" s="1" t="n">
        <f aca="false">(entradas26[[#This Row],[PRECIO]]/entradas26[[#This Row],[CAN JUEGOS ]])</f>
        <v>85.5</v>
      </c>
      <c r="H99" s="1" t="s">
        <v>789</v>
      </c>
    </row>
    <row r="100" customFormat="false" ht="15" hidden="false" customHeight="false" outlineLevel="0" collapsed="false">
      <c r="A100" s="1" t="n">
        <v>2008</v>
      </c>
      <c r="B100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UN 40 D6500/2B</v>
      </c>
      <c r="D100" s="1" t="n">
        <v>10</v>
      </c>
      <c r="F100" s="1" t="n">
        <v>1026</v>
      </c>
      <c r="G100" s="1" t="n">
        <f aca="false">(entradas26[[#This Row],[PRECIO]]/entradas26[[#This Row],[CAN JUEGOS ]])</f>
        <v>102.6</v>
      </c>
      <c r="H100" s="1" t="s">
        <v>789</v>
      </c>
    </row>
    <row r="101" customFormat="false" ht="15" hidden="false" customHeight="false" outlineLevel="0" collapsed="false">
      <c r="A101" s="1" t="n">
        <v>7019</v>
      </c>
      <c r="B101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65 IRT 12B/6L</v>
      </c>
      <c r="D101" s="1" t="n">
        <v>20</v>
      </c>
      <c r="F101" s="1" t="n">
        <v>4104</v>
      </c>
      <c r="G101" s="1" t="n">
        <f aca="false">(entradas26[[#This Row],[PRECIO]]/entradas26[[#This Row],[CAN JUEGOS ]])</f>
        <v>205.2</v>
      </c>
      <c r="H101" s="1" t="s">
        <v>789</v>
      </c>
    </row>
    <row r="102" customFormat="false" ht="15" hidden="false" customHeight="false" outlineLevel="0" collapsed="false">
      <c r="A102" s="1" t="n">
        <v>1067</v>
      </c>
      <c r="B102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47LA6600/2B</v>
      </c>
      <c r="D102" s="1" t="n">
        <v>20</v>
      </c>
      <c r="F102" s="1" t="n">
        <v>1748</v>
      </c>
      <c r="G102" s="1" t="n">
        <f aca="false">(entradas26[[#This Row],[PRECIO]]/entradas26[[#This Row],[CAN JUEGOS ]])</f>
        <v>87.4</v>
      </c>
      <c r="H102" s="1" t="s">
        <v>789</v>
      </c>
    </row>
    <row r="103" customFormat="false" ht="15" hidden="false" customHeight="false" outlineLevel="0" collapsed="false">
      <c r="A103" s="1" t="n">
        <v>3003</v>
      </c>
      <c r="B103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40B8000 4B/12LED/3V</v>
      </c>
      <c r="E103" s="1" t="n">
        <v>4</v>
      </c>
      <c r="G103" s="1" t="e">
        <f aca="false">(entradas26[[#This Row],[PRECIO]]/entradas26[[#This Row],[CAN JUEGOS ]])</f>
        <v>#DIV/0!</v>
      </c>
      <c r="H103" s="1" t="s">
        <v>766</v>
      </c>
    </row>
    <row r="104" customFormat="false" ht="15" hidden="false" customHeight="false" outlineLevel="0" collapsed="false">
      <c r="A104" s="1" t="n">
        <v>1042</v>
      </c>
      <c r="B104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42LS3450/10B</v>
      </c>
      <c r="E104" s="1" t="n">
        <v>10</v>
      </c>
      <c r="G104" s="1" t="e">
        <f aca="false">(entradas26[[#This Row],[PRECIO]]/entradas26[[#This Row],[CAN JUEGOS ]])</f>
        <v>#DIV/0!</v>
      </c>
      <c r="H104" s="1" t="s">
        <v>766</v>
      </c>
    </row>
    <row r="105" customFormat="false" ht="15" hidden="false" customHeight="false" outlineLevel="0" collapsed="false">
      <c r="A105" s="1" t="n">
        <v>2104</v>
      </c>
      <c r="B105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UN82TU7000/18B/5L</v>
      </c>
      <c r="E105" s="1" t="n">
        <v>18</v>
      </c>
      <c r="G105" s="1" t="e">
        <f aca="false">(entradas26[[#This Row],[PRECIO]]/entradas26[[#This Row],[CAN JUEGOS ]])</f>
        <v>#DIV/0!</v>
      </c>
      <c r="H105" s="1" t="s">
        <v>766</v>
      </c>
    </row>
    <row r="106" customFormat="false" ht="15" hidden="false" customHeight="false" outlineLevel="0" collapsed="false">
      <c r="A106" s="1" t="n">
        <v>8098</v>
      </c>
      <c r="B106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65 PREMIER 11B/6L </v>
      </c>
      <c r="E106" s="1" t="n">
        <v>11</v>
      </c>
      <c r="G106" s="1" t="e">
        <f aca="false">(entradas26[[#This Row],[PRECIO]]/entradas26[[#This Row],[CAN JUEGOS ]])</f>
        <v>#DIV/0!</v>
      </c>
      <c r="H106" s="1" t="s">
        <v>766</v>
      </c>
    </row>
    <row r="107" customFormat="false" ht="15" hidden="false" customHeight="false" outlineLevel="0" collapsed="false">
      <c r="A107" s="1" t="n">
        <v>6027</v>
      </c>
      <c r="B107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55 HISENSE K321UW/10B reemplazo 55 6L/3V/10B</v>
      </c>
      <c r="E107" s="1" t="n">
        <v>10</v>
      </c>
      <c r="G107" s="1" t="e">
        <f aca="false">(entradas26[[#This Row],[PRECIO]]/entradas26[[#This Row],[CAN JUEGOS ]])</f>
        <v>#DIV/0!</v>
      </c>
      <c r="H107" s="1" t="s">
        <v>766</v>
      </c>
    </row>
    <row r="108" customFormat="false" ht="15" hidden="false" customHeight="false" outlineLevel="0" collapsed="false">
      <c r="A108" s="1" t="n">
        <v>5006</v>
      </c>
      <c r="B108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KDL-32R304B/3B</v>
      </c>
      <c r="D108" s="1" t="n">
        <v>12</v>
      </c>
      <c r="E108" s="1" t="n">
        <v>1</v>
      </c>
      <c r="G108" s="1" t="n">
        <f aca="false">(entradas26[[#This Row],[PRECIO]]/entradas26[[#This Row],[CAN JUEGOS ]])</f>
        <v>0</v>
      </c>
      <c r="H108" s="1" t="s">
        <v>765</v>
      </c>
    </row>
    <row r="109" customFormat="false" ht="15" hidden="false" customHeight="false" outlineLevel="0" collapsed="false">
      <c r="A109" s="1" t="n">
        <v>5009</v>
      </c>
      <c r="B109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KDL-39R475B - SONY/10B</v>
      </c>
      <c r="E109" s="1" t="n">
        <v>10</v>
      </c>
      <c r="G109" s="1" t="e">
        <f aca="false">(entradas26[[#This Row],[PRECIO]]/entradas26[[#This Row],[CAN JUEGOS ]])</f>
        <v>#DIV/0!</v>
      </c>
      <c r="H109" s="1" t="s">
        <v>766</v>
      </c>
    </row>
    <row r="110" customFormat="false" ht="15" hidden="false" customHeight="false" outlineLevel="0" collapsed="false">
      <c r="B110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10" s="1" t="e">
        <f aca="false">(entradas26[[#This Row],[PRECIO]]/entradas26[[#This Row],[CAN JUEGOS ]])</f>
        <v>#DIV/0!</v>
      </c>
    </row>
    <row r="111" customFormat="false" ht="15" hidden="false" customHeight="false" outlineLevel="0" collapsed="false">
      <c r="B111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11" s="1" t="e">
        <f aca="false">(entradas26[[#This Row],[PRECIO]]/entradas26[[#This Row],[CAN JUEGOS ]])</f>
        <v>#DIV/0!</v>
      </c>
    </row>
    <row r="112" customFormat="false" ht="15" hidden="false" customHeight="false" outlineLevel="0" collapsed="false">
      <c r="B112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12" s="1" t="e">
        <f aca="false">(entradas26[[#This Row],[PRECIO]]/entradas26[[#This Row],[CAN JUEGOS ]])</f>
        <v>#DIV/0!</v>
      </c>
    </row>
    <row r="113" customFormat="false" ht="15" hidden="false" customHeight="false" outlineLevel="0" collapsed="false">
      <c r="B113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13" s="1" t="e">
        <f aca="false">(entradas26[[#This Row],[PRECIO]]/entradas26[[#This Row],[CAN JUEGOS ]])</f>
        <v>#DIV/0!</v>
      </c>
    </row>
    <row r="114" customFormat="false" ht="15" hidden="false" customHeight="false" outlineLevel="0" collapsed="false">
      <c r="B114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14" s="1" t="e">
        <f aca="false">(entradas26[[#This Row],[PRECIO]]/entradas26[[#This Row],[CAN JUEGOS ]])</f>
        <v>#DIV/0!</v>
      </c>
    </row>
    <row r="115" customFormat="false" ht="15" hidden="false" customHeight="false" outlineLevel="0" collapsed="false">
      <c r="B115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15" s="1" t="e">
        <f aca="false">(entradas26[[#This Row],[PRECIO]]/entradas26[[#This Row],[CAN JUEGOS ]])</f>
        <v>#DIV/0!</v>
      </c>
    </row>
    <row r="116" customFormat="false" ht="15" hidden="false" customHeight="false" outlineLevel="0" collapsed="false">
      <c r="B116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16" s="1" t="e">
        <f aca="false">(entradas26[[#This Row],[PRECIO]]/entradas26[[#This Row],[CAN JUEGOS ]])</f>
        <v>#DIV/0!</v>
      </c>
    </row>
    <row r="117" customFormat="false" ht="15" hidden="false" customHeight="false" outlineLevel="0" collapsed="false">
      <c r="B117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17" s="1" t="e">
        <f aca="false">(entradas26[[#This Row],[PRECIO]]/entradas26[[#This Row],[CAN JUEGOS ]])</f>
        <v>#DIV/0!</v>
      </c>
    </row>
    <row r="118" customFormat="false" ht="15" hidden="false" customHeight="false" outlineLevel="0" collapsed="false">
      <c r="B118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18" s="1" t="e">
        <f aca="false">(entradas26[[#This Row],[PRECIO]]/entradas26[[#This Row],[CAN JUEGOS ]])</f>
        <v>#DIV/0!</v>
      </c>
    </row>
    <row r="119" customFormat="false" ht="15" hidden="false" customHeight="false" outlineLevel="0" collapsed="false">
      <c r="B119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19" s="1" t="e">
        <f aca="false">(entradas26[[#This Row],[PRECIO]]/entradas26[[#This Row],[CAN JUEGOS ]])</f>
        <v>#DIV/0!</v>
      </c>
    </row>
    <row r="120" customFormat="false" ht="15" hidden="false" customHeight="false" outlineLevel="0" collapsed="false">
      <c r="B120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20" s="1" t="e">
        <f aca="false">(entradas26[[#This Row],[PRECIO]]/entradas26[[#This Row],[CAN JUEGOS ]])</f>
        <v>#DIV/0!</v>
      </c>
    </row>
    <row r="121" customFormat="false" ht="15" hidden="false" customHeight="false" outlineLevel="0" collapsed="false">
      <c r="B121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21" s="1" t="e">
        <f aca="false">(entradas26[[#This Row],[PRECIO]]/entradas26[[#This Row],[CAN JUEGOS ]])</f>
        <v>#DIV/0!</v>
      </c>
    </row>
    <row r="122" customFormat="false" ht="15" hidden="false" customHeight="false" outlineLevel="0" collapsed="false">
      <c r="B122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22" s="1" t="e">
        <f aca="false">(entradas26[[#This Row],[PRECIO]]/entradas26[[#This Row],[CAN JUEGOS ]])</f>
        <v>#DIV/0!</v>
      </c>
    </row>
    <row r="123" customFormat="false" ht="15" hidden="false" customHeight="false" outlineLevel="0" collapsed="false">
      <c r="B123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23" s="1" t="e">
        <f aca="false">(entradas26[[#This Row],[PRECIO]]/entradas26[[#This Row],[CAN JUEGOS ]])</f>
        <v>#DIV/0!</v>
      </c>
    </row>
    <row r="124" customFormat="false" ht="15" hidden="false" customHeight="false" outlineLevel="0" collapsed="false">
      <c r="B124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24" s="1" t="e">
        <f aca="false">(entradas26[[#This Row],[PRECIO]]/entradas26[[#This Row],[CAN JUEGOS ]])</f>
        <v>#DIV/0!</v>
      </c>
    </row>
    <row r="125" customFormat="false" ht="15" hidden="false" customHeight="false" outlineLevel="0" collapsed="false">
      <c r="B125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25" s="1" t="e">
        <f aca="false">(entradas26[[#This Row],[PRECIO]]/entradas26[[#This Row],[CAN JUEGOS ]])</f>
        <v>#DIV/0!</v>
      </c>
    </row>
    <row r="126" customFormat="false" ht="15" hidden="false" customHeight="false" outlineLevel="0" collapsed="false">
      <c r="B126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26" s="1" t="e">
        <f aca="false">(entradas26[[#This Row],[PRECIO]]/entradas26[[#This Row],[CAN JUEGOS ]])</f>
        <v>#DIV/0!</v>
      </c>
    </row>
    <row r="127" customFormat="false" ht="15" hidden="false" customHeight="false" outlineLevel="0" collapsed="false">
      <c r="B127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27" s="1" t="e">
        <f aca="false">(entradas26[[#This Row],[PRECIO]]/entradas26[[#This Row],[CAN JUEGOS ]])</f>
        <v>#DIV/0!</v>
      </c>
    </row>
    <row r="128" customFormat="false" ht="15" hidden="false" customHeight="false" outlineLevel="0" collapsed="false">
      <c r="B128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28" s="1" t="e">
        <f aca="false">(entradas26[[#This Row],[PRECIO]]/entradas26[[#This Row],[CAN JUEGOS ]])</f>
        <v>#DIV/0!</v>
      </c>
    </row>
    <row r="129" customFormat="false" ht="15" hidden="false" customHeight="false" outlineLevel="0" collapsed="false">
      <c r="B129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29" s="1" t="e">
        <f aca="false">(entradas26[[#This Row],[PRECIO]]/entradas26[[#This Row],[CAN JUEGOS ]])</f>
        <v>#DIV/0!</v>
      </c>
    </row>
    <row r="130" customFormat="false" ht="15" hidden="false" customHeight="false" outlineLevel="0" collapsed="false">
      <c r="B130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30" s="1" t="e">
        <f aca="false">(entradas26[[#This Row],[PRECIO]]/entradas26[[#This Row],[CAN JUEGOS ]])</f>
        <v>#DIV/0!</v>
      </c>
    </row>
    <row r="131" customFormat="false" ht="15" hidden="false" customHeight="false" outlineLevel="0" collapsed="false">
      <c r="B131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31" s="1" t="e">
        <f aca="false">(entradas26[[#This Row],[PRECIO]]/entradas26[[#This Row],[CAN JUEGOS ]])</f>
        <v>#DIV/0!</v>
      </c>
    </row>
    <row r="132" customFormat="false" ht="15" hidden="false" customHeight="false" outlineLevel="0" collapsed="false">
      <c r="B132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32" s="1" t="e">
        <f aca="false">(entradas26[[#This Row],[PRECIO]]/entradas26[[#This Row],[CAN JUEGOS ]])</f>
        <v>#DIV/0!</v>
      </c>
    </row>
    <row r="133" customFormat="false" ht="15" hidden="false" customHeight="false" outlineLevel="0" collapsed="false">
      <c r="B133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33" s="1" t="e">
        <f aca="false">(entradas26[[#This Row],[PRECIO]]/entradas26[[#This Row],[CAN JUEGOS ]])</f>
        <v>#DIV/0!</v>
      </c>
    </row>
    <row r="134" customFormat="false" ht="15" hidden="false" customHeight="false" outlineLevel="0" collapsed="false">
      <c r="B134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34" s="1" t="e">
        <f aca="false">(entradas26[[#This Row],[PRECIO]]/entradas26[[#This Row],[CAN JUEGOS ]])</f>
        <v>#DIV/0!</v>
      </c>
    </row>
    <row r="135" customFormat="false" ht="15" hidden="false" customHeight="false" outlineLevel="0" collapsed="false">
      <c r="B135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35" s="1" t="e">
        <f aca="false">(entradas26[[#This Row],[PRECIO]]/entradas26[[#This Row],[CAN JUEGOS ]])</f>
        <v>#DIV/0!</v>
      </c>
    </row>
    <row r="136" customFormat="false" ht="15" hidden="false" customHeight="false" outlineLevel="0" collapsed="false">
      <c r="B136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36" s="1" t="e">
        <f aca="false">(entradas26[[#This Row],[PRECIO]]/entradas26[[#This Row],[CAN JUEGOS ]])</f>
        <v>#DIV/0!</v>
      </c>
    </row>
    <row r="137" customFormat="false" ht="15" hidden="false" customHeight="false" outlineLevel="0" collapsed="false">
      <c r="B137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37" s="1" t="e">
        <f aca="false">(entradas26[[#This Row],[PRECIO]]/entradas26[[#This Row],[CAN JUEGOS ]])</f>
        <v>#DIV/0!</v>
      </c>
    </row>
    <row r="138" customFormat="false" ht="15" hidden="false" customHeight="false" outlineLevel="0" collapsed="false">
      <c r="B138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38" s="1" t="e">
        <f aca="false">(entradas26[[#This Row],[PRECIO]]/entradas26[[#This Row],[CAN JUEGOS ]])</f>
        <v>#DIV/0!</v>
      </c>
    </row>
    <row r="139" customFormat="false" ht="15" hidden="false" customHeight="false" outlineLevel="0" collapsed="false">
      <c r="B139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39" s="1" t="e">
        <f aca="false">(entradas26[[#This Row],[PRECIO]]/entradas26[[#This Row],[CAN JUEGOS ]])</f>
        <v>#DIV/0!</v>
      </c>
    </row>
    <row r="140" customFormat="false" ht="15" hidden="false" customHeight="false" outlineLevel="0" collapsed="false">
      <c r="B140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40" s="1" t="e">
        <f aca="false">(entradas26[[#This Row],[PRECIO]]/entradas26[[#This Row],[CAN JUEGOS ]])</f>
        <v>#DIV/0!</v>
      </c>
    </row>
    <row r="141" customFormat="false" ht="15" hidden="false" customHeight="false" outlineLevel="0" collapsed="false">
      <c r="B141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41" s="1" t="e">
        <f aca="false">(entradas26[[#This Row],[PRECIO]]/entradas26[[#This Row],[CAN JUEGOS ]])</f>
        <v>#DIV/0!</v>
      </c>
    </row>
    <row r="142" customFormat="false" ht="15" hidden="false" customHeight="false" outlineLevel="0" collapsed="false">
      <c r="B142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42" s="1" t="e">
        <f aca="false">(entradas26[[#This Row],[PRECIO]]/entradas26[[#This Row],[CAN JUEGOS ]])</f>
        <v>#DIV/0!</v>
      </c>
    </row>
    <row r="143" customFormat="false" ht="15" hidden="false" customHeight="false" outlineLevel="0" collapsed="false">
      <c r="B143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43" s="1" t="e">
        <f aca="false">(entradas26[[#This Row],[PRECIO]]/entradas26[[#This Row],[CAN JUEGOS ]])</f>
        <v>#DIV/0!</v>
      </c>
    </row>
    <row r="144" customFormat="false" ht="15" hidden="false" customHeight="false" outlineLevel="0" collapsed="false">
      <c r="B144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44" s="1" t="e">
        <f aca="false">(entradas26[[#This Row],[PRECIO]]/entradas26[[#This Row],[CAN JUEGOS ]])</f>
        <v>#DIV/0!</v>
      </c>
    </row>
    <row r="145" customFormat="false" ht="15" hidden="false" customHeight="false" outlineLevel="0" collapsed="false">
      <c r="B145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45" s="1" t="e">
        <f aca="false">(entradas26[[#This Row],[PRECIO]]/entradas26[[#This Row],[CAN JUEGOS ]])</f>
        <v>#DIV/0!</v>
      </c>
    </row>
    <row r="146" customFormat="false" ht="15" hidden="false" customHeight="false" outlineLevel="0" collapsed="false">
      <c r="B146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46" s="1" t="e">
        <f aca="false">(entradas26[[#This Row],[PRECIO]]/entradas26[[#This Row],[CAN JUEGOS ]])</f>
        <v>#DIV/0!</v>
      </c>
    </row>
    <row r="147" customFormat="false" ht="15" hidden="false" customHeight="false" outlineLevel="0" collapsed="false">
      <c r="B147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47" s="1" t="e">
        <f aca="false">(entradas26[[#This Row],[PRECIO]]/entradas26[[#This Row],[CAN JUEGOS ]])</f>
        <v>#DIV/0!</v>
      </c>
    </row>
    <row r="148" customFormat="false" ht="15" hidden="false" customHeight="false" outlineLevel="0" collapsed="false">
      <c r="B148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48" s="1" t="e">
        <f aca="false">(entradas26[[#This Row],[PRECIO]]/entradas26[[#This Row],[CAN JUEGOS ]])</f>
        <v>#DIV/0!</v>
      </c>
    </row>
    <row r="149" customFormat="false" ht="15" hidden="false" customHeight="false" outlineLevel="0" collapsed="false">
      <c r="B149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49" s="1" t="e">
        <f aca="false">(entradas26[[#This Row],[PRECIO]]/entradas26[[#This Row],[CAN JUEGOS ]])</f>
        <v>#DIV/0!</v>
      </c>
    </row>
    <row r="150" customFormat="false" ht="15" hidden="false" customHeight="false" outlineLevel="0" collapsed="false">
      <c r="B150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50" s="1" t="e">
        <f aca="false">(entradas26[[#This Row],[PRECIO]]/entradas26[[#This Row],[CAN JUEGOS ]])</f>
        <v>#DIV/0!</v>
      </c>
    </row>
    <row r="151" customFormat="false" ht="15" hidden="false" customHeight="false" outlineLevel="0" collapsed="false">
      <c r="B151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51" s="1" t="e">
        <f aca="false">(entradas26[[#This Row],[PRECIO]]/entradas26[[#This Row],[CAN JUEGOS ]])</f>
        <v>#DIV/0!</v>
      </c>
    </row>
    <row r="152" customFormat="false" ht="15" hidden="false" customHeight="false" outlineLevel="0" collapsed="false">
      <c r="B152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52" s="1" t="e">
        <f aca="false">(entradas26[[#This Row],[PRECIO]]/entradas26[[#This Row],[CAN JUEGOS ]])</f>
        <v>#DIV/0!</v>
      </c>
    </row>
    <row r="153" customFormat="false" ht="15" hidden="false" customHeight="false" outlineLevel="0" collapsed="false">
      <c r="B153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53" s="1" t="e">
        <f aca="false">(entradas26[[#This Row],[PRECIO]]/entradas26[[#This Row],[CAN JUEGOS ]])</f>
        <v>#DIV/0!</v>
      </c>
    </row>
    <row r="154" customFormat="false" ht="15" hidden="false" customHeight="false" outlineLevel="0" collapsed="false">
      <c r="B154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54" s="1" t="e">
        <f aca="false">(entradas26[[#This Row],[PRECIO]]/entradas26[[#This Row],[CAN JUEGOS ]])</f>
        <v>#DIV/0!</v>
      </c>
    </row>
    <row r="155" customFormat="false" ht="15" hidden="false" customHeight="false" outlineLevel="0" collapsed="false">
      <c r="B155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55" s="1" t="e">
        <f aca="false">(entradas26[[#This Row],[PRECIO]]/entradas26[[#This Row],[CAN JUEGOS ]])</f>
        <v>#DIV/0!</v>
      </c>
    </row>
    <row r="156" customFormat="false" ht="15" hidden="false" customHeight="false" outlineLevel="0" collapsed="false">
      <c r="B156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56" s="1" t="e">
        <f aca="false">(entradas26[[#This Row],[PRECIO]]/entradas26[[#This Row],[CAN JUEGOS ]])</f>
        <v>#DIV/0!</v>
      </c>
    </row>
    <row r="157" customFormat="false" ht="15" hidden="false" customHeight="false" outlineLevel="0" collapsed="false">
      <c r="B157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57" s="1" t="e">
        <f aca="false">(entradas26[[#This Row],[PRECIO]]/entradas26[[#This Row],[CAN JUEGOS ]])</f>
        <v>#DIV/0!</v>
      </c>
    </row>
    <row r="158" customFormat="false" ht="15" hidden="false" customHeight="false" outlineLevel="0" collapsed="false">
      <c r="B158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58" s="1" t="e">
        <f aca="false">(entradas26[[#This Row],[PRECIO]]/entradas26[[#This Row],[CAN JUEGOS ]])</f>
        <v>#DIV/0!</v>
      </c>
    </row>
    <row r="159" customFormat="false" ht="15" hidden="false" customHeight="false" outlineLevel="0" collapsed="false">
      <c r="B159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59" s="1" t="e">
        <f aca="false">(entradas26[[#This Row],[PRECIO]]/entradas26[[#This Row],[CAN JUEGOS ]])</f>
        <v>#DIV/0!</v>
      </c>
    </row>
    <row r="160" customFormat="false" ht="15" hidden="false" customHeight="false" outlineLevel="0" collapsed="false">
      <c r="B160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60" s="1" t="e">
        <f aca="false">(entradas26[[#This Row],[PRECIO]]/entradas26[[#This Row],[CAN JUEGOS ]])</f>
        <v>#DIV/0!</v>
      </c>
    </row>
    <row r="161" customFormat="false" ht="15" hidden="false" customHeight="false" outlineLevel="0" collapsed="false">
      <c r="B161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61" s="1" t="e">
        <f aca="false">(entradas26[[#This Row],[PRECIO]]/entradas26[[#This Row],[CAN JUEGOS ]])</f>
        <v>#DIV/0!</v>
      </c>
    </row>
    <row r="162" customFormat="false" ht="15" hidden="false" customHeight="false" outlineLevel="0" collapsed="false">
      <c r="B162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62" s="1" t="e">
        <f aca="false">(entradas26[[#This Row],[PRECIO]]/entradas26[[#This Row],[CAN JUEGOS ]])</f>
        <v>#DIV/0!</v>
      </c>
    </row>
    <row r="163" customFormat="false" ht="15" hidden="false" customHeight="false" outlineLevel="0" collapsed="false">
      <c r="B163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63" s="1" t="e">
        <f aca="false">(entradas26[[#This Row],[PRECIO]]/entradas26[[#This Row],[CAN JUEGOS ]])</f>
        <v>#DIV/0!</v>
      </c>
    </row>
    <row r="164" customFormat="false" ht="15" hidden="false" customHeight="false" outlineLevel="0" collapsed="false">
      <c r="B164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64" s="1" t="e">
        <f aca="false">(entradas26[[#This Row],[PRECIO]]/entradas26[[#This Row],[CAN JUEGOS ]])</f>
        <v>#DIV/0!</v>
      </c>
    </row>
    <row r="165" customFormat="false" ht="15" hidden="false" customHeight="false" outlineLevel="0" collapsed="false">
      <c r="B165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65" s="1" t="e">
        <f aca="false">(entradas26[[#This Row],[PRECIO]]/entradas26[[#This Row],[CAN JUEGOS ]])</f>
        <v>#DIV/0!</v>
      </c>
    </row>
    <row r="166" customFormat="false" ht="15" hidden="false" customHeight="false" outlineLevel="0" collapsed="false">
      <c r="B166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66" s="1" t="e">
        <f aca="false">(entradas26[[#This Row],[PRECIO]]/entradas26[[#This Row],[CAN JUEGOS ]])</f>
        <v>#DIV/0!</v>
      </c>
    </row>
    <row r="167" customFormat="false" ht="15" hidden="false" customHeight="false" outlineLevel="0" collapsed="false">
      <c r="B167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67" s="1" t="e">
        <f aca="false">(entradas26[[#This Row],[PRECIO]]/entradas26[[#This Row],[CAN JUEGOS ]])</f>
        <v>#DIV/0!</v>
      </c>
    </row>
    <row r="168" customFormat="false" ht="15" hidden="false" customHeight="false" outlineLevel="0" collapsed="false">
      <c r="B168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68" s="1" t="e">
        <f aca="false">(entradas26[[#This Row],[PRECIO]]/entradas26[[#This Row],[CAN JUEGOS ]])</f>
        <v>#DIV/0!</v>
      </c>
    </row>
    <row r="169" customFormat="false" ht="15" hidden="false" customHeight="false" outlineLevel="0" collapsed="false">
      <c r="B169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69" s="1" t="e">
        <f aca="false">(entradas26[[#This Row],[PRECIO]]/entradas26[[#This Row],[CAN JUEGOS ]])</f>
        <v>#DIV/0!</v>
      </c>
    </row>
    <row r="170" customFormat="false" ht="15" hidden="false" customHeight="false" outlineLevel="0" collapsed="false">
      <c r="B170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70" s="1" t="e">
        <f aca="false">(entradas26[[#This Row],[PRECIO]]/entradas26[[#This Row],[CAN JUEGOS ]])</f>
        <v>#DIV/0!</v>
      </c>
    </row>
    <row r="171" customFormat="false" ht="15" hidden="false" customHeight="false" outlineLevel="0" collapsed="false">
      <c r="B171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71" s="1" t="e">
        <f aca="false">(entradas26[[#This Row],[PRECIO]]/entradas26[[#This Row],[CAN JUEGOS ]])</f>
        <v>#DIV/0!</v>
      </c>
    </row>
    <row r="172" customFormat="false" ht="15" hidden="false" customHeight="false" outlineLevel="0" collapsed="false">
      <c r="B172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72" s="1" t="e">
        <f aca="false">(entradas26[[#This Row],[PRECIO]]/entradas26[[#This Row],[CAN JUEGOS ]])</f>
        <v>#DIV/0!</v>
      </c>
    </row>
    <row r="173" customFormat="false" ht="15" hidden="false" customHeight="false" outlineLevel="0" collapsed="false">
      <c r="B173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73" s="1" t="e">
        <f aca="false">(entradas26[[#This Row],[PRECIO]]/entradas26[[#This Row],[CAN JUEGOS ]])</f>
        <v>#DIV/0!</v>
      </c>
    </row>
    <row r="174" customFormat="false" ht="15" hidden="false" customHeight="false" outlineLevel="0" collapsed="false">
      <c r="B174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74" s="1" t="e">
        <f aca="false">(entradas26[[#This Row],[PRECIO]]/entradas26[[#This Row],[CAN JUEGOS ]])</f>
        <v>#DIV/0!</v>
      </c>
    </row>
    <row r="175" customFormat="false" ht="15" hidden="false" customHeight="false" outlineLevel="0" collapsed="false">
      <c r="B175" s="1" t="str">
        <f aca="false">IFERROR(VLOOKUP(entradas26[[#This Row],[CODIGO]],LG26V[],2,(FALSE())),IFERROR(VLOOKUP(entradas26[[#This Row],[CODIGO]],samgung26[],2,(FALSE())),IFERROR(VLOOKUP(entradas26[[#This Row],[CODIGO]],sony26[],2,(FALSE())),IFERROR(VLOOKUP(entradas26[[#This Row],[CODIGO]],haier26[],2,(FALSE())),IFERROR(VLOOKUP(entradas26[[#This Row],[CODIGO]],daewoo26[],2,(FALSE())),IFERROR(VLOOKUP(entradas26[[#This Row],[CODIGO]],toshiba26[],2,(FALSE())),IFERROR(VLOOKUP(entradas26[[#This Row],[CODIGO]],philips26[],2,(FALSE())),IFERROR(VLOOKUP(entradas26[[#This Row],[CODIGO]],chino26[],2,(FALSE())),IFERROR(VLOOKUP(entradas26[[#This Row],[CODIGO]],aocyjvc26[],2,(FALSE())),IFERROR(VLOOKUP(entradas26[[#This Row],[CODIGO]],premier26[],2,(FALSE())),IFERROR(VLOOKUP(entradas26[[#This Row],[CODIGO]],MASTERG26[],2,(FALSE())),IFERROR(VLOOKUP(entradas26[[#This Row],[CODIGO]],sky,2,(FALSE())),IFERROR(VLOOKUP(entradas26[[#This Row],[CODIGO]],HISENSE26[],2,(FALSE())),("No existe"))))))))))))))</f>
        <v>No existe</v>
      </c>
      <c r="G175" s="1" t="e">
        <f aca="false">(entradas26[[#This Row],[PRECIO]]/entradas26[[#This Row],[CAN JUEGOS ]])</f>
        <v>#DIV/0!</v>
      </c>
    </row>
  </sheetData>
  <mergeCells count="1">
    <mergeCell ref="A2:H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D66" activeCellId="0" sqref="D66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88" width="5.14"/>
    <col collapsed="false" customWidth="true" hidden="false" outlineLevel="0" max="2" min="2" style="1" width="22.57"/>
    <col collapsed="false" customWidth="true" hidden="false" outlineLevel="0" max="3" min="3" style="60" width="6.29"/>
    <col collapsed="false" customWidth="true" hidden="false" outlineLevel="0" max="4" min="4" style="60" width="5.57"/>
    <col collapsed="false" customWidth="true" hidden="false" outlineLevel="0" max="5" min="5" style="1" width="3.72"/>
    <col collapsed="false" customWidth="true" hidden="false" outlineLevel="0" max="6" min="6" style="88" width="5.14"/>
    <col collapsed="false" customWidth="true" hidden="false" outlineLevel="0" max="7" min="7" style="1" width="32.72"/>
    <col collapsed="false" customWidth="true" hidden="false" outlineLevel="0" max="8" min="8" style="89" width="5.57"/>
    <col collapsed="false" customWidth="true" hidden="false" outlineLevel="0" max="9" min="9" style="60" width="5.57"/>
  </cols>
  <sheetData>
    <row r="1" customFormat="false" ht="13.5" hidden="false" customHeight="true" outlineLevel="0" collapsed="false">
      <c r="A1" s="90" t="s">
        <v>790</v>
      </c>
      <c r="B1" s="90"/>
      <c r="C1" s="90"/>
      <c r="D1" s="90"/>
      <c r="E1" s="90"/>
      <c r="F1" s="90"/>
      <c r="G1" s="90"/>
      <c r="H1" s="90"/>
    </row>
    <row r="2" customFormat="false" ht="13.5" hidden="false" customHeight="true" outlineLevel="0" collapsed="false">
      <c r="A2" s="91" t="s">
        <v>0</v>
      </c>
      <c r="B2" s="91"/>
      <c r="C2" s="91"/>
      <c r="D2" s="92"/>
      <c r="E2" s="57"/>
      <c r="F2" s="91" t="s">
        <v>791</v>
      </c>
      <c r="G2" s="91"/>
      <c r="H2" s="91"/>
    </row>
    <row r="3" s="100" customFormat="true" ht="11.25" hidden="false" customHeight="true" outlineLevel="0" collapsed="false">
      <c r="A3" s="93" t="s">
        <v>792</v>
      </c>
      <c r="B3" s="94" t="s">
        <v>2</v>
      </c>
      <c r="C3" s="95" t="s">
        <v>793</v>
      </c>
      <c r="D3" s="96" t="s">
        <v>515</v>
      </c>
      <c r="E3" s="97"/>
      <c r="F3" s="93" t="s">
        <v>792</v>
      </c>
      <c r="G3" s="94" t="s">
        <v>2</v>
      </c>
      <c r="H3" s="98" t="s">
        <v>773</v>
      </c>
      <c r="I3" s="99" t="s">
        <v>515</v>
      </c>
    </row>
    <row r="4" s="100" customFormat="true" ht="11.25" hidden="false" customHeight="true" outlineLevel="0" collapsed="false">
      <c r="A4" s="101" t="n">
        <v>1000</v>
      </c>
      <c r="B4" s="102" t="s">
        <v>23</v>
      </c>
      <c r="C4" s="103" t="n">
        <f aca="false">LG!F5</f>
        <v>80</v>
      </c>
      <c r="D4" s="104" t="n">
        <v>80</v>
      </c>
      <c r="E4" s="97"/>
      <c r="F4" s="105" t="n">
        <v>2000</v>
      </c>
      <c r="G4" s="106" t="s">
        <v>138</v>
      </c>
      <c r="H4" s="103" t="n">
        <f aca="false">SAMSUNG!F5</f>
        <v>80</v>
      </c>
      <c r="I4" s="104" t="n">
        <v>80</v>
      </c>
    </row>
    <row r="5" s="100" customFormat="true" ht="11.25" hidden="false" customHeight="true" outlineLevel="0" collapsed="false">
      <c r="A5" s="107" t="n">
        <v>1003</v>
      </c>
      <c r="B5" s="108" t="s">
        <v>25</v>
      </c>
      <c r="C5" s="103" t="n">
        <f aca="false">LG!F6</f>
        <v>80</v>
      </c>
      <c r="D5" s="104"/>
      <c r="E5" s="97"/>
      <c r="F5" s="109" t="n">
        <v>2001</v>
      </c>
      <c r="G5" s="110" t="s">
        <v>141</v>
      </c>
      <c r="H5" s="103" t="n">
        <f aca="false">SAMSUNG!F6</f>
        <v>150</v>
      </c>
      <c r="I5" s="104"/>
    </row>
    <row r="6" s="100" customFormat="true" ht="11.25" hidden="false" customHeight="true" outlineLevel="0" collapsed="false">
      <c r="A6" s="101" t="n">
        <v>1006</v>
      </c>
      <c r="B6" s="102" t="s">
        <v>27</v>
      </c>
      <c r="C6" s="103" t="n">
        <f aca="false">LG!F7</f>
        <v>80</v>
      </c>
      <c r="D6" s="104"/>
      <c r="E6" s="97"/>
      <c r="F6" s="105" t="n">
        <v>2003</v>
      </c>
      <c r="G6" s="106" t="s">
        <v>142</v>
      </c>
      <c r="H6" s="103" t="n">
        <f aca="false">SAMSUNG!F7</f>
        <v>130</v>
      </c>
      <c r="I6" s="104" t="n">
        <v>120</v>
      </c>
    </row>
    <row r="7" s="100" customFormat="true" ht="11.25" hidden="false" customHeight="true" outlineLevel="0" collapsed="false">
      <c r="A7" s="107" t="n">
        <v>1009</v>
      </c>
      <c r="B7" s="108" t="s">
        <v>794</v>
      </c>
      <c r="C7" s="103" t="e">
        <f aca="false">lg!#ref!</f>
        <v>#NAME?</v>
      </c>
      <c r="D7" s="104"/>
      <c r="E7" s="97"/>
      <c r="F7" s="109" t="n">
        <v>2006</v>
      </c>
      <c r="G7" s="110" t="s">
        <v>145</v>
      </c>
      <c r="H7" s="103" t="n">
        <f aca="false">SAMSUNG!F8</f>
        <v>90</v>
      </c>
      <c r="I7" s="104" t="n">
        <v>90</v>
      </c>
    </row>
    <row r="8" s="100" customFormat="true" ht="11.25" hidden="false" customHeight="true" outlineLevel="0" collapsed="false">
      <c r="A8" s="101" t="n">
        <v>1011</v>
      </c>
      <c r="B8" s="102" t="s">
        <v>29</v>
      </c>
      <c r="C8" s="103" t="n">
        <f aca="false">LG!F8</f>
        <v>70</v>
      </c>
      <c r="D8" s="104" t="n">
        <v>70</v>
      </c>
      <c r="E8" s="97"/>
      <c r="F8" s="105" t="n">
        <v>2009</v>
      </c>
      <c r="G8" s="106" t="s">
        <v>147</v>
      </c>
      <c r="H8" s="103" t="n">
        <f aca="false">SAMSUNG!F9</f>
        <v>180</v>
      </c>
      <c r="I8" s="104" t="n">
        <v>180</v>
      </c>
    </row>
    <row r="9" s="100" customFormat="true" ht="11.25" hidden="false" customHeight="true" outlineLevel="0" collapsed="false">
      <c r="A9" s="107" t="n">
        <v>1012</v>
      </c>
      <c r="B9" s="108" t="s">
        <v>31</v>
      </c>
      <c r="C9" s="103" t="n">
        <f aca="false">LG!F9</f>
        <v>90</v>
      </c>
      <c r="D9" s="104" t="n">
        <v>80</v>
      </c>
      <c r="E9" s="97"/>
      <c r="F9" s="105" t="n">
        <v>2008</v>
      </c>
      <c r="G9" s="111" t="s">
        <v>149</v>
      </c>
      <c r="H9" s="103" t="n">
        <f aca="false">SAMSUNG!F10</f>
        <v>200</v>
      </c>
      <c r="I9" s="104"/>
    </row>
    <row r="10" s="100" customFormat="true" ht="11.25" hidden="false" customHeight="true" outlineLevel="0" collapsed="false">
      <c r="A10" s="101" t="n">
        <v>1015</v>
      </c>
      <c r="B10" s="102" t="s">
        <v>33</v>
      </c>
      <c r="C10" s="103" t="n">
        <f aca="false">LG!F10</f>
        <v>80</v>
      </c>
      <c r="D10" s="104" t="n">
        <v>80</v>
      </c>
      <c r="E10" s="97"/>
      <c r="F10" s="109" t="n">
        <v>2012</v>
      </c>
      <c r="G10" s="112" t="s">
        <v>151</v>
      </c>
      <c r="H10" s="103" t="n">
        <f aca="false">SAMSUNG!F11</f>
        <v>160</v>
      </c>
      <c r="I10" s="104" t="n">
        <v>160</v>
      </c>
    </row>
    <row r="11" s="100" customFormat="true" ht="11.25" hidden="false" customHeight="true" outlineLevel="0" collapsed="false">
      <c r="A11" s="107" t="n">
        <v>1018</v>
      </c>
      <c r="B11" s="108" t="s">
        <v>35</v>
      </c>
      <c r="C11" s="103" t="n">
        <f aca="false">LG!F11</f>
        <v>80</v>
      </c>
      <c r="D11" s="104" t="n">
        <v>80</v>
      </c>
      <c r="E11" s="97"/>
      <c r="F11" s="105" t="n">
        <v>2013</v>
      </c>
      <c r="G11" s="113" t="s">
        <v>153</v>
      </c>
      <c r="H11" s="103" t="n">
        <f aca="false">SAMSUNG!F12</f>
        <v>250</v>
      </c>
      <c r="I11" s="104"/>
    </row>
    <row r="12" s="100" customFormat="true" ht="11.25" hidden="false" customHeight="true" outlineLevel="0" collapsed="false">
      <c r="A12" s="101" t="n">
        <v>1021</v>
      </c>
      <c r="B12" s="102" t="s">
        <v>37</v>
      </c>
      <c r="C12" s="103" t="n">
        <f aca="false">LG!F12</f>
        <v>120</v>
      </c>
      <c r="D12" s="104"/>
      <c r="E12" s="97"/>
      <c r="F12" s="109" t="n">
        <v>2015</v>
      </c>
      <c r="G12" s="110" t="s">
        <v>155</v>
      </c>
      <c r="H12" s="103" t="n">
        <f aca="false">SAMSUNG!F13</f>
        <v>160</v>
      </c>
      <c r="I12" s="104" t="n">
        <v>160</v>
      </c>
    </row>
    <row r="13" s="100" customFormat="true" ht="11.25" hidden="false" customHeight="true" outlineLevel="0" collapsed="false">
      <c r="A13" s="107" t="n">
        <v>1024</v>
      </c>
      <c r="B13" s="108" t="s">
        <v>38</v>
      </c>
      <c r="C13" s="103" t="n">
        <f aca="false">LG!F13</f>
        <v>100</v>
      </c>
      <c r="D13" s="104" t="n">
        <v>90</v>
      </c>
      <c r="E13" s="97"/>
      <c r="F13" s="105" t="n">
        <v>2018</v>
      </c>
      <c r="G13" s="106" t="s">
        <v>158</v>
      </c>
      <c r="H13" s="103" t="n">
        <f aca="false">SAMSUNG!F14</f>
        <v>160</v>
      </c>
      <c r="I13" s="104" t="n">
        <v>160</v>
      </c>
    </row>
    <row r="14" s="100" customFormat="true" ht="11.25" hidden="false" customHeight="true" outlineLevel="0" collapsed="false">
      <c r="A14" s="101" t="n">
        <v>1027</v>
      </c>
      <c r="B14" s="102" t="s">
        <v>40</v>
      </c>
      <c r="C14" s="103" t="n">
        <f aca="false">LG!F14</f>
        <v>120</v>
      </c>
      <c r="D14" s="104" t="n">
        <v>110</v>
      </c>
      <c r="E14" s="97"/>
      <c r="F14" s="109" t="n">
        <v>2021</v>
      </c>
      <c r="G14" s="110" t="s">
        <v>161</v>
      </c>
      <c r="H14" s="103" t="n">
        <f aca="false">SAMSUNG!F15</f>
        <v>260</v>
      </c>
      <c r="I14" s="104" t="n">
        <v>240</v>
      </c>
    </row>
    <row r="15" s="100" customFormat="true" ht="11.25" hidden="false" customHeight="true" outlineLevel="0" collapsed="false">
      <c r="A15" s="107" t="n">
        <v>1028</v>
      </c>
      <c r="B15" s="108" t="s">
        <v>42</v>
      </c>
      <c r="C15" s="103" t="n">
        <f aca="false">LG!F15</f>
        <v>90</v>
      </c>
      <c r="D15" s="104" t="n">
        <v>90</v>
      </c>
      <c r="E15" s="97"/>
      <c r="F15" s="105" t="n">
        <v>2024</v>
      </c>
      <c r="G15" s="106" t="s">
        <v>164</v>
      </c>
      <c r="H15" s="103" t="n">
        <f aca="false">SAMSUNG!F16</f>
        <v>180</v>
      </c>
      <c r="I15" s="104" t="n">
        <v>170</v>
      </c>
    </row>
    <row r="16" s="100" customFormat="true" ht="11.25" hidden="false" customHeight="true" outlineLevel="0" collapsed="false">
      <c r="A16" s="101" t="n">
        <v>1030</v>
      </c>
      <c r="B16" s="102" t="s">
        <v>43</v>
      </c>
      <c r="C16" s="103" t="n">
        <f aca="false">LG!F16</f>
        <v>200</v>
      </c>
      <c r="D16" s="104"/>
      <c r="E16" s="97"/>
      <c r="F16" s="105" t="n">
        <v>2025</v>
      </c>
      <c r="G16" s="57" t="s">
        <v>167</v>
      </c>
      <c r="H16" s="103" t="n">
        <f aca="false">SAMSUNG!F17</f>
        <v>200</v>
      </c>
      <c r="I16" s="104"/>
    </row>
    <row r="17" s="100" customFormat="true" ht="11.25" hidden="false" customHeight="true" outlineLevel="0" collapsed="false">
      <c r="A17" s="107" t="n">
        <v>1033</v>
      </c>
      <c r="B17" s="108" t="s">
        <v>45</v>
      </c>
      <c r="C17" s="103" t="n">
        <f aca="false">LG!F17</f>
        <v>180</v>
      </c>
      <c r="D17" s="104" t="n">
        <v>180</v>
      </c>
      <c r="E17" s="97"/>
      <c r="F17" s="109" t="n">
        <v>2027</v>
      </c>
      <c r="G17" s="110" t="s">
        <v>169</v>
      </c>
      <c r="H17" s="103" t="n">
        <f aca="false">SAMSUNG!F18</f>
        <v>180</v>
      </c>
      <c r="I17" s="104" t="n">
        <v>180</v>
      </c>
    </row>
    <row r="18" s="100" customFormat="true" ht="11.25" hidden="false" customHeight="true" outlineLevel="0" collapsed="false">
      <c r="A18" s="101" t="n">
        <v>1036</v>
      </c>
      <c r="B18" s="102" t="s">
        <v>47</v>
      </c>
      <c r="C18" s="103" t="n">
        <f aca="false">LG!F18</f>
        <v>180</v>
      </c>
      <c r="D18" s="104" t="n">
        <v>180</v>
      </c>
      <c r="E18" s="97"/>
      <c r="F18" s="105" t="n">
        <v>2029</v>
      </c>
      <c r="G18" s="106" t="s">
        <v>172</v>
      </c>
      <c r="H18" s="103" t="n">
        <f aca="false">SAMSUNG!F19</f>
        <v>220</v>
      </c>
      <c r="I18" s="104"/>
    </row>
    <row r="19" s="100" customFormat="true" ht="11.25" hidden="false" customHeight="true" outlineLevel="0" collapsed="false">
      <c r="A19" s="107" t="n">
        <v>1039</v>
      </c>
      <c r="B19" s="108" t="s">
        <v>49</v>
      </c>
      <c r="C19" s="103" t="n">
        <f aca="false">LG!F19</f>
        <v>200</v>
      </c>
      <c r="D19" s="104" t="n">
        <v>180</v>
      </c>
      <c r="E19" s="97"/>
      <c r="F19" s="109" t="n">
        <v>2030</v>
      </c>
      <c r="G19" s="110" t="s">
        <v>174</v>
      </c>
      <c r="H19" s="103" t="n">
        <f aca="false">SAMSUNG!F20</f>
        <v>150</v>
      </c>
      <c r="I19" s="104" t="n">
        <v>140</v>
      </c>
    </row>
    <row r="20" s="100" customFormat="true" ht="11.25" hidden="false" customHeight="true" outlineLevel="0" collapsed="false">
      <c r="A20" s="101" t="n">
        <v>1042</v>
      </c>
      <c r="B20" s="102" t="s">
        <v>51</v>
      </c>
      <c r="C20" s="103" t="n">
        <f aca="false">LG!F20</f>
        <v>250</v>
      </c>
      <c r="D20" s="104"/>
      <c r="E20" s="97"/>
      <c r="F20" s="105" t="n">
        <v>2033</v>
      </c>
      <c r="G20" s="106" t="s">
        <v>175</v>
      </c>
      <c r="H20" s="103" t="n">
        <f aca="false">SAMSUNG!F21</f>
        <v>350</v>
      </c>
      <c r="I20" s="104" t="n">
        <v>320</v>
      </c>
    </row>
    <row r="21" s="100" customFormat="true" ht="11.25" hidden="false" customHeight="true" outlineLevel="0" collapsed="false">
      <c r="A21" s="107" t="n">
        <v>1045</v>
      </c>
      <c r="B21" s="108" t="s">
        <v>53</v>
      </c>
      <c r="C21" s="103" t="n">
        <f aca="false">LG!F21</f>
        <v>140</v>
      </c>
      <c r="D21" s="104" t="n">
        <v>120</v>
      </c>
      <c r="E21" s="97"/>
      <c r="F21" s="109" t="n">
        <v>2036</v>
      </c>
      <c r="G21" s="110" t="s">
        <v>177</v>
      </c>
      <c r="H21" s="103" t="n">
        <f aca="false">SAMSUNG!F22</f>
        <v>220</v>
      </c>
      <c r="I21" s="104" t="n">
        <v>210</v>
      </c>
    </row>
    <row r="22" s="100" customFormat="true" ht="11.25" hidden="false" customHeight="true" outlineLevel="0" collapsed="false">
      <c r="A22" s="101" t="n">
        <v>1048</v>
      </c>
      <c r="B22" s="102" t="s">
        <v>55</v>
      </c>
      <c r="C22" s="103" t="n">
        <f aca="false">LG!F22</f>
        <v>180</v>
      </c>
      <c r="D22" s="104" t="n">
        <v>180</v>
      </c>
      <c r="E22" s="97"/>
      <c r="F22" s="105" t="n">
        <v>2039</v>
      </c>
      <c r="G22" s="105" t="s">
        <v>795</v>
      </c>
      <c r="H22" s="103" t="n">
        <f aca="false">SAMSUNG!F23</f>
        <v>280</v>
      </c>
      <c r="I22" s="104" t="n">
        <v>270</v>
      </c>
    </row>
    <row r="23" s="100" customFormat="true" ht="11.25" hidden="false" customHeight="true" outlineLevel="0" collapsed="false">
      <c r="A23" s="107" t="n">
        <v>1049</v>
      </c>
      <c r="B23" s="108" t="s">
        <v>56</v>
      </c>
      <c r="C23" s="103" t="n">
        <f aca="false">LG!F23</f>
        <v>180</v>
      </c>
      <c r="D23" s="104"/>
      <c r="E23" s="97"/>
      <c r="F23" s="109" t="n">
        <v>2040</v>
      </c>
      <c r="G23" s="109" t="s">
        <v>182</v>
      </c>
      <c r="H23" s="103" t="n">
        <f aca="false">SAMSUNG!F24</f>
        <v>360</v>
      </c>
      <c r="I23" s="104" t="n">
        <v>360</v>
      </c>
    </row>
    <row r="24" s="100" customFormat="true" ht="11.25" hidden="false" customHeight="true" outlineLevel="0" collapsed="false">
      <c r="A24" s="101" t="n">
        <v>1057</v>
      </c>
      <c r="B24" s="102" t="s">
        <v>58</v>
      </c>
      <c r="C24" s="103" t="n">
        <f aca="false">LG!F24</f>
        <v>180</v>
      </c>
      <c r="D24" s="104" t="n">
        <v>150</v>
      </c>
      <c r="E24" s="97"/>
      <c r="F24" s="105" t="n">
        <v>2042</v>
      </c>
      <c r="G24" s="106" t="s">
        <v>184</v>
      </c>
      <c r="H24" s="103" t="n">
        <f aca="false">SAMSUNG!F25</f>
        <v>260</v>
      </c>
      <c r="I24" s="104" t="n">
        <v>260</v>
      </c>
    </row>
    <row r="25" s="100" customFormat="true" ht="11.25" hidden="false" customHeight="true" outlineLevel="0" collapsed="false">
      <c r="A25" s="107" t="n">
        <v>1060</v>
      </c>
      <c r="B25" s="108" t="s">
        <v>59</v>
      </c>
      <c r="C25" s="103" t="n">
        <f aca="false">LG!F25</f>
        <v>180</v>
      </c>
      <c r="D25" s="104" t="n">
        <v>180</v>
      </c>
      <c r="E25" s="97"/>
      <c r="F25" s="109" t="n">
        <v>2045</v>
      </c>
      <c r="G25" s="110" t="s">
        <v>186</v>
      </c>
      <c r="H25" s="103" t="n">
        <f aca="false">SAMSUNG!F26</f>
        <v>400</v>
      </c>
      <c r="I25" s="104"/>
    </row>
    <row r="26" s="100" customFormat="true" ht="11.25" hidden="false" customHeight="true" outlineLevel="0" collapsed="false">
      <c r="A26" s="101" t="n">
        <v>1063</v>
      </c>
      <c r="B26" s="102" t="s">
        <v>61</v>
      </c>
      <c r="C26" s="103" t="n">
        <f aca="false">LG!F26</f>
        <v>180</v>
      </c>
      <c r="D26" s="104" t="n">
        <v>180</v>
      </c>
      <c r="E26" s="97"/>
      <c r="F26" s="105" t="n">
        <v>2048</v>
      </c>
      <c r="G26" s="106" t="s">
        <v>188</v>
      </c>
      <c r="H26" s="103" t="n">
        <f aca="false">SAMSUNG!F27</f>
        <v>180</v>
      </c>
      <c r="I26" s="104" t="n">
        <v>160</v>
      </c>
    </row>
    <row r="27" s="100" customFormat="true" ht="11.25" hidden="false" customHeight="true" outlineLevel="0" collapsed="false">
      <c r="A27" s="107" t="n">
        <v>1064</v>
      </c>
      <c r="B27" s="108" t="s">
        <v>63</v>
      </c>
      <c r="C27" s="103" t="n">
        <f aca="false">LG!F26</f>
        <v>180</v>
      </c>
      <c r="D27" s="104" t="n">
        <v>170</v>
      </c>
      <c r="E27" s="97"/>
      <c r="F27" s="109" t="n">
        <v>2051</v>
      </c>
      <c r="G27" s="110" t="s">
        <v>190</v>
      </c>
      <c r="H27" s="103" t="n">
        <f aca="false">SAMSUNG!F28</f>
        <v>260</v>
      </c>
      <c r="I27" s="104" t="n">
        <v>260</v>
      </c>
    </row>
    <row r="28" s="100" customFormat="true" ht="11.25" hidden="false" customHeight="true" outlineLevel="0" collapsed="false">
      <c r="A28" s="107" t="n">
        <v>1065</v>
      </c>
      <c r="B28" s="114" t="s">
        <v>65</v>
      </c>
      <c r="C28" s="103" t="n">
        <f aca="false">LG!F27</f>
        <v>180</v>
      </c>
      <c r="D28" s="104"/>
      <c r="E28" s="97"/>
      <c r="F28" s="105" t="n">
        <v>2054</v>
      </c>
      <c r="G28" s="106" t="s">
        <v>192</v>
      </c>
      <c r="H28" s="103" t="n">
        <f aca="false">SAMSUNG!F29</f>
        <v>280</v>
      </c>
      <c r="I28" s="104" t="n">
        <v>280</v>
      </c>
    </row>
    <row r="29" s="100" customFormat="true" ht="11.25" hidden="false" customHeight="true" outlineLevel="0" collapsed="false">
      <c r="A29" s="101" t="n">
        <v>1066</v>
      </c>
      <c r="B29" s="102" t="s">
        <v>67</v>
      </c>
      <c r="C29" s="103" t="n">
        <f aca="false">LG!F29</f>
        <v>240</v>
      </c>
      <c r="D29" s="104" t="n">
        <v>230</v>
      </c>
      <c r="E29" s="97"/>
      <c r="F29" s="109" t="n">
        <v>2057</v>
      </c>
      <c r="G29" s="110" t="s">
        <v>194</v>
      </c>
      <c r="H29" s="103" t="n">
        <f aca="false">SAMSUNG!F30</f>
        <v>400</v>
      </c>
      <c r="I29" s="104" t="n">
        <v>390</v>
      </c>
    </row>
    <row r="30" s="100" customFormat="true" ht="11.25" hidden="false" customHeight="true" outlineLevel="0" collapsed="false">
      <c r="A30" s="107" t="n">
        <v>1067</v>
      </c>
      <c r="B30" s="108" t="s">
        <v>69</v>
      </c>
      <c r="C30" s="103" t="n">
        <f aca="false">LG!F30</f>
        <v>250</v>
      </c>
      <c r="D30" s="104"/>
      <c r="E30" s="97"/>
      <c r="F30" s="105" t="n">
        <v>2060</v>
      </c>
      <c r="G30" s="115" t="s">
        <v>196</v>
      </c>
      <c r="H30" s="103" t="n">
        <f aca="false">SAMSUNG!F31</f>
        <v>300</v>
      </c>
      <c r="I30" s="104" t="n">
        <v>290</v>
      </c>
    </row>
    <row r="31" s="100" customFormat="true" ht="11.25" hidden="false" customHeight="true" outlineLevel="0" collapsed="false">
      <c r="A31" s="101" t="n">
        <v>1069</v>
      </c>
      <c r="B31" s="102" t="s">
        <v>71</v>
      </c>
      <c r="C31" s="103" t="n">
        <f aca="false">LG!F31</f>
        <v>250</v>
      </c>
      <c r="D31" s="104" t="n">
        <v>260</v>
      </c>
      <c r="E31" s="97"/>
      <c r="F31" s="109" t="n">
        <v>2063</v>
      </c>
      <c r="G31" s="110" t="s">
        <v>198</v>
      </c>
      <c r="H31" s="103" t="n">
        <f aca="false">SAMSUNG!F32</f>
        <v>180</v>
      </c>
      <c r="I31" s="104" t="n">
        <v>170</v>
      </c>
    </row>
    <row r="32" s="100" customFormat="true" ht="11.25" hidden="false" customHeight="true" outlineLevel="0" collapsed="false">
      <c r="A32" s="107" t="n">
        <v>1072</v>
      </c>
      <c r="B32" s="108" t="s">
        <v>73</v>
      </c>
      <c r="C32" s="103" t="n">
        <f aca="false">LG!F32</f>
        <v>200</v>
      </c>
      <c r="D32" s="104" t="n">
        <v>190</v>
      </c>
      <c r="E32" s="97"/>
      <c r="F32" s="105" t="n">
        <v>2064</v>
      </c>
      <c r="G32" s="106" t="s">
        <v>201</v>
      </c>
      <c r="H32" s="103" t="n">
        <f aca="false">SAMSUNG!F33</f>
        <v>250</v>
      </c>
      <c r="I32" s="104" t="n">
        <v>250</v>
      </c>
    </row>
    <row r="33" s="100" customFormat="true" ht="11.25" hidden="false" customHeight="true" outlineLevel="0" collapsed="false">
      <c r="A33" s="101" t="n">
        <v>1073</v>
      </c>
      <c r="B33" s="102" t="s">
        <v>75</v>
      </c>
      <c r="C33" s="103" t="n">
        <f aca="false">LG!F33</f>
        <v>250</v>
      </c>
      <c r="D33" s="104"/>
      <c r="E33" s="97"/>
      <c r="F33" s="109" t="n">
        <v>2065</v>
      </c>
      <c r="G33" s="110" t="s">
        <v>204</v>
      </c>
      <c r="H33" s="103" t="n">
        <f aca="false">SAMSUNG!F34</f>
        <v>220</v>
      </c>
      <c r="I33" s="104" t="n">
        <v>220</v>
      </c>
    </row>
    <row r="34" s="100" customFormat="true" ht="11.25" hidden="false" customHeight="true" outlineLevel="0" collapsed="false">
      <c r="A34" s="107" t="n">
        <v>1075</v>
      </c>
      <c r="B34" s="108" t="s">
        <v>76</v>
      </c>
      <c r="C34" s="103" t="n">
        <f aca="false">LG!F34</f>
        <v>240</v>
      </c>
      <c r="D34" s="104" t="n">
        <v>240</v>
      </c>
      <c r="E34" s="97"/>
      <c r="F34" s="105" t="n">
        <v>2066</v>
      </c>
      <c r="G34" s="106" t="s">
        <v>206</v>
      </c>
      <c r="H34" s="103" t="n">
        <f aca="false">SAMSUNG!F35</f>
        <v>300</v>
      </c>
      <c r="I34" s="104"/>
    </row>
    <row r="35" s="100" customFormat="true" ht="11.25" hidden="false" customHeight="true" outlineLevel="0" collapsed="false">
      <c r="A35" s="101" t="n">
        <v>1076</v>
      </c>
      <c r="B35" s="102" t="s">
        <v>78</v>
      </c>
      <c r="C35" s="103" t="n">
        <f aca="false">LG!F35</f>
        <v>250</v>
      </c>
      <c r="D35" s="104"/>
      <c r="E35" s="97"/>
      <c r="F35" s="109" t="n">
        <v>2067</v>
      </c>
      <c r="G35" s="110" t="s">
        <v>208</v>
      </c>
      <c r="H35" s="103" t="n">
        <f aca="false">SAMSUNG!F36</f>
        <v>400</v>
      </c>
      <c r="I35" s="104"/>
    </row>
    <row r="36" s="100" customFormat="true" ht="11.25" hidden="false" customHeight="true" outlineLevel="0" collapsed="false">
      <c r="A36" s="107" t="n">
        <v>1078</v>
      </c>
      <c r="B36" s="108" t="s">
        <v>79</v>
      </c>
      <c r="C36" s="103" t="n">
        <f aca="false">LG!F36</f>
        <v>280</v>
      </c>
      <c r="D36" s="104" t="n">
        <v>300</v>
      </c>
      <c r="E36" s="97"/>
      <c r="F36" s="105" t="n">
        <v>2069</v>
      </c>
      <c r="G36" s="106" t="s">
        <v>210</v>
      </c>
      <c r="H36" s="103" t="n">
        <f aca="false">SAMSUNG!F37</f>
        <v>420</v>
      </c>
      <c r="I36" s="104" t="n">
        <v>480</v>
      </c>
    </row>
    <row r="37" s="100" customFormat="true" ht="11.25" hidden="false" customHeight="true" outlineLevel="0" collapsed="false">
      <c r="A37" s="101" t="n">
        <v>1081</v>
      </c>
      <c r="B37" s="102" t="s">
        <v>81</v>
      </c>
      <c r="C37" s="103" t="n">
        <f aca="false">LG!F37</f>
        <v>200</v>
      </c>
      <c r="D37" s="104" t="n">
        <v>200</v>
      </c>
      <c r="E37" s="97"/>
      <c r="F37" s="109" t="n">
        <v>2070</v>
      </c>
      <c r="G37" s="110" t="s">
        <v>213</v>
      </c>
      <c r="H37" s="103" t="n">
        <f aca="false">SAMSUNG!F38</f>
        <v>700</v>
      </c>
      <c r="I37" s="104"/>
    </row>
    <row r="38" s="100" customFormat="true" ht="11.25" hidden="false" customHeight="true" outlineLevel="0" collapsed="false">
      <c r="A38" s="107" t="n">
        <v>1084</v>
      </c>
      <c r="B38" s="108" t="s">
        <v>82</v>
      </c>
      <c r="C38" s="103" t="n">
        <f aca="false">LG!F38</f>
        <v>250</v>
      </c>
      <c r="D38" s="104" t="n">
        <v>240</v>
      </c>
      <c r="E38" s="97"/>
      <c r="F38" s="105" t="n">
        <v>2072</v>
      </c>
      <c r="G38" s="106" t="s">
        <v>796</v>
      </c>
      <c r="H38" s="103" t="n">
        <f aca="false">SAMSUNG!F39</f>
        <v>480</v>
      </c>
      <c r="I38" s="104" t="n">
        <v>430</v>
      </c>
    </row>
    <row r="39" s="100" customFormat="true" ht="11.25" hidden="false" customHeight="true" outlineLevel="0" collapsed="false">
      <c r="A39" s="101" t="n">
        <v>1087</v>
      </c>
      <c r="B39" s="102" t="s">
        <v>83</v>
      </c>
      <c r="C39" s="103" t="n">
        <f aca="false">LG!F39</f>
        <v>220</v>
      </c>
      <c r="D39" s="104" t="n">
        <v>210</v>
      </c>
      <c r="E39" s="97"/>
      <c r="F39" s="109" t="n">
        <v>2075</v>
      </c>
      <c r="G39" s="110" t="s">
        <v>217</v>
      </c>
      <c r="H39" s="103" t="n">
        <f aca="false">SAMSUNG!F40</f>
        <v>200</v>
      </c>
      <c r="I39" s="104" t="n">
        <v>190</v>
      </c>
    </row>
    <row r="40" s="100" customFormat="true" ht="11.25" hidden="false" customHeight="true" outlineLevel="0" collapsed="false">
      <c r="A40" s="107" t="n">
        <v>1090</v>
      </c>
      <c r="B40" s="108" t="s">
        <v>85</v>
      </c>
      <c r="C40" s="103" t="n">
        <f aca="false">LG!F40</f>
        <v>250</v>
      </c>
      <c r="D40" s="104"/>
      <c r="E40" s="97"/>
      <c r="F40" s="105" t="n">
        <v>2078</v>
      </c>
      <c r="G40" s="106" t="s">
        <v>220</v>
      </c>
      <c r="H40" s="103" t="n">
        <f aca="false">SAMSUNG!F41</f>
        <v>250</v>
      </c>
      <c r="I40" s="104" t="n">
        <v>230</v>
      </c>
    </row>
    <row r="41" s="100" customFormat="true" ht="11.25" hidden="false" customHeight="true" outlineLevel="0" collapsed="false">
      <c r="A41" s="101" t="n">
        <v>1094</v>
      </c>
      <c r="B41" s="102" t="s">
        <v>87</v>
      </c>
      <c r="C41" s="103" t="n">
        <f aca="false">LG!F41</f>
        <v>250</v>
      </c>
      <c r="D41" s="104" t="n">
        <v>240</v>
      </c>
      <c r="E41" s="97"/>
      <c r="F41" s="109" t="n">
        <v>2079</v>
      </c>
      <c r="G41" s="110" t="s">
        <v>223</v>
      </c>
      <c r="H41" s="103" t="n">
        <f aca="false">SAMSUNG!F42</f>
        <v>450</v>
      </c>
      <c r="I41" s="104"/>
    </row>
    <row r="42" s="100" customFormat="true" ht="11.25" hidden="false" customHeight="true" outlineLevel="0" collapsed="false">
      <c r="A42" s="107" t="n">
        <v>1096</v>
      </c>
      <c r="B42" s="108" t="s">
        <v>89</v>
      </c>
      <c r="C42" s="103" t="n">
        <f aca="false">LG!F42</f>
        <v>260</v>
      </c>
      <c r="D42" s="104"/>
      <c r="E42" s="97"/>
      <c r="F42" s="105" t="n">
        <v>2081</v>
      </c>
      <c r="G42" s="106" t="s">
        <v>226</v>
      </c>
      <c r="H42" s="103" t="n">
        <f aca="false">SAMSUNG!F43</f>
        <v>420</v>
      </c>
      <c r="I42" s="104" t="n">
        <v>400</v>
      </c>
    </row>
    <row r="43" s="100" customFormat="true" ht="11.25" hidden="false" customHeight="true" outlineLevel="0" collapsed="false">
      <c r="A43" s="101" t="n">
        <v>1099</v>
      </c>
      <c r="B43" s="102" t="s">
        <v>90</v>
      </c>
      <c r="C43" s="103" t="n">
        <f aca="false">LG!F43</f>
        <v>220</v>
      </c>
      <c r="D43" s="104" t="n">
        <v>220</v>
      </c>
      <c r="E43" s="97"/>
      <c r="F43" s="109" t="n">
        <v>2082</v>
      </c>
      <c r="G43" s="110" t="s">
        <v>228</v>
      </c>
      <c r="H43" s="103" t="n">
        <f aca="false">SAMSUNG!F44</f>
        <v>400</v>
      </c>
      <c r="I43" s="104"/>
    </row>
    <row r="44" s="100" customFormat="true" ht="11.25" hidden="false" customHeight="true" outlineLevel="0" collapsed="false">
      <c r="A44" s="107" t="n">
        <v>1102</v>
      </c>
      <c r="B44" s="108" t="s">
        <v>92</v>
      </c>
      <c r="C44" s="103" t="n">
        <f aca="false">LG!F44</f>
        <v>280</v>
      </c>
      <c r="D44" s="104" t="n">
        <v>270</v>
      </c>
      <c r="E44" s="97"/>
      <c r="F44" s="105" t="n">
        <v>2084</v>
      </c>
      <c r="G44" s="106" t="s">
        <v>229</v>
      </c>
      <c r="H44" s="103" t="n">
        <f aca="false">SAMSUNG!F45</f>
        <v>300</v>
      </c>
      <c r="I44" s="104" t="n">
        <v>280</v>
      </c>
    </row>
    <row r="45" s="100" customFormat="true" ht="11.25" hidden="false" customHeight="true" outlineLevel="0" collapsed="false">
      <c r="A45" s="101" t="n">
        <v>1105</v>
      </c>
      <c r="B45" s="102" t="s">
        <v>94</v>
      </c>
      <c r="C45" s="103" t="n">
        <f aca="false">LG!F45</f>
        <v>300</v>
      </c>
      <c r="D45" s="104" t="n">
        <v>300</v>
      </c>
      <c r="E45" s="97"/>
      <c r="F45" s="109" t="n">
        <v>2085</v>
      </c>
      <c r="G45" s="110" t="s">
        <v>230</v>
      </c>
      <c r="H45" s="103" t="n">
        <f aca="false">SAMSUNG!F46</f>
        <v>450</v>
      </c>
      <c r="I45" s="104"/>
    </row>
    <row r="46" s="100" customFormat="true" ht="11.25" hidden="false" customHeight="true" outlineLevel="0" collapsed="false">
      <c r="A46" s="107" t="n">
        <v>1108</v>
      </c>
      <c r="B46" s="108" t="s">
        <v>96</v>
      </c>
      <c r="C46" s="103" t="n">
        <f aca="false">LG!F46</f>
        <v>300</v>
      </c>
      <c r="D46" s="104"/>
      <c r="E46" s="97"/>
      <c r="F46" s="105" t="n">
        <v>2087</v>
      </c>
      <c r="G46" s="106" t="s">
        <v>232</v>
      </c>
      <c r="H46" s="103" t="n">
        <f aca="false">SAMSUNG!F47</f>
        <v>240</v>
      </c>
      <c r="I46" s="104" t="n">
        <v>230</v>
      </c>
    </row>
    <row r="47" s="100" customFormat="true" ht="11.25" hidden="false" customHeight="true" outlineLevel="0" collapsed="false">
      <c r="A47" s="101" t="n">
        <v>1111</v>
      </c>
      <c r="B47" s="102" t="s">
        <v>98</v>
      </c>
      <c r="C47" s="103" t="n">
        <f aca="false">LG!F47</f>
        <v>280</v>
      </c>
      <c r="D47" s="104" t="n">
        <v>240</v>
      </c>
      <c r="E47" s="97"/>
      <c r="F47" s="109" t="n">
        <v>2088</v>
      </c>
      <c r="G47" s="110" t="s">
        <v>235</v>
      </c>
      <c r="H47" s="103" t="n">
        <f aca="false">SAMSUNG!F48</f>
        <v>420</v>
      </c>
      <c r="I47" s="104"/>
    </row>
    <row r="48" s="100" customFormat="true" ht="11.25" hidden="false" customHeight="true" outlineLevel="0" collapsed="false">
      <c r="A48" s="107" t="n">
        <v>1112</v>
      </c>
      <c r="B48" s="108" t="s">
        <v>100</v>
      </c>
      <c r="C48" s="103" t="n">
        <f aca="false">LG!F48</f>
        <v>400</v>
      </c>
      <c r="D48" s="104"/>
      <c r="E48" s="97"/>
      <c r="F48" s="105" t="n">
        <v>2089</v>
      </c>
      <c r="G48" s="106" t="s">
        <v>236</v>
      </c>
      <c r="H48" s="103" t="n">
        <f aca="false">SAMSUNG!F49</f>
        <v>320</v>
      </c>
      <c r="I48" s="104" t="n">
        <v>320</v>
      </c>
    </row>
    <row r="49" s="100" customFormat="true" ht="11.25" hidden="false" customHeight="true" outlineLevel="0" collapsed="false">
      <c r="A49" s="101" t="n">
        <v>1114</v>
      </c>
      <c r="B49" s="102" t="s">
        <v>102</v>
      </c>
      <c r="C49" s="103" t="n">
        <f aca="false">LG!F49</f>
        <v>280</v>
      </c>
      <c r="D49" s="104" t="n">
        <v>240</v>
      </c>
      <c r="E49" s="97"/>
      <c r="F49" s="109" t="n">
        <v>2090</v>
      </c>
      <c r="G49" s="110" t="s">
        <v>238</v>
      </c>
      <c r="H49" s="103" t="n">
        <f aca="false">SAMSUNG!F50</f>
        <v>350</v>
      </c>
      <c r="I49" s="104" t="n">
        <v>340</v>
      </c>
    </row>
    <row r="50" s="100" customFormat="true" ht="11.25" hidden="false" customHeight="true" outlineLevel="0" collapsed="false">
      <c r="A50" s="107" t="n">
        <v>1117</v>
      </c>
      <c r="B50" s="108" t="s">
        <v>104</v>
      </c>
      <c r="C50" s="103" t="n">
        <f aca="false">LG!F50</f>
        <v>350</v>
      </c>
      <c r="D50" s="104" t="n">
        <v>350</v>
      </c>
      <c r="E50" s="97"/>
      <c r="F50" s="105" t="n">
        <v>2092</v>
      </c>
      <c r="G50" s="106" t="s">
        <v>240</v>
      </c>
      <c r="H50" s="103" t="n">
        <f aca="false">SAMSUNG!F51</f>
        <v>400</v>
      </c>
      <c r="I50" s="104"/>
    </row>
    <row r="51" s="100" customFormat="true" ht="11.25" hidden="false" customHeight="true" outlineLevel="0" collapsed="false">
      <c r="A51" s="101" t="n">
        <v>1120</v>
      </c>
      <c r="B51" s="102" t="s">
        <v>106</v>
      </c>
      <c r="C51" s="103" t="n">
        <f aca="false">LG!F51</f>
        <v>220</v>
      </c>
      <c r="D51" s="104" t="n">
        <v>220</v>
      </c>
      <c r="E51" s="97"/>
      <c r="F51" s="109" t="n">
        <v>2093</v>
      </c>
      <c r="G51" s="110" t="s">
        <v>242</v>
      </c>
      <c r="H51" s="103" t="n">
        <f aca="false">SAMSUNG!F52</f>
        <v>400</v>
      </c>
      <c r="I51" s="104" t="n">
        <v>400</v>
      </c>
    </row>
    <row r="52" s="100" customFormat="true" ht="11.25" hidden="false" customHeight="true" outlineLevel="0" collapsed="false">
      <c r="A52" s="107" t="n">
        <v>1121</v>
      </c>
      <c r="B52" s="108" t="s">
        <v>108</v>
      </c>
      <c r="C52" s="103" t="n">
        <f aca="false">LG!F52</f>
        <v>300</v>
      </c>
      <c r="D52" s="104"/>
      <c r="E52" s="97"/>
      <c r="F52" s="105" t="n">
        <v>2094</v>
      </c>
      <c r="G52" s="106" t="s">
        <v>244</v>
      </c>
      <c r="H52" s="103" t="n">
        <f aca="false">SAMSUNG!F53</f>
        <v>500</v>
      </c>
      <c r="I52" s="104" t="n">
        <v>450</v>
      </c>
    </row>
    <row r="53" s="100" customFormat="true" ht="11.25" hidden="false" customHeight="true" outlineLevel="0" collapsed="false">
      <c r="A53" s="101" t="n">
        <v>1123</v>
      </c>
      <c r="B53" s="102" t="s">
        <v>109</v>
      </c>
      <c r="C53" s="103" t="n">
        <f aca="false">LG!F53</f>
        <v>320</v>
      </c>
      <c r="D53" s="104"/>
      <c r="E53" s="97"/>
      <c r="F53" s="109" t="n">
        <v>2095</v>
      </c>
      <c r="G53" s="110" t="s">
        <v>246</v>
      </c>
      <c r="H53" s="103" t="n">
        <f aca="false">SAMSUNG!F54</f>
        <v>250</v>
      </c>
      <c r="I53" s="104" t="n">
        <v>250</v>
      </c>
    </row>
    <row r="54" s="100" customFormat="true" ht="11.25" hidden="false" customHeight="true" outlineLevel="0" collapsed="false">
      <c r="A54" s="107" t="n">
        <v>1126</v>
      </c>
      <c r="B54" s="108" t="s">
        <v>110</v>
      </c>
      <c r="C54" s="103" t="n">
        <f aca="false">LG!F54</f>
        <v>260</v>
      </c>
      <c r="D54" s="104" t="n">
        <v>240</v>
      </c>
      <c r="E54" s="97"/>
      <c r="F54" s="105" t="n">
        <v>2096</v>
      </c>
      <c r="G54" s="106" t="s">
        <v>248</v>
      </c>
      <c r="H54" s="103" t="n">
        <f aca="false">SAMSUNG!F55</f>
        <v>550</v>
      </c>
      <c r="I54" s="104"/>
    </row>
    <row r="55" s="100" customFormat="true" ht="11.25" hidden="false" customHeight="true" outlineLevel="0" collapsed="false">
      <c r="A55" s="101" t="n">
        <v>1129</v>
      </c>
      <c r="B55" s="102" t="s">
        <v>112</v>
      </c>
      <c r="C55" s="103" t="n">
        <f aca="false">LG!F55</f>
        <v>260</v>
      </c>
      <c r="D55" s="104" t="n">
        <v>240</v>
      </c>
      <c r="E55" s="97"/>
      <c r="F55" s="109" t="n">
        <v>2097</v>
      </c>
      <c r="G55" s="110" t="s">
        <v>250</v>
      </c>
      <c r="H55" s="103" t="n">
        <f aca="false">SAMSUNG!F56</f>
        <v>320</v>
      </c>
      <c r="I55" s="104" t="n">
        <v>290</v>
      </c>
    </row>
    <row r="56" s="100" customFormat="true" ht="11.25" hidden="false" customHeight="true" outlineLevel="0" collapsed="false">
      <c r="A56" s="107" t="n">
        <v>1132</v>
      </c>
      <c r="B56" s="108" t="s">
        <v>114</v>
      </c>
      <c r="C56" s="103" t="n">
        <f aca="false">LG!F56</f>
        <v>260</v>
      </c>
      <c r="D56" s="104" t="n">
        <v>240</v>
      </c>
      <c r="E56" s="97"/>
      <c r="F56" s="105" t="n">
        <v>2106</v>
      </c>
      <c r="G56" s="106" t="s">
        <v>252</v>
      </c>
      <c r="H56" s="103" t="n">
        <f aca="false">SAMSUNG!F57</f>
        <v>800</v>
      </c>
      <c r="I56" s="104"/>
    </row>
    <row r="57" s="100" customFormat="true" ht="11.25" hidden="false" customHeight="true" outlineLevel="0" collapsed="false">
      <c r="A57" s="101" t="n">
        <v>1135</v>
      </c>
      <c r="B57" s="102" t="s">
        <v>116</v>
      </c>
      <c r="C57" s="103" t="n">
        <f aca="false">LG!F57</f>
        <v>380</v>
      </c>
      <c r="D57" s="104" t="n">
        <v>320</v>
      </c>
      <c r="E57" s="97"/>
      <c r="F57" s="109" t="n">
        <v>2091</v>
      </c>
      <c r="G57" s="110" t="s">
        <v>254</v>
      </c>
      <c r="H57" s="103" t="n">
        <f aca="false">SAMSUNG!F58</f>
        <v>700</v>
      </c>
      <c r="I57" s="104"/>
    </row>
    <row r="58" s="100" customFormat="true" ht="11.25" hidden="false" customHeight="true" outlineLevel="0" collapsed="false">
      <c r="A58" s="107" t="n">
        <v>1138</v>
      </c>
      <c r="B58" s="108" t="s">
        <v>118</v>
      </c>
      <c r="C58" s="103" t="n">
        <f aca="false">LG!F58</f>
        <v>280</v>
      </c>
      <c r="D58" s="104" t="n">
        <v>240</v>
      </c>
      <c r="E58" s="97"/>
      <c r="F58" s="105" t="n">
        <v>2086</v>
      </c>
      <c r="G58" s="106" t="s">
        <v>256</v>
      </c>
      <c r="H58" s="103" t="n">
        <f aca="false">SAMSUNG!F59</f>
        <v>420</v>
      </c>
      <c r="I58" s="104"/>
    </row>
    <row r="59" s="100" customFormat="true" ht="11.25" hidden="false" customHeight="true" outlineLevel="0" collapsed="false">
      <c r="A59" s="101" t="n">
        <v>1139</v>
      </c>
      <c r="B59" s="102" t="s">
        <v>120</v>
      </c>
      <c r="C59" s="103" t="n">
        <f aca="false">LG!F59</f>
        <v>320</v>
      </c>
      <c r="D59" s="104" t="n">
        <v>390</v>
      </c>
      <c r="E59" s="97"/>
      <c r="F59" s="109" t="n">
        <v>2098</v>
      </c>
      <c r="G59" s="110" t="s">
        <v>258</v>
      </c>
      <c r="H59" s="103" t="n">
        <f aca="false">SAMSUNG!F60</f>
        <v>700</v>
      </c>
      <c r="I59" s="104"/>
    </row>
    <row r="60" s="100" customFormat="true" ht="11.25" hidden="false" customHeight="true" outlineLevel="0" collapsed="false">
      <c r="A60" s="107" t="n">
        <v>1141</v>
      </c>
      <c r="B60" s="108" t="s">
        <v>122</v>
      </c>
      <c r="C60" s="103" t="n">
        <f aca="false">LG!F60</f>
        <v>450</v>
      </c>
      <c r="D60" s="104" t="n">
        <v>420</v>
      </c>
      <c r="E60" s="97"/>
      <c r="F60" s="105" t="n">
        <v>2099</v>
      </c>
      <c r="G60" s="106" t="s">
        <v>260</v>
      </c>
      <c r="H60" s="103" t="n">
        <f aca="false">SAMSUNG!F61</f>
        <v>260</v>
      </c>
      <c r="I60" s="104" t="n">
        <v>250</v>
      </c>
    </row>
    <row r="61" s="100" customFormat="true" ht="11.25" hidden="false" customHeight="true" outlineLevel="0" collapsed="false">
      <c r="A61" s="101" t="n">
        <v>1144</v>
      </c>
      <c r="B61" s="102" t="s">
        <v>124</v>
      </c>
      <c r="C61" s="103" t="n">
        <f aca="false">LG!F61</f>
        <v>400</v>
      </c>
      <c r="D61" s="104" t="n">
        <v>370</v>
      </c>
      <c r="E61" s="97"/>
      <c r="F61" s="109" t="n">
        <v>2100</v>
      </c>
      <c r="G61" s="110" t="s">
        <v>262</v>
      </c>
      <c r="H61" s="103" t="n">
        <f aca="false">SAMSUNG!F62</f>
        <v>460</v>
      </c>
      <c r="I61" s="104" t="n">
        <v>460</v>
      </c>
    </row>
    <row r="62" s="100" customFormat="true" ht="11.25" hidden="false" customHeight="true" outlineLevel="0" collapsed="false">
      <c r="A62" s="107" t="n">
        <v>1147</v>
      </c>
      <c r="B62" s="108" t="s">
        <v>126</v>
      </c>
      <c r="C62" s="103" t="n">
        <f aca="false">LG!F62</f>
        <v>420</v>
      </c>
      <c r="D62" s="104" t="n">
        <v>380</v>
      </c>
      <c r="E62" s="97"/>
      <c r="F62" s="105" t="n">
        <v>2101</v>
      </c>
      <c r="G62" s="106" t="s">
        <v>264</v>
      </c>
      <c r="H62" s="103" t="n">
        <f aca="false">SAMSUNG!F63</f>
        <v>400</v>
      </c>
      <c r="I62" s="104"/>
    </row>
    <row r="63" s="100" customFormat="true" ht="11.25" hidden="false" customHeight="true" outlineLevel="0" collapsed="false">
      <c r="A63" s="101" t="n">
        <v>1148</v>
      </c>
      <c r="B63" s="102" t="s">
        <v>128</v>
      </c>
      <c r="C63" s="103" t="n">
        <f aca="false">LG!F63</f>
        <v>500</v>
      </c>
      <c r="D63" s="104"/>
      <c r="E63" s="97"/>
      <c r="F63" s="109" t="n">
        <v>2102</v>
      </c>
      <c r="G63" s="110" t="s">
        <v>797</v>
      </c>
      <c r="H63" s="103" t="n">
        <f aca="false">SAMSUNG!F64</f>
        <v>1300</v>
      </c>
      <c r="I63" s="104" t="n">
        <v>1280</v>
      </c>
    </row>
    <row r="64" s="100" customFormat="true" ht="11.25" hidden="false" customHeight="true" outlineLevel="0" collapsed="false">
      <c r="A64" s="107" t="n">
        <v>1149</v>
      </c>
      <c r="B64" s="108" t="s">
        <v>130</v>
      </c>
      <c r="C64" s="103" t="n">
        <f aca="false">LG!F64</f>
        <v>500</v>
      </c>
      <c r="D64" s="104"/>
      <c r="E64" s="97"/>
      <c r="F64" s="105" t="n">
        <v>2103</v>
      </c>
      <c r="G64" s="106" t="s">
        <v>266</v>
      </c>
      <c r="H64" s="103" t="n">
        <f aca="false">SAMSUNG!F65</f>
        <v>600</v>
      </c>
      <c r="I64" s="104"/>
    </row>
    <row r="65" s="100" customFormat="true" ht="11.25" hidden="false" customHeight="true" outlineLevel="0" collapsed="false">
      <c r="A65" s="101" t="n">
        <v>1150</v>
      </c>
      <c r="B65" s="102" t="s">
        <v>131</v>
      </c>
      <c r="C65" s="103" t="n">
        <f aca="false">LG!F65</f>
        <v>450</v>
      </c>
      <c r="D65" s="104" t="n">
        <v>430</v>
      </c>
      <c r="E65" s="97"/>
      <c r="F65" s="109" t="n">
        <v>2107</v>
      </c>
      <c r="G65" s="110" t="s">
        <v>268</v>
      </c>
      <c r="H65" s="103" t="n">
        <f aca="false">SAMSUNG!F66</f>
        <v>400</v>
      </c>
      <c r="I65" s="104" t="n">
        <v>380</v>
      </c>
    </row>
    <row r="66" s="100" customFormat="true" ht="12.75" hidden="false" customHeight="true" outlineLevel="0" collapsed="false">
      <c r="A66" s="107" t="n">
        <v>1153</v>
      </c>
      <c r="B66" s="108" t="s">
        <v>133</v>
      </c>
      <c r="C66" s="103" t="n">
        <f aca="false">LG!F66</f>
        <v>1200</v>
      </c>
      <c r="D66" s="104"/>
      <c r="F66" s="105" t="n">
        <v>2104</v>
      </c>
      <c r="G66" s="106" t="s">
        <v>270</v>
      </c>
      <c r="H66" s="103" t="n">
        <f aca="false">SAMSUNG!F67</f>
        <v>600</v>
      </c>
      <c r="I66" s="104"/>
    </row>
    <row r="67" s="100" customFormat="true" ht="16.5" hidden="false" customHeight="true" outlineLevel="0" collapsed="false">
      <c r="A67" s="107" t="n">
        <v>1154</v>
      </c>
      <c r="B67" s="116" t="s">
        <v>134</v>
      </c>
      <c r="C67" s="103" t="n">
        <f aca="false">LG!F67</f>
        <v>1500</v>
      </c>
      <c r="D67" s="104"/>
      <c r="F67" s="105" t="n">
        <v>2108</v>
      </c>
      <c r="G67" s="116" t="s">
        <v>272</v>
      </c>
      <c r="H67" s="103" t="n">
        <f aca="false">SAMSUNG!F68</f>
        <v>300</v>
      </c>
      <c r="I67" s="104"/>
    </row>
    <row r="68" s="97" customFormat="true" ht="10.5" hidden="false" customHeight="true" outlineLevel="0" collapsed="false">
      <c r="A68" s="117"/>
      <c r="B68" s="100"/>
      <c r="C68" s="118"/>
      <c r="D68" s="119"/>
      <c r="F68" s="109" t="n">
        <v>2105</v>
      </c>
      <c r="G68" s="110" t="s">
        <v>274</v>
      </c>
      <c r="H68" s="103" t="n">
        <f aca="false">SAMSUNG!F69</f>
        <v>600</v>
      </c>
      <c r="I68" s="104" t="n">
        <v>590</v>
      </c>
    </row>
    <row r="69" s="97" customFormat="true" ht="10.5" hidden="false" customHeight="true" outlineLevel="0" collapsed="false">
      <c r="A69" s="120" t="s">
        <v>295</v>
      </c>
      <c r="B69" s="120"/>
      <c r="C69" s="120"/>
      <c r="D69" s="119"/>
      <c r="F69" s="117"/>
      <c r="G69" s="100"/>
      <c r="H69" s="121"/>
      <c r="I69" s="118"/>
    </row>
    <row r="70" s="57" customFormat="true" ht="10.5" hidden="false" customHeight="true" outlineLevel="0" collapsed="false">
      <c r="A70" s="93" t="s">
        <v>792</v>
      </c>
      <c r="B70" s="94" t="s">
        <v>2</v>
      </c>
      <c r="C70" s="98" t="s">
        <v>773</v>
      </c>
      <c r="D70" s="119"/>
      <c r="E70" s="97"/>
      <c r="F70" s="120" t="s">
        <v>364</v>
      </c>
      <c r="G70" s="120"/>
      <c r="H70" s="120"/>
      <c r="I70" s="118"/>
    </row>
    <row r="71" s="57" customFormat="true" ht="10.5" hidden="false" customHeight="true" outlineLevel="0" collapsed="false">
      <c r="A71" s="105" t="n">
        <v>4000</v>
      </c>
      <c r="B71" s="122" t="s">
        <v>296</v>
      </c>
      <c r="C71" s="103" t="n">
        <f aca="false">DAEWOO!F5</f>
        <v>60</v>
      </c>
      <c r="D71" s="99" t="s">
        <v>515</v>
      </c>
      <c r="E71" s="97"/>
      <c r="F71" s="93" t="s">
        <v>792</v>
      </c>
      <c r="G71" s="94" t="s">
        <v>2</v>
      </c>
      <c r="H71" s="98" t="s">
        <v>773</v>
      </c>
      <c r="I71" s="99" t="s">
        <v>798</v>
      </c>
    </row>
    <row r="72" s="57" customFormat="true" ht="10.5" hidden="false" customHeight="true" outlineLevel="0" collapsed="false">
      <c r="A72" s="109" t="n">
        <v>4002</v>
      </c>
      <c r="B72" s="110" t="s">
        <v>298</v>
      </c>
      <c r="C72" s="103" t="n">
        <f aca="false">DAEWOO!F6</f>
        <v>60</v>
      </c>
      <c r="D72" s="104" t="n">
        <v>50</v>
      </c>
      <c r="E72" s="97"/>
      <c r="F72" s="105" t="n">
        <v>6009</v>
      </c>
      <c r="G72" s="106" t="s">
        <v>799</v>
      </c>
      <c r="H72" s="103" t="n">
        <f aca="false">'TOSHIBA '!E5</f>
        <v>180</v>
      </c>
      <c r="I72" s="104" t="n">
        <v>180</v>
      </c>
    </row>
    <row r="73" s="57" customFormat="true" ht="10.5" hidden="false" customHeight="true" outlineLevel="0" collapsed="false">
      <c r="A73" s="105" t="n">
        <v>4003</v>
      </c>
      <c r="B73" s="106" t="s">
        <v>300</v>
      </c>
      <c r="C73" s="103" t="n">
        <f aca="false">DAEWOO!F7</f>
        <v>90</v>
      </c>
      <c r="D73" s="104" t="n">
        <v>60</v>
      </c>
      <c r="E73" s="97"/>
      <c r="F73" s="109" t="n">
        <v>6011</v>
      </c>
      <c r="G73" s="110" t="s">
        <v>367</v>
      </c>
      <c r="H73" s="103" t="n">
        <f aca="false">'TOSHIBA '!E6</f>
        <v>180</v>
      </c>
      <c r="I73" s="123"/>
    </row>
    <row r="74" s="57" customFormat="true" ht="10.5" hidden="false" customHeight="true" outlineLevel="0" collapsed="false">
      <c r="A74" s="109" t="n">
        <v>4009</v>
      </c>
      <c r="B74" s="110" t="s">
        <v>302</v>
      </c>
      <c r="C74" s="103" t="n">
        <f aca="false">DAEWOO!F8</f>
        <v>160</v>
      </c>
      <c r="D74" s="104" t="n">
        <v>90</v>
      </c>
      <c r="E74" s="97"/>
      <c r="F74" s="105" t="n">
        <v>6015</v>
      </c>
      <c r="G74" s="106" t="s">
        <v>369</v>
      </c>
      <c r="H74" s="103" t="n">
        <f aca="false">'TOSHIBA '!E7</f>
        <v>220</v>
      </c>
      <c r="I74" s="123" t="n">
        <v>220</v>
      </c>
    </row>
    <row r="75" s="57" customFormat="true" ht="10.5" hidden="false" customHeight="true" outlineLevel="0" collapsed="false">
      <c r="A75" s="105" t="n">
        <v>4010</v>
      </c>
      <c r="B75" s="106" t="s">
        <v>304</v>
      </c>
      <c r="C75" s="103" t="n">
        <f aca="false">DAEWOO!F9</f>
        <v>160</v>
      </c>
      <c r="D75" s="104" t="n">
        <v>150</v>
      </c>
      <c r="E75" s="97"/>
      <c r="F75" s="109" t="n">
        <v>6016</v>
      </c>
      <c r="G75" s="110" t="s">
        <v>371</v>
      </c>
      <c r="H75" s="103" t="n">
        <f aca="false">'TOSHIBA '!E8</f>
        <v>240</v>
      </c>
      <c r="I75" s="123"/>
    </row>
    <row r="76" s="57" customFormat="true" ht="10.5" hidden="false" customHeight="true" outlineLevel="0" collapsed="false">
      <c r="A76" s="109" t="n">
        <v>4011</v>
      </c>
      <c r="B76" s="110" t="s">
        <v>307</v>
      </c>
      <c r="C76" s="103" t="n">
        <f aca="false">DAEWOO!F10</f>
        <v>160</v>
      </c>
      <c r="D76" s="104" t="n">
        <v>140</v>
      </c>
      <c r="E76" s="97"/>
      <c r="F76" s="105" t="n">
        <v>6021</v>
      </c>
      <c r="G76" s="106" t="s">
        <v>373</v>
      </c>
      <c r="H76" s="103" t="n">
        <f aca="false">'TOSHIBA '!E9</f>
        <v>300</v>
      </c>
      <c r="I76" s="123" t="n">
        <v>280</v>
      </c>
    </row>
    <row r="77" customFormat="false" ht="11.25" hidden="false" customHeight="true" outlineLevel="0" collapsed="false">
      <c r="A77" s="105" t="n">
        <v>4015</v>
      </c>
      <c r="B77" s="106" t="s">
        <v>310</v>
      </c>
      <c r="C77" s="103" t="n">
        <f aca="false">DAEWOO!F11</f>
        <v>200</v>
      </c>
      <c r="D77" s="104" t="n">
        <v>130</v>
      </c>
      <c r="E77" s="100"/>
      <c r="F77" s="109" t="n">
        <v>6023</v>
      </c>
      <c r="G77" s="110" t="s">
        <v>374</v>
      </c>
      <c r="H77" s="103" t="n">
        <f aca="false">'TOSHIBA '!E10</f>
        <v>300</v>
      </c>
      <c r="I77" s="123" t="n">
        <v>280</v>
      </c>
    </row>
    <row r="78" customFormat="false" ht="11.25" hidden="false" customHeight="true" outlineLevel="0" collapsed="false">
      <c r="A78" s="109" t="n">
        <v>4018</v>
      </c>
      <c r="B78" s="110" t="s">
        <v>312</v>
      </c>
      <c r="C78" s="103" t="n">
        <f aca="false">DAEWOO!F12</f>
        <v>200</v>
      </c>
      <c r="D78" s="104" t="n">
        <v>200</v>
      </c>
      <c r="E78" s="100"/>
      <c r="F78" s="105" t="n">
        <v>6024</v>
      </c>
      <c r="G78" s="106" t="s">
        <v>376</v>
      </c>
      <c r="H78" s="103" t="n">
        <f aca="false">'TOSHIBA '!E11</f>
        <v>300</v>
      </c>
      <c r="I78" s="123" t="n">
        <v>300</v>
      </c>
    </row>
    <row r="79" customFormat="false" ht="11.25" hidden="false" customHeight="true" outlineLevel="0" collapsed="false">
      <c r="A79" s="105" t="n">
        <v>4020</v>
      </c>
      <c r="B79" s="106" t="s">
        <v>314</v>
      </c>
      <c r="C79" s="103" t="n">
        <f aca="false">DAEWOO!F13</f>
        <v>250</v>
      </c>
      <c r="D79" s="104" t="n">
        <v>200</v>
      </c>
      <c r="F79" s="109" t="n">
        <v>6025</v>
      </c>
      <c r="G79" s="110" t="s">
        <v>378</v>
      </c>
      <c r="H79" s="103" t="n">
        <f aca="false">'TOSHIBA '!E12</f>
        <v>320</v>
      </c>
      <c r="I79" s="123"/>
    </row>
    <row r="80" customFormat="false" ht="13.5" hidden="false" customHeight="true" outlineLevel="0" collapsed="false">
      <c r="A80" s="109" t="n">
        <v>4021</v>
      </c>
      <c r="B80" s="124" t="s">
        <v>315</v>
      </c>
      <c r="C80" s="103" t="n">
        <f aca="false">DAEWOO!F14</f>
        <v>200</v>
      </c>
      <c r="D80" s="104"/>
      <c r="E80" s="125"/>
      <c r="F80" s="105" t="n">
        <v>6030</v>
      </c>
      <c r="G80" s="106" t="s">
        <v>380</v>
      </c>
      <c r="H80" s="103" t="n">
        <f aca="false">'TOSHIBA '!E13</f>
        <v>320</v>
      </c>
      <c r="I80" s="123" t="n">
        <v>320</v>
      </c>
    </row>
    <row r="81" customFormat="false" ht="11.25" hidden="false" customHeight="true" outlineLevel="0" collapsed="false">
      <c r="A81" s="120" t="s">
        <v>426</v>
      </c>
      <c r="B81" s="120"/>
      <c r="C81" s="120"/>
      <c r="D81" s="104"/>
      <c r="F81" s="120" t="s">
        <v>800</v>
      </c>
      <c r="G81" s="120"/>
      <c r="H81" s="120"/>
    </row>
    <row r="82" customFormat="false" ht="11.25" hidden="false" customHeight="true" outlineLevel="0" collapsed="false">
      <c r="A82" s="93" t="s">
        <v>792</v>
      </c>
      <c r="B82" s="94" t="s">
        <v>2</v>
      </c>
      <c r="C82" s="103" t="s">
        <v>773</v>
      </c>
      <c r="F82" s="126" t="s">
        <v>792</v>
      </c>
      <c r="G82" s="127" t="s">
        <v>2</v>
      </c>
      <c r="H82" s="98" t="s">
        <v>773</v>
      </c>
    </row>
    <row r="83" customFormat="false" ht="11.25" hidden="false" customHeight="true" outlineLevel="0" collapsed="false">
      <c r="A83" s="105" t="n">
        <v>8000</v>
      </c>
      <c r="B83" s="128" t="s">
        <v>427</v>
      </c>
      <c r="C83" s="103" t="n">
        <f aca="false">CHINO!F5</f>
        <v>60</v>
      </c>
      <c r="D83" s="125"/>
      <c r="F83" s="105" t="n">
        <v>5000</v>
      </c>
      <c r="G83" s="105" t="s">
        <v>318</v>
      </c>
      <c r="H83" s="103" t="n">
        <f aca="false">'SONY-PANASONIC'!F5</f>
        <v>90</v>
      </c>
      <c r="I83" s="123" t="n">
        <v>90</v>
      </c>
    </row>
    <row r="84" customFormat="false" ht="11.25" hidden="false" customHeight="true" outlineLevel="0" collapsed="false">
      <c r="A84" s="109" t="n">
        <v>8003</v>
      </c>
      <c r="B84" s="129" t="s">
        <v>428</v>
      </c>
      <c r="C84" s="103" t="n">
        <f aca="false">CHINO!F6</f>
        <v>70</v>
      </c>
      <c r="D84" s="123" t="n">
        <v>70</v>
      </c>
      <c r="F84" s="109" t="n">
        <v>5001</v>
      </c>
      <c r="G84" s="109" t="s">
        <v>319</v>
      </c>
      <c r="H84" s="103" t="n">
        <f aca="false">'SONY-PANASONIC'!F6</f>
        <v>100</v>
      </c>
      <c r="I84" s="123" t="n">
        <v>100</v>
      </c>
    </row>
    <row r="85" customFormat="false" ht="11.25" hidden="false" customHeight="true" outlineLevel="0" collapsed="false">
      <c r="A85" s="105" t="n">
        <v>8006</v>
      </c>
      <c r="B85" s="128" t="s">
        <v>429</v>
      </c>
      <c r="C85" s="103" t="n">
        <f aca="false">CHINO!F7</f>
        <v>80</v>
      </c>
      <c r="D85" s="123" t="n">
        <v>80</v>
      </c>
      <c r="F85" s="105" t="n">
        <v>5002</v>
      </c>
      <c r="G85" s="105" t="s">
        <v>320</v>
      </c>
      <c r="H85" s="103" t="n">
        <f aca="false">'SONY-PANASONIC'!F7</f>
        <v>90</v>
      </c>
      <c r="I85" s="123" t="n">
        <v>80</v>
      </c>
    </row>
    <row r="86" customFormat="false" ht="11.25" hidden="false" customHeight="true" outlineLevel="0" collapsed="false">
      <c r="A86" s="130" t="n">
        <v>8012</v>
      </c>
      <c r="B86" s="129" t="s">
        <v>801</v>
      </c>
      <c r="C86" s="103" t="n">
        <f aca="false">CHINO!F8</f>
        <v>100</v>
      </c>
      <c r="D86" s="123"/>
      <c r="F86" s="109" t="n">
        <v>5003</v>
      </c>
      <c r="G86" s="109" t="s">
        <v>321</v>
      </c>
      <c r="H86" s="103" t="n">
        <f aca="false">'SONY-PANASONIC'!F8</f>
        <v>120</v>
      </c>
      <c r="I86" s="123"/>
    </row>
    <row r="87" customFormat="false" ht="11.25" hidden="false" customHeight="true" outlineLevel="0" collapsed="false">
      <c r="A87" s="131" t="n">
        <v>8013</v>
      </c>
      <c r="B87" s="128" t="s">
        <v>431</v>
      </c>
      <c r="C87" s="103" t="n">
        <f aca="false">CHINO!F9</f>
        <v>100</v>
      </c>
      <c r="D87" s="123"/>
      <c r="F87" s="105" t="n">
        <v>5006</v>
      </c>
      <c r="G87" s="105" t="s">
        <v>322</v>
      </c>
      <c r="H87" s="103" t="n">
        <f aca="false">'SONY-PANASONIC'!F9</f>
        <v>90</v>
      </c>
      <c r="I87" s="123" t="n">
        <v>80</v>
      </c>
    </row>
    <row r="88" customFormat="false" ht="11.25" hidden="false" customHeight="true" outlineLevel="0" collapsed="false">
      <c r="A88" s="130" t="n">
        <v>8009</v>
      </c>
      <c r="B88" s="129" t="s">
        <v>432</v>
      </c>
      <c r="C88" s="103" t="n">
        <f aca="false">CHINO!F10</f>
        <v>90</v>
      </c>
      <c r="D88" s="123"/>
      <c r="F88" s="109" t="n">
        <v>5009</v>
      </c>
      <c r="G88" s="109" t="s">
        <v>323</v>
      </c>
      <c r="H88" s="103" t="n">
        <f aca="false">'SONY-PANASONIC'!F10</f>
        <v>150</v>
      </c>
      <c r="I88" s="123"/>
    </row>
    <row r="89" customFormat="false" ht="11.25" hidden="false" customHeight="true" outlineLevel="0" collapsed="false">
      <c r="A89" s="131" t="n">
        <v>4001</v>
      </c>
      <c r="B89" s="132" t="s">
        <v>434</v>
      </c>
      <c r="C89" s="103" t="n">
        <f aca="false">CHINO!F11</f>
        <v>60</v>
      </c>
      <c r="D89" s="123"/>
      <c r="F89" s="105" t="n">
        <v>5010</v>
      </c>
      <c r="G89" s="105" t="s">
        <v>324</v>
      </c>
      <c r="H89" s="103" t="n">
        <f aca="false">'SONY-PANASONIC'!F11</f>
        <v>180</v>
      </c>
      <c r="I89" s="123" t="n">
        <v>160</v>
      </c>
    </row>
    <row r="90" customFormat="false" ht="11.25" hidden="false" customHeight="true" outlineLevel="0" collapsed="false">
      <c r="A90" s="109" t="n">
        <v>8007</v>
      </c>
      <c r="B90" s="129" t="s">
        <v>436</v>
      </c>
      <c r="C90" s="103" t="n">
        <f aca="false">CHINO!F12</f>
        <v>120</v>
      </c>
      <c r="D90" s="123"/>
      <c r="F90" s="109" t="n">
        <v>5012</v>
      </c>
      <c r="G90" s="109" t="s">
        <v>326</v>
      </c>
      <c r="H90" s="103" t="n">
        <f aca="false">'SONY-PANASONIC'!F12</f>
        <v>200</v>
      </c>
      <c r="I90" s="123" t="n">
        <v>200</v>
      </c>
    </row>
    <row r="91" customFormat="false" ht="11.25" hidden="false" customHeight="true" outlineLevel="0" collapsed="false">
      <c r="A91" s="131" t="n">
        <v>8024</v>
      </c>
      <c r="B91" s="128" t="s">
        <v>437</v>
      </c>
      <c r="C91" s="103" t="n">
        <f aca="false">CHINO!F13</f>
        <v>150</v>
      </c>
      <c r="D91" s="123"/>
      <c r="F91" s="105" t="n">
        <v>5015</v>
      </c>
      <c r="G91" s="105" t="s">
        <v>327</v>
      </c>
      <c r="H91" s="103" t="n">
        <f aca="false">'SONY-PANASONIC'!F13</f>
        <v>160</v>
      </c>
      <c r="I91" s="123" t="n">
        <v>140</v>
      </c>
    </row>
    <row r="92" customFormat="false" ht="11.25" hidden="false" customHeight="true" outlineLevel="0" collapsed="false">
      <c r="A92" s="130" t="n">
        <v>8025</v>
      </c>
      <c r="B92" s="129" t="s">
        <v>438</v>
      </c>
      <c r="C92" s="103" t="n">
        <f aca="false">CHINO!F14</f>
        <v>200</v>
      </c>
      <c r="D92" s="123" t="n">
        <v>140</v>
      </c>
      <c r="F92" s="109" t="n">
        <v>5018</v>
      </c>
      <c r="G92" s="109" t="s">
        <v>802</v>
      </c>
      <c r="H92" s="103" t="n">
        <f aca="false">'SONY-PANASONIC'!F14</f>
        <v>200</v>
      </c>
      <c r="I92" s="123" t="n">
        <v>200</v>
      </c>
    </row>
    <row r="93" customFormat="false" ht="11.25" hidden="false" customHeight="true" outlineLevel="0" collapsed="false">
      <c r="A93" s="105" t="n">
        <v>8032</v>
      </c>
      <c r="B93" s="128" t="s">
        <v>439</v>
      </c>
      <c r="C93" s="103" t="n">
        <f aca="false">CHINO!F15</f>
        <v>180</v>
      </c>
      <c r="D93" s="123" t="n">
        <v>200</v>
      </c>
      <c r="F93" s="105" t="n">
        <v>5021</v>
      </c>
      <c r="G93" s="105" t="s">
        <v>330</v>
      </c>
      <c r="H93" s="103" t="n">
        <f aca="false">'SONY-PANASONIC'!F15</f>
        <v>150</v>
      </c>
      <c r="I93" s="123"/>
    </row>
    <row r="94" customFormat="false" ht="11.25" hidden="false" customHeight="true" outlineLevel="0" collapsed="false">
      <c r="A94" s="109" t="n">
        <v>8030</v>
      </c>
      <c r="B94" s="129" t="s">
        <v>440</v>
      </c>
      <c r="C94" s="103" t="n">
        <f aca="false">CHINO!F16</f>
        <v>150</v>
      </c>
      <c r="D94" s="123"/>
      <c r="F94" s="109" t="n">
        <v>5022</v>
      </c>
      <c r="G94" s="109" t="s">
        <v>332</v>
      </c>
      <c r="H94" s="103" t="n">
        <f aca="false">'SONY-PANASONIC'!F16</f>
        <v>140</v>
      </c>
      <c r="I94" s="123" t="n">
        <v>120</v>
      </c>
    </row>
    <row r="95" customFormat="false" ht="11.25" hidden="false" customHeight="true" outlineLevel="0" collapsed="false">
      <c r="A95" s="105" t="n">
        <v>8036</v>
      </c>
      <c r="B95" s="128" t="s">
        <v>441</v>
      </c>
      <c r="C95" s="103" t="n">
        <f aca="false">CHINO!F17</f>
        <v>150</v>
      </c>
      <c r="D95" s="123" t="n">
        <v>150</v>
      </c>
      <c r="F95" s="105" t="n">
        <v>5024</v>
      </c>
      <c r="G95" s="105" t="s">
        <v>333</v>
      </c>
      <c r="H95" s="103" t="n">
        <f aca="false">'SONY-PANASONIC'!F17</f>
        <v>150</v>
      </c>
      <c r="I95" s="123" t="n">
        <v>140</v>
      </c>
    </row>
    <row r="96" customFormat="false" ht="11.25" hidden="false" customHeight="true" outlineLevel="0" collapsed="false">
      <c r="A96" s="130" t="n">
        <v>8042</v>
      </c>
      <c r="B96" s="129" t="s">
        <v>803</v>
      </c>
      <c r="C96" s="103" t="n">
        <f aca="false">CHINO!F18</f>
        <v>180</v>
      </c>
      <c r="D96" s="123"/>
      <c r="F96" s="109" t="n">
        <v>5025</v>
      </c>
      <c r="G96" s="109" t="s">
        <v>334</v>
      </c>
      <c r="H96" s="103" t="n">
        <f aca="false">'SONY-PANASONIC'!F18</f>
        <v>150</v>
      </c>
      <c r="I96" s="123" t="n">
        <v>140</v>
      </c>
    </row>
    <row r="97" customFormat="false" ht="11.25" hidden="false" customHeight="true" outlineLevel="0" collapsed="false">
      <c r="A97" s="105" t="n">
        <v>8008</v>
      </c>
      <c r="B97" s="128" t="s">
        <v>443</v>
      </c>
      <c r="C97" s="103" t="n">
        <f aca="false">CHINO!F19</f>
        <v>180</v>
      </c>
      <c r="D97" s="123"/>
      <c r="F97" s="105" t="n">
        <v>5026</v>
      </c>
      <c r="G97" s="105" t="s">
        <v>335</v>
      </c>
      <c r="H97" s="103" t="n">
        <f aca="false">'SONY-PANASONIC'!F19</f>
        <v>240</v>
      </c>
      <c r="I97" s="123" t="n">
        <v>220</v>
      </c>
    </row>
    <row r="98" customFormat="false" ht="11.25" hidden="false" customHeight="true" outlineLevel="0" collapsed="false">
      <c r="A98" s="109" t="n">
        <v>8054</v>
      </c>
      <c r="B98" s="129" t="s">
        <v>444</v>
      </c>
      <c r="C98" s="103" t="n">
        <f aca="false">CHINO!F20</f>
        <v>180</v>
      </c>
      <c r="D98" s="123"/>
      <c r="F98" s="109" t="n">
        <v>5027</v>
      </c>
      <c r="G98" s="109" t="s">
        <v>336</v>
      </c>
      <c r="H98" s="103" t="n">
        <f aca="false">'SONY-PANASONIC'!F20</f>
        <v>150</v>
      </c>
      <c r="I98" s="123" t="n">
        <v>140</v>
      </c>
    </row>
    <row r="99" customFormat="false" ht="11.25" hidden="false" customHeight="true" outlineLevel="0" collapsed="false">
      <c r="A99" s="105" t="n">
        <v>8063</v>
      </c>
      <c r="B99" s="128" t="s">
        <v>445</v>
      </c>
      <c r="C99" s="103" t="n">
        <f aca="false">CHINO!F21</f>
        <v>220</v>
      </c>
      <c r="D99" s="123"/>
      <c r="F99" s="105" t="n">
        <v>5029</v>
      </c>
      <c r="G99" s="105" t="s">
        <v>337</v>
      </c>
      <c r="H99" s="103" t="n">
        <f aca="false">'SONY-PANASONIC'!F21</f>
        <v>200</v>
      </c>
      <c r="I99" s="123"/>
    </row>
    <row r="100" customFormat="false" ht="11.25" hidden="false" customHeight="true" outlineLevel="0" collapsed="false">
      <c r="A100" s="109" t="n">
        <v>8066</v>
      </c>
      <c r="B100" s="109" t="s">
        <v>446</v>
      </c>
      <c r="C100" s="103" t="n">
        <f aca="false">CHINO!F22</f>
        <v>250</v>
      </c>
      <c r="D100" s="123"/>
      <c r="F100" s="109" t="n">
        <v>5028</v>
      </c>
      <c r="G100" s="109" t="s">
        <v>339</v>
      </c>
      <c r="H100" s="103" t="n">
        <f aca="false">'SONY-PANASONIC'!F22</f>
        <v>250</v>
      </c>
      <c r="I100" s="123"/>
    </row>
    <row r="101" customFormat="false" ht="11.25" hidden="false" customHeight="true" outlineLevel="0" collapsed="false">
      <c r="A101" s="105" t="n">
        <v>8073</v>
      </c>
      <c r="B101" s="133" t="s">
        <v>804</v>
      </c>
      <c r="C101" s="103" t="n">
        <f aca="false">CHINO!F23</f>
        <v>220</v>
      </c>
      <c r="D101" s="123"/>
      <c r="F101" s="105" t="n">
        <v>5030</v>
      </c>
      <c r="G101" s="105" t="s">
        <v>340</v>
      </c>
      <c r="H101" s="103" t="n">
        <f aca="false">'SONY-PANASONIC'!F23</f>
        <v>240</v>
      </c>
      <c r="I101" s="123"/>
    </row>
    <row r="102" customFormat="false" ht="11.25" hidden="false" customHeight="true" outlineLevel="0" collapsed="false">
      <c r="A102" s="130" t="n">
        <v>8061</v>
      </c>
      <c r="B102" s="129" t="s">
        <v>449</v>
      </c>
      <c r="C102" s="103" t="n">
        <f aca="false">CHINO!F24</f>
        <v>250</v>
      </c>
      <c r="D102" s="123"/>
      <c r="F102" s="109" t="n">
        <v>5031</v>
      </c>
      <c r="G102" s="109" t="s">
        <v>341</v>
      </c>
      <c r="H102" s="103" t="n">
        <f aca="false">'SONY-PANASONIC'!F24</f>
        <v>250</v>
      </c>
      <c r="I102" s="123"/>
    </row>
    <row r="103" customFormat="false" ht="11.25" hidden="false" customHeight="true" outlineLevel="0" collapsed="false">
      <c r="A103" s="105" t="n">
        <v>8072</v>
      </c>
      <c r="B103" s="128" t="s">
        <v>450</v>
      </c>
      <c r="C103" s="103" t="n">
        <f aca="false">CHINO!F25</f>
        <v>240</v>
      </c>
      <c r="D103" s="123"/>
      <c r="F103" s="105" t="n">
        <v>5032</v>
      </c>
      <c r="G103" s="105" t="s">
        <v>342</v>
      </c>
      <c r="H103" s="103" t="n">
        <f aca="false">'SONY-PANASONIC'!F25</f>
        <v>200</v>
      </c>
      <c r="I103" s="123" t="n">
        <v>190</v>
      </c>
    </row>
    <row r="104" customFormat="false" ht="11.25" hidden="false" customHeight="true" outlineLevel="0" collapsed="false">
      <c r="A104" s="109" t="n">
        <v>8075</v>
      </c>
      <c r="B104" s="129" t="s">
        <v>451</v>
      </c>
      <c r="C104" s="103" t="n">
        <f aca="false">CHINO!F26</f>
        <v>250</v>
      </c>
      <c r="D104" s="123"/>
      <c r="F104" s="109" t="n">
        <v>5033</v>
      </c>
      <c r="G104" s="109" t="s">
        <v>343</v>
      </c>
      <c r="H104" s="103" t="n">
        <f aca="false">'SONY-PANASONIC'!F26</f>
        <v>200</v>
      </c>
      <c r="I104" s="123"/>
    </row>
    <row r="105" customFormat="false" ht="11.25" hidden="false" customHeight="true" outlineLevel="0" collapsed="false">
      <c r="A105" s="105" t="n">
        <v>8094</v>
      </c>
      <c r="B105" s="128" t="s">
        <v>452</v>
      </c>
      <c r="C105" s="103" t="n">
        <f aca="false">CHINO!F27</f>
        <v>320</v>
      </c>
      <c r="D105" s="123"/>
      <c r="F105" s="105" t="n">
        <v>5034</v>
      </c>
      <c r="G105" s="105" t="s">
        <v>344</v>
      </c>
      <c r="H105" s="103" t="n">
        <f aca="false">'SONY-PANASONIC'!F27</f>
        <v>240</v>
      </c>
      <c r="I105" s="123" t="n">
        <v>220</v>
      </c>
    </row>
    <row r="106" customFormat="false" ht="11.25" hidden="false" customHeight="true" outlineLevel="0" collapsed="false">
      <c r="A106" s="109" t="n">
        <v>8081</v>
      </c>
      <c r="B106" s="134" t="s">
        <v>805</v>
      </c>
      <c r="C106" s="103" t="n">
        <f aca="false">CHINO!F28</f>
        <v>300</v>
      </c>
      <c r="D106" s="123"/>
      <c r="F106" s="109" t="n">
        <v>5035</v>
      </c>
      <c r="G106" s="109" t="s">
        <v>345</v>
      </c>
      <c r="H106" s="103" t="n">
        <f aca="false">'SONY-PANASONIC'!F28</f>
        <v>350</v>
      </c>
      <c r="I106" s="123"/>
    </row>
    <row r="107" customFormat="false" ht="11.25" hidden="false" customHeight="true" outlineLevel="0" collapsed="false">
      <c r="A107" s="109" t="n">
        <v>8082</v>
      </c>
      <c r="B107" s="129" t="s">
        <v>806</v>
      </c>
      <c r="C107" s="103" t="n">
        <v>320</v>
      </c>
      <c r="D107" s="123"/>
      <c r="F107" s="105" t="n">
        <v>5036</v>
      </c>
      <c r="G107" s="105" t="s">
        <v>346</v>
      </c>
      <c r="H107" s="103" t="n">
        <f aca="false">'SONY-PANASONIC'!F29</f>
        <v>320</v>
      </c>
      <c r="I107" s="123" t="n">
        <v>320</v>
      </c>
    </row>
    <row r="108" customFormat="false" ht="11.25" hidden="false" customHeight="true" outlineLevel="0" collapsed="false">
      <c r="A108" s="105" t="n">
        <v>8074</v>
      </c>
      <c r="B108" s="128" t="s">
        <v>456</v>
      </c>
      <c r="C108" s="103" t="n">
        <f aca="false">CHINO!F30</f>
        <v>280</v>
      </c>
      <c r="D108" s="123"/>
      <c r="F108" s="109" t="n">
        <v>5038</v>
      </c>
      <c r="G108" s="109" t="s">
        <v>347</v>
      </c>
      <c r="H108" s="103" t="n">
        <f aca="false">'SONY-PANASONIC'!F30</f>
        <v>300</v>
      </c>
      <c r="I108" s="123"/>
    </row>
    <row r="109" customFormat="false" ht="11.25" hidden="false" customHeight="true" outlineLevel="0" collapsed="false">
      <c r="A109" s="109" t="n">
        <v>8090</v>
      </c>
      <c r="B109" s="129" t="s">
        <v>807</v>
      </c>
      <c r="C109" s="103" t="n">
        <f aca="false">CHINO!F31</f>
        <v>300</v>
      </c>
      <c r="D109" s="123"/>
      <c r="F109" s="105" t="n">
        <v>5039</v>
      </c>
      <c r="G109" s="105" t="s">
        <v>348</v>
      </c>
      <c r="H109" s="103" t="n">
        <f aca="false">'SONY-PANASONIC'!F31</f>
        <v>450</v>
      </c>
      <c r="I109" s="123"/>
    </row>
    <row r="110" customFormat="false" ht="11.25" hidden="false" customHeight="true" outlineLevel="0" collapsed="false">
      <c r="A110" s="105" t="n">
        <v>8091</v>
      </c>
      <c r="B110" s="128" t="s">
        <v>458</v>
      </c>
      <c r="C110" s="103" t="n">
        <f aca="false">CHINO!F32</f>
        <v>300</v>
      </c>
      <c r="D110" s="123"/>
      <c r="F110" s="109" t="n">
        <v>5040</v>
      </c>
      <c r="G110" s="109" t="s">
        <v>349</v>
      </c>
      <c r="H110" s="103" t="n">
        <f aca="false">'SONY-PANASONIC'!F32</f>
        <v>800</v>
      </c>
      <c r="I110" s="123"/>
    </row>
    <row r="111" customFormat="false" ht="11.25" hidden="false" customHeight="true" outlineLevel="0" collapsed="false">
      <c r="A111" s="109" t="n">
        <v>8076</v>
      </c>
      <c r="B111" s="129" t="s">
        <v>460</v>
      </c>
      <c r="C111" s="103" t="n">
        <f aca="false">CHINO!F33</f>
        <v>300</v>
      </c>
      <c r="D111" s="123"/>
      <c r="F111" s="105" t="n">
        <v>5045</v>
      </c>
      <c r="G111" s="105" t="s">
        <v>350</v>
      </c>
      <c r="H111" s="103" t="n">
        <f aca="false">'SONY-PANASONIC'!F33</f>
        <v>600</v>
      </c>
      <c r="I111" s="123"/>
    </row>
    <row r="112" customFormat="false" ht="11.25" hidden="false" customHeight="true" outlineLevel="0" collapsed="false">
      <c r="A112" s="131" t="n">
        <v>8078</v>
      </c>
      <c r="B112" s="128" t="s">
        <v>462</v>
      </c>
      <c r="C112" s="103" t="n">
        <f aca="false">CHINO!F34</f>
        <v>300</v>
      </c>
      <c r="D112" s="123"/>
    </row>
    <row r="113" customFormat="false" ht="11.25" hidden="false" customHeight="true" outlineLevel="0" collapsed="false">
      <c r="A113" s="109" t="n">
        <v>6027</v>
      </c>
      <c r="B113" s="135" t="s">
        <v>808</v>
      </c>
      <c r="C113" s="136" t="n">
        <v>280</v>
      </c>
      <c r="D113" s="123"/>
      <c r="F113" s="120" t="s">
        <v>809</v>
      </c>
      <c r="G113" s="120"/>
      <c r="H113" s="120"/>
    </row>
    <row r="114" customFormat="false" ht="11.25" hidden="false" customHeight="true" outlineLevel="0" collapsed="false">
      <c r="A114" s="109" t="n">
        <v>8093</v>
      </c>
      <c r="B114" s="129" t="s">
        <v>463</v>
      </c>
      <c r="C114" s="103" t="n">
        <f aca="false">CHINO!F35</f>
        <v>300</v>
      </c>
      <c r="D114" s="137"/>
      <c r="F114" s="93" t="s">
        <v>792</v>
      </c>
      <c r="G114" s="94" t="s">
        <v>2</v>
      </c>
      <c r="H114" s="98" t="s">
        <v>773</v>
      </c>
      <c r="I114" s="99" t="s">
        <v>515</v>
      </c>
    </row>
    <row r="115" customFormat="false" ht="11.25" hidden="false" customHeight="true" outlineLevel="0" collapsed="false">
      <c r="A115" s="105" t="n">
        <v>8103</v>
      </c>
      <c r="B115" s="128" t="s">
        <v>467</v>
      </c>
      <c r="C115" s="103" t="n">
        <f aca="false">CHINO!F37</f>
        <v>320</v>
      </c>
      <c r="D115" s="123"/>
      <c r="F115" s="105" t="n">
        <v>3000</v>
      </c>
      <c r="G115" s="115" t="s">
        <v>278</v>
      </c>
      <c r="H115" s="103" t="n">
        <f aca="false">HAIER!F5</f>
        <v>90</v>
      </c>
      <c r="I115" s="104" t="n">
        <v>90</v>
      </c>
    </row>
    <row r="116" customFormat="false" ht="11.25" hidden="false" customHeight="true" outlineLevel="0" collapsed="false">
      <c r="A116" s="109" t="n">
        <v>8064</v>
      </c>
      <c r="B116" s="129" t="s">
        <v>468</v>
      </c>
      <c r="C116" s="103" t="n">
        <f aca="false">CHINO!F38</f>
        <v>320</v>
      </c>
      <c r="D116" s="123"/>
      <c r="F116" s="109" t="n">
        <v>3001</v>
      </c>
      <c r="G116" s="112" t="s">
        <v>279</v>
      </c>
      <c r="H116" s="103" t="n">
        <f aca="false">HAIER!F6</f>
        <v>100</v>
      </c>
      <c r="I116" s="104" t="n">
        <v>90</v>
      </c>
    </row>
    <row r="117" customFormat="false" ht="11.25" hidden="false" customHeight="true" outlineLevel="0" collapsed="false">
      <c r="A117" s="105" t="n">
        <v>8120</v>
      </c>
      <c r="B117" s="105" t="s">
        <v>469</v>
      </c>
      <c r="C117" s="103" t="n">
        <f aca="false">CHINO!F39</f>
        <v>3.5</v>
      </c>
      <c r="D117" s="123"/>
      <c r="F117" s="105" t="n">
        <v>3003</v>
      </c>
      <c r="G117" s="106" t="s">
        <v>280</v>
      </c>
      <c r="H117" s="103" t="n">
        <f aca="false">HAIER!F7</f>
        <v>160</v>
      </c>
      <c r="I117" s="104" t="n">
        <v>150</v>
      </c>
    </row>
    <row r="118" customFormat="false" ht="11.25" hidden="false" customHeight="true" outlineLevel="0" collapsed="false">
      <c r="A118" s="130" t="n">
        <v>8123</v>
      </c>
      <c r="B118" s="109" t="s">
        <v>470</v>
      </c>
      <c r="C118" s="103" t="n">
        <f aca="false">CHINO!F40</f>
        <v>3.5</v>
      </c>
      <c r="D118" s="123"/>
      <c r="F118" s="109" t="n">
        <v>3006</v>
      </c>
      <c r="G118" s="110" t="s">
        <v>281</v>
      </c>
      <c r="H118" s="103" t="n">
        <f aca="false">HAIER!F8</f>
        <v>180</v>
      </c>
      <c r="I118" s="104" t="n">
        <v>160</v>
      </c>
    </row>
    <row r="119" customFormat="false" ht="11.25" hidden="false" customHeight="true" outlineLevel="0" collapsed="false">
      <c r="A119" s="105" t="n">
        <v>8126</v>
      </c>
      <c r="B119" s="105" t="s">
        <v>471</v>
      </c>
      <c r="C119" s="103" t="n">
        <f aca="false">CHINO!F41</f>
        <v>3.5</v>
      </c>
      <c r="D119" s="123" t="n">
        <v>4</v>
      </c>
      <c r="F119" s="105" t="n">
        <v>3009</v>
      </c>
      <c r="G119" s="106" t="s">
        <v>282</v>
      </c>
      <c r="H119" s="103" t="n">
        <f aca="false">HAIER!F9</f>
        <v>220</v>
      </c>
      <c r="I119" s="104"/>
    </row>
    <row r="120" customFormat="false" ht="11.25" hidden="false" customHeight="true" outlineLevel="0" collapsed="false">
      <c r="A120" s="109" t="n">
        <v>8129</v>
      </c>
      <c r="B120" s="109" t="s">
        <v>472</v>
      </c>
      <c r="C120" s="103" t="n">
        <f aca="false">CHINO!F42</f>
        <v>3.5</v>
      </c>
      <c r="D120" s="123"/>
      <c r="F120" s="109" t="n">
        <v>3012</v>
      </c>
      <c r="G120" s="110" t="s">
        <v>283</v>
      </c>
      <c r="H120" s="103" t="n">
        <f aca="false">HAIER!F10</f>
        <v>260</v>
      </c>
      <c r="I120" s="104" t="n">
        <v>270</v>
      </c>
    </row>
    <row r="121" customFormat="false" ht="11.25" hidden="false" customHeight="true" outlineLevel="0" collapsed="false">
      <c r="A121" s="131" t="n">
        <v>8124</v>
      </c>
      <c r="B121" s="105" t="s">
        <v>473</v>
      </c>
      <c r="C121" s="103" t="n">
        <f aca="false">CHINO!F43</f>
        <v>3.5</v>
      </c>
      <c r="D121" s="123"/>
      <c r="F121" s="105" t="n">
        <v>3015</v>
      </c>
      <c r="G121" s="106" t="s">
        <v>284</v>
      </c>
      <c r="H121" s="103" t="n">
        <f aca="false">HAIER!F11</f>
        <v>260</v>
      </c>
      <c r="I121" s="104"/>
    </row>
    <row r="122" customFormat="false" ht="11.25" hidden="false" customHeight="true" outlineLevel="0" collapsed="false">
      <c r="A122" s="109" t="n">
        <v>8130</v>
      </c>
      <c r="B122" s="109" t="s">
        <v>474</v>
      </c>
      <c r="C122" s="103" t="n">
        <f aca="false">CHINO!F44</f>
        <v>3.5</v>
      </c>
      <c r="D122" s="123" t="n">
        <v>3</v>
      </c>
      <c r="F122" s="109" t="n">
        <v>3018</v>
      </c>
      <c r="G122" s="110" t="s">
        <v>285</v>
      </c>
      <c r="H122" s="103" t="n">
        <f aca="false">HAIER!F12</f>
        <v>250</v>
      </c>
      <c r="I122" s="104"/>
    </row>
    <row r="123" customFormat="false" ht="11.25" hidden="false" customHeight="true" outlineLevel="0" collapsed="false">
      <c r="D123" s="123"/>
      <c r="F123" s="105" t="n">
        <v>3021</v>
      </c>
      <c r="G123" s="106" t="s">
        <v>287</v>
      </c>
      <c r="H123" s="103" t="n">
        <f aca="false">HAIER!F13</f>
        <v>250</v>
      </c>
      <c r="I123" s="104" t="n">
        <v>250</v>
      </c>
    </row>
    <row r="124" customFormat="false" ht="11.25" hidden="false" customHeight="true" outlineLevel="0" collapsed="false">
      <c r="A124" s="120" t="s">
        <v>381</v>
      </c>
      <c r="B124" s="120"/>
      <c r="C124" s="120"/>
      <c r="F124" s="109" t="n">
        <v>3024</v>
      </c>
      <c r="G124" s="110" t="s">
        <v>288</v>
      </c>
      <c r="H124" s="103" t="n">
        <f aca="false">HAIER!F14</f>
        <v>280</v>
      </c>
      <c r="I124" s="104" t="n">
        <v>270</v>
      </c>
    </row>
    <row r="125" customFormat="false" ht="11.25" hidden="false" customHeight="true" outlineLevel="0" collapsed="false">
      <c r="A125" s="93" t="s">
        <v>792</v>
      </c>
      <c r="B125" s="94" t="s">
        <v>2</v>
      </c>
      <c r="C125" s="103" t="s">
        <v>773</v>
      </c>
      <c r="D125" s="99" t="s">
        <v>515</v>
      </c>
      <c r="F125" s="105" t="n">
        <v>3027</v>
      </c>
      <c r="G125" s="106" t="s">
        <v>289</v>
      </c>
      <c r="H125" s="103" t="n">
        <f aca="false">HAIER!F15</f>
        <v>280</v>
      </c>
      <c r="I125" s="104"/>
    </row>
    <row r="126" customFormat="false" ht="11.25" hidden="false" customHeight="true" outlineLevel="0" collapsed="false">
      <c r="A126" s="105" t="n">
        <v>6010</v>
      </c>
      <c r="B126" s="106" t="s">
        <v>382</v>
      </c>
      <c r="C126" s="103" t="n">
        <f aca="false">'HISENSE '!E5</f>
        <v>180</v>
      </c>
      <c r="D126" s="104"/>
      <c r="F126" s="109" t="n">
        <v>3028</v>
      </c>
      <c r="G126" s="110" t="s">
        <v>290</v>
      </c>
      <c r="H126" s="103" t="n">
        <f aca="false">HAIER!F16</f>
        <v>350</v>
      </c>
      <c r="I126" s="104"/>
    </row>
    <row r="127" customFormat="false" ht="11.25" hidden="false" customHeight="true" outlineLevel="0" collapsed="false">
      <c r="A127" s="105" t="n">
        <v>6110</v>
      </c>
      <c r="B127" s="111" t="s">
        <v>383</v>
      </c>
      <c r="C127" s="103" t="n">
        <f aca="false">'HISENSE '!E6</f>
        <v>60</v>
      </c>
      <c r="D127" s="104"/>
      <c r="F127" s="105" t="n">
        <v>3030</v>
      </c>
      <c r="G127" s="106" t="s">
        <v>291</v>
      </c>
      <c r="H127" s="103" t="n">
        <f aca="false">HAIER!F17</f>
        <v>320</v>
      </c>
      <c r="I127" s="104" t="n">
        <v>320</v>
      </c>
    </row>
    <row r="128" customFormat="false" ht="11.25" hidden="false" customHeight="true" outlineLevel="0" collapsed="false">
      <c r="A128" s="109" t="n">
        <v>6018</v>
      </c>
      <c r="B128" s="110" t="s">
        <v>385</v>
      </c>
      <c r="C128" s="103" t="n">
        <f aca="false">'HISENSE '!E7</f>
        <v>280</v>
      </c>
      <c r="D128" s="104"/>
      <c r="F128" s="109" t="n">
        <v>3033</v>
      </c>
      <c r="G128" s="110" t="s">
        <v>292</v>
      </c>
      <c r="H128" s="103" t="n">
        <f aca="false">HAIER!F18</f>
        <v>320</v>
      </c>
      <c r="I128" s="104" t="n">
        <v>320</v>
      </c>
    </row>
    <row r="129" customFormat="false" ht="11.25" hidden="false" customHeight="true" outlineLevel="0" collapsed="false">
      <c r="A129" s="109" t="n">
        <v>6020</v>
      </c>
      <c r="B129" s="138" t="s">
        <v>387</v>
      </c>
      <c r="C129" s="103" t="n">
        <f aca="false">'HISENSE '!E8</f>
        <v>300</v>
      </c>
      <c r="D129" s="104"/>
      <c r="F129" s="105" t="n">
        <v>3036</v>
      </c>
      <c r="G129" s="106" t="s">
        <v>293</v>
      </c>
      <c r="H129" s="103" t="n">
        <f aca="false">HAIER!F19</f>
        <v>350</v>
      </c>
      <c r="I129" s="104" t="n">
        <v>320</v>
      </c>
    </row>
    <row r="130" customFormat="false" ht="11.25" hidden="false" customHeight="true" outlineLevel="0" collapsed="false">
      <c r="A130" s="109" t="n">
        <v>6033</v>
      </c>
      <c r="B130" s="110" t="s">
        <v>389</v>
      </c>
      <c r="C130" s="103" t="n">
        <f aca="false">'HISENSE '!E9</f>
        <v>350</v>
      </c>
      <c r="F130" s="109" t="n">
        <v>3040</v>
      </c>
      <c r="G130" s="110" t="s">
        <v>294</v>
      </c>
      <c r="H130" s="103" t="n">
        <f aca="false">HAIER!F20</f>
        <v>450</v>
      </c>
      <c r="I130" s="104" t="n">
        <v>430</v>
      </c>
    </row>
    <row r="131" customFormat="false" ht="11.25" hidden="false" customHeight="true" outlineLevel="0" collapsed="false">
      <c r="A131" s="105" t="n">
        <v>6034</v>
      </c>
      <c r="B131" s="106" t="s">
        <v>390</v>
      </c>
      <c r="C131" s="103" t="n">
        <f aca="false">'HISENSE '!E10</f>
        <v>380</v>
      </c>
      <c r="F131" s="120" t="s">
        <v>810</v>
      </c>
      <c r="G131" s="120"/>
      <c r="H131" s="120"/>
    </row>
    <row r="132" customFormat="false" ht="11.25" hidden="false" customHeight="true" outlineLevel="0" collapsed="false">
      <c r="D132" s="119"/>
      <c r="F132" s="93" t="s">
        <v>792</v>
      </c>
      <c r="G132" s="94" t="s">
        <v>2</v>
      </c>
      <c r="H132" s="98" t="s">
        <v>773</v>
      </c>
      <c r="I132" s="99" t="s">
        <v>515</v>
      </c>
    </row>
    <row r="133" customFormat="false" ht="11.25" hidden="false" customHeight="true" outlineLevel="0" collapsed="false">
      <c r="A133" s="120" t="s">
        <v>392</v>
      </c>
      <c r="B133" s="120"/>
      <c r="C133" s="120"/>
      <c r="D133" s="119"/>
      <c r="F133" s="105" t="n">
        <v>7000</v>
      </c>
      <c r="G133" s="106" t="s">
        <v>352</v>
      </c>
      <c r="H133" s="103" t="n">
        <f aca="false">'IRT-PHILIPS'!F5</f>
        <v>60</v>
      </c>
      <c r="I133" s="123" t="n">
        <v>70</v>
      </c>
    </row>
    <row r="134" customFormat="false" ht="11.25" hidden="false" customHeight="true" outlineLevel="0" collapsed="false">
      <c r="A134" s="93" t="s">
        <v>792</v>
      </c>
      <c r="B134" s="94" t="s">
        <v>2</v>
      </c>
      <c r="C134" s="103" t="s">
        <v>773</v>
      </c>
      <c r="D134" s="99" t="s">
        <v>515</v>
      </c>
      <c r="F134" s="109" t="n">
        <v>7002</v>
      </c>
      <c r="G134" s="139" t="s">
        <v>354</v>
      </c>
      <c r="H134" s="103" t="n">
        <f aca="false">'IRT-PHILIPS'!F6</f>
        <v>70</v>
      </c>
      <c r="I134" s="123"/>
    </row>
    <row r="135" customFormat="false" ht="11.25" hidden="false" customHeight="true" outlineLevel="0" collapsed="false">
      <c r="A135" s="105" t="n">
        <v>6000</v>
      </c>
      <c r="B135" s="106" t="s">
        <v>393</v>
      </c>
      <c r="C135" s="103" t="n">
        <f aca="false">SKYWORTH!E5</f>
        <v>60</v>
      </c>
      <c r="D135" s="104" t="n">
        <v>60</v>
      </c>
      <c r="F135" s="105" t="n">
        <v>7003</v>
      </c>
      <c r="G135" s="106" t="s">
        <v>355</v>
      </c>
      <c r="H135" s="103" t="n">
        <f aca="false">'IRT-PHILIPS'!F7</f>
        <v>150</v>
      </c>
      <c r="I135" s="123" t="n">
        <v>140</v>
      </c>
    </row>
    <row r="136" customFormat="false" ht="11.25" hidden="false" customHeight="true" outlineLevel="0" collapsed="false">
      <c r="A136" s="109" t="n">
        <v>6006</v>
      </c>
      <c r="B136" s="110" t="s">
        <v>394</v>
      </c>
      <c r="C136" s="103" t="n">
        <f aca="false">SKYWORTH!E6</f>
        <v>140</v>
      </c>
      <c r="D136" s="104" t="n">
        <v>130</v>
      </c>
      <c r="F136" s="109" t="n">
        <v>7004</v>
      </c>
      <c r="G136" s="139" t="s">
        <v>356</v>
      </c>
      <c r="H136" s="103" t="n">
        <f aca="false">'IRT-PHILIPS'!F8</f>
        <v>150</v>
      </c>
      <c r="I136" s="123" t="n">
        <v>140</v>
      </c>
    </row>
    <row r="137" customFormat="false" ht="11.25" hidden="false" customHeight="true" outlineLevel="0" collapsed="false">
      <c r="A137" s="105" t="n">
        <v>6007</v>
      </c>
      <c r="B137" s="106" t="s">
        <v>395</v>
      </c>
      <c r="C137" s="103" t="n">
        <f aca="false">SKYWORTH!E7</f>
        <v>180</v>
      </c>
      <c r="D137" s="104" t="n">
        <v>180</v>
      </c>
      <c r="F137" s="105" t="n">
        <v>7009</v>
      </c>
      <c r="G137" s="106" t="s">
        <v>358</v>
      </c>
      <c r="H137" s="103" t="n">
        <f aca="false">'IRT-PHILIPS'!F9</f>
        <v>240</v>
      </c>
      <c r="I137" s="123" t="n">
        <v>230</v>
      </c>
    </row>
    <row r="138" customFormat="false" ht="11.25" hidden="false" customHeight="true" outlineLevel="0" collapsed="false">
      <c r="A138" s="109" t="n">
        <v>6008</v>
      </c>
      <c r="B138" s="110" t="s">
        <v>396</v>
      </c>
      <c r="C138" s="103" t="n">
        <f aca="false">SKYWORTH!E8</f>
        <v>180</v>
      </c>
      <c r="D138" s="104" t="n">
        <v>170</v>
      </c>
      <c r="F138" s="109" t="n">
        <v>7012</v>
      </c>
      <c r="G138" s="110" t="s">
        <v>359</v>
      </c>
      <c r="H138" s="103" t="n">
        <f aca="false">'IRT-PHILIPS'!F10</f>
        <v>200</v>
      </c>
      <c r="I138" s="123" t="n">
        <v>200</v>
      </c>
    </row>
    <row r="139" customFormat="false" ht="11.25" hidden="false" customHeight="true" outlineLevel="0" collapsed="false">
      <c r="A139" s="105" t="n">
        <v>6022</v>
      </c>
      <c r="B139" s="106" t="s">
        <v>397</v>
      </c>
      <c r="C139" s="103" t="n">
        <f aca="false">SKYWORTH!E9</f>
        <v>350</v>
      </c>
      <c r="D139" s="104"/>
      <c r="F139" s="105" t="n">
        <v>7015</v>
      </c>
      <c r="G139" s="106" t="s">
        <v>360</v>
      </c>
      <c r="H139" s="103" t="n">
        <f aca="false">'IRT-PHILIPS'!F11</f>
        <v>200</v>
      </c>
      <c r="I139" s="123" t="n">
        <v>200</v>
      </c>
    </row>
    <row r="140" customFormat="false" ht="11.25" hidden="false" customHeight="true" outlineLevel="0" collapsed="false">
      <c r="A140" s="109" t="n">
        <v>6131</v>
      </c>
      <c r="B140" s="110" t="s">
        <v>811</v>
      </c>
      <c r="C140" s="103" t="n">
        <f aca="false">SKYWORTH!E10</f>
        <v>400</v>
      </c>
      <c r="D140" s="104"/>
      <c r="F140" s="109" t="n">
        <v>7018</v>
      </c>
      <c r="G140" s="139" t="s">
        <v>361</v>
      </c>
      <c r="H140" s="103" t="n">
        <f aca="false">'IRT-PHILIPS'!F12</f>
        <v>280</v>
      </c>
      <c r="I140" s="123"/>
    </row>
    <row r="141" customFormat="false" ht="11.25" hidden="false" customHeight="true" outlineLevel="0" collapsed="false">
      <c r="A141" s="105" t="n">
        <v>6132</v>
      </c>
      <c r="B141" s="106" t="s">
        <v>399</v>
      </c>
      <c r="C141" s="103" t="n">
        <f aca="false">SKYWORTH!E11</f>
        <v>420</v>
      </c>
      <c r="D141" s="104" t="n">
        <v>410</v>
      </c>
      <c r="F141" s="109" t="n">
        <v>7019</v>
      </c>
      <c r="G141" s="140" t="s">
        <v>362</v>
      </c>
      <c r="H141" s="103" t="n">
        <f aca="false">'IRT-PHILIPS'!F13</f>
        <v>420</v>
      </c>
      <c r="I141" s="123"/>
    </row>
    <row r="142" customFormat="false" ht="11.25" hidden="false" customHeight="true" outlineLevel="0" collapsed="false">
      <c r="A142" s="120" t="s">
        <v>400</v>
      </c>
      <c r="B142" s="120"/>
      <c r="C142" s="120"/>
      <c r="F142" s="141" t="s">
        <v>812</v>
      </c>
      <c r="G142" s="141"/>
      <c r="H142" s="141"/>
    </row>
    <row r="143" customFormat="false" ht="11.25" hidden="false" customHeight="true" outlineLevel="0" collapsed="false">
      <c r="A143" s="93" t="s">
        <v>792</v>
      </c>
      <c r="B143" s="94" t="s">
        <v>2</v>
      </c>
      <c r="C143" s="98" t="s">
        <v>773</v>
      </c>
      <c r="D143" s="99" t="s">
        <v>515</v>
      </c>
      <c r="F143" s="93" t="s">
        <v>792</v>
      </c>
      <c r="G143" s="94" t="s">
        <v>2</v>
      </c>
      <c r="H143" s="98" t="s">
        <v>773</v>
      </c>
      <c r="I143" s="99" t="s">
        <v>515</v>
      </c>
    </row>
    <row r="144" customFormat="false" ht="11.25" hidden="false" customHeight="true" outlineLevel="0" collapsed="false">
      <c r="A144" s="105" t="n">
        <v>8015</v>
      </c>
      <c r="B144" s="122" t="s">
        <v>401</v>
      </c>
      <c r="C144" s="103" t="n">
        <f aca="false">PREMIER!F5</f>
        <v>60</v>
      </c>
      <c r="D144" s="123" t="n">
        <v>60</v>
      </c>
      <c r="F144" s="105" t="n">
        <v>6001</v>
      </c>
      <c r="G144" s="106" t="s">
        <v>421</v>
      </c>
      <c r="H144" s="103" t="n">
        <f aca="false">'MASTER G'!E4</f>
        <v>80</v>
      </c>
      <c r="I144" s="123"/>
    </row>
    <row r="145" customFormat="false" ht="11.25" hidden="false" customHeight="true" outlineLevel="0" collapsed="false">
      <c r="A145" s="109" t="n">
        <v>8033</v>
      </c>
      <c r="B145" s="139" t="s">
        <v>813</v>
      </c>
      <c r="C145" s="103" t="n">
        <f aca="false">PREMIER!F6</f>
        <v>150</v>
      </c>
      <c r="D145" s="123" t="n">
        <v>140</v>
      </c>
      <c r="F145" s="109" t="n">
        <v>6012</v>
      </c>
      <c r="G145" s="110" t="s">
        <v>422</v>
      </c>
      <c r="H145" s="103" t="n">
        <f aca="false">'MASTER G'!E5</f>
        <v>220</v>
      </c>
      <c r="I145" s="123" t="n">
        <v>200</v>
      </c>
    </row>
    <row r="146" customFormat="false" ht="11.25" hidden="false" customHeight="true" outlineLevel="0" collapsed="false">
      <c r="A146" s="105" t="n">
        <v>8039</v>
      </c>
      <c r="B146" s="122" t="s">
        <v>403</v>
      </c>
      <c r="C146" s="103" t="n">
        <f aca="false">PREMIER!F7</f>
        <v>150</v>
      </c>
      <c r="D146" s="123" t="n">
        <v>140</v>
      </c>
      <c r="F146" s="105" t="n">
        <v>6019</v>
      </c>
      <c r="G146" s="106" t="s">
        <v>423</v>
      </c>
      <c r="H146" s="103" t="n">
        <f aca="false">'MASTER G'!E6</f>
        <v>300</v>
      </c>
      <c r="I146" s="123"/>
    </row>
    <row r="147" customFormat="false" ht="11.25" hidden="false" customHeight="true" outlineLevel="0" collapsed="false">
      <c r="A147" s="109" t="n">
        <v>8031</v>
      </c>
      <c r="B147" s="139" t="s">
        <v>404</v>
      </c>
      <c r="C147" s="103" t="n">
        <f aca="false">PREMIER!F8</f>
        <v>150</v>
      </c>
      <c r="D147" s="123"/>
      <c r="F147" s="109" t="n">
        <v>6028</v>
      </c>
      <c r="G147" s="110" t="s">
        <v>814</v>
      </c>
      <c r="H147" s="103" t="n">
        <f aca="false">'MASTER G'!E7</f>
        <v>320</v>
      </c>
      <c r="I147" s="123"/>
    </row>
    <row r="148" customFormat="false" ht="11.25" hidden="false" customHeight="true" outlineLevel="0" collapsed="false">
      <c r="A148" s="105" t="n">
        <v>8055</v>
      </c>
      <c r="B148" s="122" t="s">
        <v>815</v>
      </c>
      <c r="C148" s="103" t="n">
        <f aca="false">PREMIER!F9</f>
        <v>180</v>
      </c>
      <c r="D148" s="123" t="n">
        <v>170</v>
      </c>
      <c r="F148" s="105" t="n">
        <v>6029</v>
      </c>
      <c r="G148" s="122" t="s">
        <v>425</v>
      </c>
      <c r="H148" s="103" t="n">
        <f aca="false">'MASTER G'!E8</f>
        <v>300</v>
      </c>
      <c r="I148" s="123" t="n">
        <v>290</v>
      </c>
    </row>
    <row r="149" customFormat="false" ht="11.25" hidden="false" customHeight="true" outlineLevel="0" collapsed="false">
      <c r="A149" s="109" t="n">
        <v>8056</v>
      </c>
      <c r="B149" s="139" t="s">
        <v>816</v>
      </c>
      <c r="C149" s="103" t="n">
        <f aca="false">PREMIER!F10</f>
        <v>180</v>
      </c>
      <c r="D149" s="123" t="n">
        <v>170</v>
      </c>
      <c r="F149" s="141" t="s">
        <v>817</v>
      </c>
      <c r="G149" s="141"/>
      <c r="H149" s="141"/>
    </row>
    <row r="150" customFormat="false" ht="11.25" hidden="false" customHeight="true" outlineLevel="0" collapsed="false">
      <c r="A150" s="105" t="n">
        <v>8057</v>
      </c>
      <c r="B150" s="122" t="s">
        <v>408</v>
      </c>
      <c r="C150" s="103" t="n">
        <f aca="false">PREMIER!F11</f>
        <v>200</v>
      </c>
      <c r="D150" s="123" t="n">
        <v>200</v>
      </c>
      <c r="F150" s="93" t="s">
        <v>792</v>
      </c>
      <c r="G150" s="94" t="s">
        <v>2</v>
      </c>
      <c r="H150" s="98" t="s">
        <v>773</v>
      </c>
      <c r="I150" s="99" t="s">
        <v>515</v>
      </c>
    </row>
    <row r="151" customFormat="false" ht="11.25" hidden="false" customHeight="true" outlineLevel="0" collapsed="false">
      <c r="A151" s="109" t="n">
        <v>8067</v>
      </c>
      <c r="B151" s="139" t="s">
        <v>409</v>
      </c>
      <c r="C151" s="103" t="n">
        <f aca="false">PREMIER!F12</f>
        <v>220</v>
      </c>
      <c r="D151" s="123" t="n">
        <v>230</v>
      </c>
      <c r="F151" s="105" t="n">
        <v>8021</v>
      </c>
      <c r="G151" s="122" t="s">
        <v>476</v>
      </c>
      <c r="H151" s="142" t="n">
        <f aca="false">'AOC-JVC'!F5</f>
        <v>60</v>
      </c>
      <c r="I151" s="123" t="n">
        <v>60</v>
      </c>
    </row>
    <row r="152" customFormat="false" ht="11.25" hidden="false" customHeight="true" outlineLevel="0" collapsed="false">
      <c r="A152" s="105" t="n">
        <v>8068</v>
      </c>
      <c r="B152" s="122" t="s">
        <v>411</v>
      </c>
      <c r="C152" s="103" t="n">
        <f aca="false">PREMIER!F13</f>
        <v>220</v>
      </c>
      <c r="D152" s="123"/>
      <c r="F152" s="109" t="n">
        <v>8060</v>
      </c>
      <c r="G152" s="139" t="s">
        <v>477</v>
      </c>
      <c r="H152" s="142" t="n">
        <f aca="false">'AOC-JVC'!F6</f>
        <v>200</v>
      </c>
      <c r="I152" s="123"/>
    </row>
    <row r="153" customFormat="false" ht="11.25" hidden="false" customHeight="true" outlineLevel="0" collapsed="false">
      <c r="A153" s="109" t="n">
        <v>8069</v>
      </c>
      <c r="B153" s="139" t="s">
        <v>412</v>
      </c>
      <c r="C153" s="103" t="n">
        <f aca="false">PREMIER!F14</f>
        <v>220</v>
      </c>
      <c r="D153" s="123" t="n">
        <v>230</v>
      </c>
      <c r="F153" s="105" t="n">
        <v>8070</v>
      </c>
      <c r="G153" s="122" t="s">
        <v>478</v>
      </c>
      <c r="H153" s="142" t="n">
        <f aca="false">'AOC-JVC'!F7</f>
        <v>250</v>
      </c>
      <c r="I153" s="123"/>
    </row>
    <row r="154" customFormat="false" ht="11.25" hidden="false" customHeight="true" outlineLevel="0" collapsed="false">
      <c r="A154" s="105" t="n">
        <v>8087</v>
      </c>
      <c r="B154" s="122" t="s">
        <v>414</v>
      </c>
      <c r="C154" s="103" t="n">
        <f aca="false">PREMIER!F15</f>
        <v>250</v>
      </c>
      <c r="D154" s="123" t="n">
        <v>230</v>
      </c>
      <c r="F154" s="109" t="n">
        <v>8099</v>
      </c>
      <c r="G154" s="139" t="s">
        <v>480</v>
      </c>
      <c r="H154" s="142" t="n">
        <f aca="false">'AOC-JVC'!F8</f>
        <v>350</v>
      </c>
      <c r="I154" s="123"/>
    </row>
    <row r="155" customFormat="false" ht="11.25" hidden="false" customHeight="true" outlineLevel="0" collapsed="false">
      <c r="A155" s="109" t="n">
        <v>8095</v>
      </c>
      <c r="B155" s="139" t="s">
        <v>415</v>
      </c>
      <c r="C155" s="103" t="n">
        <f aca="false">PREMIER!F16</f>
        <v>300</v>
      </c>
      <c r="D155" s="123" t="n">
        <v>240</v>
      </c>
      <c r="F155" s="105" t="n">
        <v>8100</v>
      </c>
      <c r="G155" s="122" t="s">
        <v>481</v>
      </c>
      <c r="H155" s="142" t="n">
        <f aca="false">'AOC-JVC'!F9</f>
        <v>300</v>
      </c>
      <c r="I155" s="123"/>
    </row>
    <row r="156" customFormat="false" ht="11.25" hidden="false" customHeight="true" outlineLevel="0" collapsed="false">
      <c r="A156" s="105" t="n">
        <v>8096</v>
      </c>
      <c r="B156" s="122" t="s">
        <v>416</v>
      </c>
      <c r="C156" s="103" t="n">
        <f aca="false">PREMIER!F17</f>
        <v>300</v>
      </c>
      <c r="D156" s="123" t="n">
        <v>240</v>
      </c>
      <c r="F156" s="109" t="n">
        <v>8101</v>
      </c>
      <c r="G156" s="139" t="s">
        <v>483</v>
      </c>
      <c r="H156" s="142" t="n">
        <f aca="false">'AOC-JVC'!F10</f>
        <v>400</v>
      </c>
      <c r="I156" s="123"/>
    </row>
    <row r="157" customFormat="false" ht="11.25" hidden="false" customHeight="true" outlineLevel="0" collapsed="false">
      <c r="A157" s="109" t="n">
        <v>8097</v>
      </c>
      <c r="B157" s="139" t="s">
        <v>417</v>
      </c>
      <c r="C157" s="103" t="n">
        <f aca="false">PREMIER!F18</f>
        <v>380</v>
      </c>
      <c r="D157" s="123" t="n">
        <v>380</v>
      </c>
      <c r="F157" s="105" t="n">
        <v>8104</v>
      </c>
      <c r="G157" s="122" t="s">
        <v>484</v>
      </c>
      <c r="H157" s="142" t="n">
        <f aca="false">'AOC-JVC'!F11</f>
        <v>400</v>
      </c>
      <c r="I157" s="123"/>
    </row>
    <row r="158" customFormat="false" ht="11.25" hidden="false" customHeight="true" outlineLevel="0" collapsed="false">
      <c r="A158" s="105" t="n">
        <v>8098</v>
      </c>
      <c r="B158" s="122" t="s">
        <v>418</v>
      </c>
      <c r="C158" s="103" t="n">
        <f aca="false">PREMIER!F19</f>
        <v>420</v>
      </c>
      <c r="D158" s="123"/>
      <c r="F158" s="109" t="n">
        <v>9001</v>
      </c>
      <c r="G158" s="139" t="s">
        <v>485</v>
      </c>
      <c r="H158" s="142" t="n">
        <f aca="false">'AOC-JVC'!F12</f>
        <v>450</v>
      </c>
      <c r="I158" s="123"/>
    </row>
    <row r="159" customFormat="false" ht="11.25" hidden="false" customHeight="true" outlineLevel="0" collapsed="false">
      <c r="F159" s="105" t="n">
        <v>9002</v>
      </c>
      <c r="G159" s="122" t="s">
        <v>487</v>
      </c>
      <c r="H159" s="142" t="n">
        <f aca="false">'AOC-JVC'!F13</f>
        <v>450</v>
      </c>
      <c r="I159" s="123"/>
    </row>
  </sheetData>
  <mergeCells count="14">
    <mergeCell ref="A1:H1"/>
    <mergeCell ref="A2:C2"/>
    <mergeCell ref="F2:H2"/>
    <mergeCell ref="A69:C69"/>
    <mergeCell ref="F70:H70"/>
    <mergeCell ref="A81:C81"/>
    <mergeCell ref="F81:H81"/>
    <mergeCell ref="F113:H113"/>
    <mergeCell ref="A124:C124"/>
    <mergeCell ref="F131:H131"/>
    <mergeCell ref="A133:C133"/>
    <mergeCell ref="A142:C142"/>
    <mergeCell ref="F142:H142"/>
    <mergeCell ref="F149:H149"/>
  </mergeCells>
  <printOptions headings="false" gridLines="false" gridLinesSet="true" horizontalCentered="false" verticalCentered="false"/>
  <pageMargins left="0.440277777777778" right="0.708333333333333" top="0" bottom="0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82" colorId="64" zoomScale="160" zoomScaleNormal="160" zoomScalePageLayoutView="100" workbookViewId="0">
      <selection pane="topLeft" activeCell="B10" activeCellId="0" sqref="B10"/>
    </sheetView>
  </sheetViews>
  <sheetFormatPr defaultColWidth="10.59765625" defaultRowHeight="15" customHeight="false" zeroHeight="false" outlineLevelRow="0" outlineLevelCol="0"/>
  <cols>
    <col collapsed="false" customWidth="true" hidden="false" outlineLevel="0" max="1" min="1" style="1" width="4.72"/>
    <col collapsed="false" customWidth="true" hidden="false" outlineLevel="0" max="2" min="2" style="1" width="26.14"/>
    <col collapsed="false" customWidth="true" hidden="false" outlineLevel="0" max="3" min="3" style="1" width="6.29"/>
    <col collapsed="false" customWidth="true" hidden="false" outlineLevel="0" max="4" min="4" style="111" width="8.72"/>
    <col collapsed="false" customWidth="true" hidden="false" outlineLevel="0" max="5" min="5" style="1" width="5.71"/>
    <col collapsed="false" customWidth="true" hidden="false" outlineLevel="0" max="6" min="6" style="1" width="35.57"/>
    <col collapsed="false" customWidth="true" hidden="false" outlineLevel="0" max="7" min="7" style="89" width="5"/>
  </cols>
  <sheetData>
    <row r="1" customFormat="false" ht="24.45" hidden="false" customHeight="false" outlineLevel="0" collapsed="false">
      <c r="A1" s="143" t="s">
        <v>818</v>
      </c>
      <c r="B1" s="143"/>
      <c r="C1" s="143"/>
      <c r="D1" s="143"/>
      <c r="E1" s="143"/>
      <c r="F1" s="143"/>
      <c r="G1" s="15"/>
      <c r="H1" s="15"/>
    </row>
    <row r="2" customFormat="false" ht="17.35" hidden="false" customHeight="false" outlineLevel="0" collapsed="false">
      <c r="A2" s="119" t="s">
        <v>819</v>
      </c>
      <c r="B2" s="119"/>
      <c r="C2" s="119"/>
      <c r="D2" s="119"/>
      <c r="E2" s="119"/>
      <c r="F2" s="119"/>
      <c r="G2" s="15"/>
      <c r="H2" s="15"/>
    </row>
    <row r="3" customFormat="false" ht="17.35" hidden="false" customHeight="false" outlineLevel="0" collapsed="false">
      <c r="A3" s="91" t="s">
        <v>0</v>
      </c>
      <c r="B3" s="91"/>
      <c r="C3" s="91"/>
      <c r="E3" s="91" t="s">
        <v>791</v>
      </c>
      <c r="F3" s="91"/>
      <c r="H3" s="15"/>
    </row>
    <row r="4" customFormat="false" ht="11.25" hidden="false" customHeight="true" outlineLevel="0" collapsed="false">
      <c r="A4" s="93" t="s">
        <v>792</v>
      </c>
      <c r="B4" s="94" t="s">
        <v>2</v>
      </c>
      <c r="C4" s="94" t="s">
        <v>820</v>
      </c>
      <c r="D4" s="144"/>
      <c r="E4" s="93" t="s">
        <v>792</v>
      </c>
      <c r="F4" s="94" t="s">
        <v>2</v>
      </c>
      <c r="G4" s="94" t="s">
        <v>820</v>
      </c>
      <c r="H4" s="15"/>
    </row>
    <row r="5" customFormat="false" ht="11.25" hidden="false" customHeight="true" outlineLevel="0" collapsed="false">
      <c r="A5" s="101" t="n">
        <v>1000</v>
      </c>
      <c r="B5" s="102" t="s">
        <v>23</v>
      </c>
      <c r="C5" s="103" t="n">
        <f aca="false">LG26V[[#This Row],[STOCK JUEGOS]]</f>
        <v>21</v>
      </c>
      <c r="D5" s="145" t="s">
        <v>24</v>
      </c>
      <c r="E5" s="105" t="n">
        <v>2000</v>
      </c>
      <c r="F5" s="106" t="s">
        <v>138</v>
      </c>
      <c r="G5" s="103" t="n">
        <f aca="false">samgung26[[#This Row],[STOCK JUEGOS]]</f>
        <v>4</v>
      </c>
      <c r="H5" s="145" t="s">
        <v>139</v>
      </c>
    </row>
    <row r="6" customFormat="false" ht="11.25" hidden="false" customHeight="true" outlineLevel="0" collapsed="false">
      <c r="A6" s="107" t="n">
        <v>1003</v>
      </c>
      <c r="B6" s="108" t="s">
        <v>25</v>
      </c>
      <c r="C6" s="103" t="n">
        <f aca="false">LG26V[[#This Row],[STOCK JUEGOS]]</f>
        <v>-3</v>
      </c>
      <c r="D6" s="144" t="s">
        <v>26</v>
      </c>
      <c r="E6" s="109" t="n">
        <v>2001</v>
      </c>
      <c r="F6" s="110" t="s">
        <v>141</v>
      </c>
      <c r="G6" s="103" t="n">
        <f aca="false">samgung26[[#This Row],[STOCK JUEGOS]]</f>
        <v>2</v>
      </c>
      <c r="H6" s="144"/>
    </row>
    <row r="7" customFormat="false" ht="11.25" hidden="false" customHeight="true" outlineLevel="0" collapsed="false">
      <c r="A7" s="101" t="n">
        <v>1006</v>
      </c>
      <c r="B7" s="102" t="s">
        <v>27</v>
      </c>
      <c r="C7" s="103" t="n">
        <f aca="false">LG26V[[#This Row],[STOCK JUEGOS]]</f>
        <v>31</v>
      </c>
      <c r="D7" s="145" t="s">
        <v>28</v>
      </c>
      <c r="E7" s="105" t="n">
        <v>2003</v>
      </c>
      <c r="F7" s="110" t="s">
        <v>142</v>
      </c>
      <c r="G7" s="103" t="n">
        <f aca="false">samgung26[[#This Row],[STOCK JUEGOS]]</f>
        <v>25</v>
      </c>
      <c r="H7" s="145" t="s">
        <v>144</v>
      </c>
    </row>
    <row r="8" customFormat="false" ht="11.25" hidden="false" customHeight="true" outlineLevel="0" collapsed="false">
      <c r="A8" s="101" t="n">
        <v>1011</v>
      </c>
      <c r="B8" s="102" t="s">
        <v>29</v>
      </c>
      <c r="C8" s="103" t="n">
        <f aca="false">LG26V[[#This Row],[STOCK JUEGOS]]</f>
        <v>0</v>
      </c>
      <c r="D8" s="144" t="s">
        <v>30</v>
      </c>
      <c r="E8" s="109" t="n">
        <v>2006</v>
      </c>
      <c r="F8" s="110" t="s">
        <v>145</v>
      </c>
      <c r="G8" s="103" t="n">
        <f aca="false">samgung26[[#This Row],[STOCK JUEGOS]]</f>
        <v>18</v>
      </c>
      <c r="H8" s="144" t="s">
        <v>146</v>
      </c>
    </row>
    <row r="9" customFormat="false" ht="11.25" hidden="false" customHeight="true" outlineLevel="0" collapsed="false">
      <c r="A9" s="107" t="n">
        <v>1012</v>
      </c>
      <c r="B9" s="108" t="s">
        <v>31</v>
      </c>
      <c r="C9" s="103" t="n">
        <f aca="false">LG26V[[#This Row],[STOCK JUEGOS]]</f>
        <v>13</v>
      </c>
      <c r="D9" s="145" t="s">
        <v>32</v>
      </c>
      <c r="E9" s="105" t="n">
        <v>2009</v>
      </c>
      <c r="F9" s="106" t="s">
        <v>147</v>
      </c>
      <c r="G9" s="103" t="n">
        <f aca="false">samgung26[[#This Row],[STOCK JUEGOS]]</f>
        <v>19</v>
      </c>
      <c r="H9" s="145" t="s">
        <v>148</v>
      </c>
    </row>
    <row r="10" customFormat="false" ht="11.25" hidden="false" customHeight="true" outlineLevel="0" collapsed="false">
      <c r="A10" s="101" t="n">
        <v>1015</v>
      </c>
      <c r="B10" s="102" t="s">
        <v>33</v>
      </c>
      <c r="C10" s="103" t="n">
        <f aca="false">LG26V[[#This Row],[STOCK JUEGOS]]</f>
        <v>10</v>
      </c>
      <c r="D10" s="144" t="s">
        <v>34</v>
      </c>
      <c r="E10" s="105" t="n">
        <v>2008</v>
      </c>
      <c r="F10" s="111" t="s">
        <v>149</v>
      </c>
      <c r="G10" s="103" t="n">
        <f aca="false">samgung26[[#This Row],[STOCK JUEGOS]]</f>
        <v>10</v>
      </c>
      <c r="H10" s="111" t="s">
        <v>150</v>
      </c>
    </row>
    <row r="11" customFormat="false" ht="11.25" hidden="false" customHeight="true" outlineLevel="0" collapsed="false">
      <c r="A11" s="107" t="n">
        <v>1018</v>
      </c>
      <c r="B11" s="108" t="s">
        <v>35</v>
      </c>
      <c r="C11" s="103" t="n">
        <f aca="false">LG26V[[#This Row],[STOCK JUEGOS]]</f>
        <v>15</v>
      </c>
      <c r="D11" s="145" t="s">
        <v>36</v>
      </c>
      <c r="E11" s="109" t="n">
        <v>2012</v>
      </c>
      <c r="F11" s="146" t="s">
        <v>151</v>
      </c>
      <c r="G11" s="103" t="n">
        <f aca="false">samgung26[[#This Row],[STOCK JUEGOS]]</f>
        <v>14</v>
      </c>
      <c r="H11" s="144" t="s">
        <v>152</v>
      </c>
    </row>
    <row r="12" customFormat="false" ht="11.25" hidden="false" customHeight="true" outlineLevel="0" collapsed="false">
      <c r="A12" s="101" t="n">
        <v>1021</v>
      </c>
      <c r="B12" s="102" t="s">
        <v>37</v>
      </c>
      <c r="C12" s="103" t="n">
        <f aca="false">LG26V[[#This Row],[STOCK JUEGOS]]</f>
        <v>1</v>
      </c>
      <c r="D12" s="144"/>
      <c r="E12" s="105" t="n">
        <v>2013</v>
      </c>
      <c r="F12" s="113" t="s">
        <v>153</v>
      </c>
      <c r="G12" s="103" t="n">
        <f aca="false">samgung26[[#This Row],[STOCK JUEGOS]]</f>
        <v>10</v>
      </c>
      <c r="H12" s="145" t="s">
        <v>154</v>
      </c>
    </row>
    <row r="13" customFormat="false" ht="11.25" hidden="false" customHeight="true" outlineLevel="0" collapsed="false">
      <c r="A13" s="107" t="n">
        <v>1024</v>
      </c>
      <c r="B13" s="108" t="s">
        <v>38</v>
      </c>
      <c r="C13" s="103" t="n">
        <f aca="false">LG26V[[#This Row],[STOCK JUEGOS]]</f>
        <v>18</v>
      </c>
      <c r="D13" s="145" t="s">
        <v>39</v>
      </c>
      <c r="E13" s="109" t="n">
        <v>2015</v>
      </c>
      <c r="F13" s="110" t="s">
        <v>155</v>
      </c>
      <c r="G13" s="103" t="n">
        <f aca="false">samgung26[[#This Row],[STOCK JUEGOS]]</f>
        <v>10</v>
      </c>
      <c r="H13" s="144" t="s">
        <v>156</v>
      </c>
    </row>
    <row r="14" customFormat="false" ht="11.25" hidden="false" customHeight="true" outlineLevel="0" collapsed="false">
      <c r="A14" s="101" t="n">
        <v>1027</v>
      </c>
      <c r="B14" s="108" t="s">
        <v>40</v>
      </c>
      <c r="C14" s="103" t="n">
        <f aca="false">LG26V[[#This Row],[STOCK JUEGOS]]</f>
        <v>26</v>
      </c>
      <c r="D14" s="144" t="s">
        <v>41</v>
      </c>
      <c r="E14" s="105" t="n">
        <v>2018</v>
      </c>
      <c r="F14" s="106" t="s">
        <v>158</v>
      </c>
      <c r="G14" s="103" t="n">
        <f aca="false">samgung26[[#This Row],[STOCK JUEGOS]]</f>
        <v>16</v>
      </c>
      <c r="H14" s="145" t="s">
        <v>159</v>
      </c>
    </row>
    <row r="15" customFormat="false" ht="11.25" hidden="false" customHeight="true" outlineLevel="0" collapsed="false">
      <c r="A15" s="107" t="n">
        <v>1028</v>
      </c>
      <c r="B15" s="108" t="s">
        <v>42</v>
      </c>
      <c r="C15" s="103" t="n">
        <f aca="false">LG26V[[#This Row],[STOCK JUEGOS]]</f>
        <v>3</v>
      </c>
      <c r="D15" s="145"/>
      <c r="E15" s="109" t="n">
        <v>2021</v>
      </c>
      <c r="F15" s="110" t="s">
        <v>161</v>
      </c>
      <c r="G15" s="103" t="n">
        <f aca="false">samgung26[[#This Row],[STOCK JUEGOS]]</f>
        <v>5</v>
      </c>
      <c r="H15" s="144" t="s">
        <v>162</v>
      </c>
    </row>
    <row r="16" customFormat="false" ht="11.25" hidden="false" customHeight="true" outlineLevel="0" collapsed="false">
      <c r="A16" s="101" t="n">
        <v>1030</v>
      </c>
      <c r="B16" s="102" t="s">
        <v>43</v>
      </c>
      <c r="C16" s="103" t="n">
        <f aca="false">LG26V[[#This Row],[STOCK JUEGOS]]</f>
        <v>9</v>
      </c>
      <c r="D16" s="144" t="s">
        <v>44</v>
      </c>
      <c r="E16" s="105" t="n">
        <v>2024</v>
      </c>
      <c r="F16" s="106" t="s">
        <v>164</v>
      </c>
      <c r="G16" s="103" t="n">
        <f aca="false">samgung26[[#This Row],[STOCK JUEGOS]]</f>
        <v>18</v>
      </c>
      <c r="H16" s="145" t="s">
        <v>165</v>
      </c>
    </row>
    <row r="17" customFormat="false" ht="11.25" hidden="false" customHeight="true" outlineLevel="0" collapsed="false">
      <c r="A17" s="107" t="n">
        <v>1033</v>
      </c>
      <c r="B17" s="108" t="s">
        <v>45</v>
      </c>
      <c r="C17" s="103" t="n">
        <f aca="false">LG26V[[#This Row],[STOCK JUEGOS]]</f>
        <v>18</v>
      </c>
      <c r="D17" s="145" t="s">
        <v>46</v>
      </c>
      <c r="E17" s="105" t="n">
        <v>2025</v>
      </c>
      <c r="F17" s="57" t="s">
        <v>167</v>
      </c>
      <c r="G17" s="103" t="n">
        <f aca="false">samgung26[[#This Row],[STOCK JUEGOS]]</f>
        <v>20</v>
      </c>
      <c r="H17" s="111" t="s">
        <v>168</v>
      </c>
    </row>
    <row r="18" customFormat="false" ht="11.25" hidden="false" customHeight="true" outlineLevel="0" collapsed="false">
      <c r="A18" s="101" t="n">
        <v>1036</v>
      </c>
      <c r="B18" s="108" t="s">
        <v>47</v>
      </c>
      <c r="C18" s="103" t="n">
        <f aca="false">LG26V[[#This Row],[STOCK JUEGOS]]</f>
        <v>17</v>
      </c>
      <c r="D18" s="144" t="s">
        <v>48</v>
      </c>
      <c r="E18" s="109" t="n">
        <v>2027</v>
      </c>
      <c r="F18" s="110" t="s">
        <v>169</v>
      </c>
      <c r="G18" s="103" t="n">
        <f aca="false">samgung26[[#This Row],[STOCK JUEGOS]]</f>
        <v>12</v>
      </c>
      <c r="H18" s="144" t="s">
        <v>170</v>
      </c>
    </row>
    <row r="19" customFormat="false" ht="11.25" hidden="false" customHeight="true" outlineLevel="0" collapsed="false">
      <c r="A19" s="107" t="n">
        <v>1039</v>
      </c>
      <c r="B19" s="108" t="s">
        <v>49</v>
      </c>
      <c r="C19" s="103" t="n">
        <f aca="false">LG26V[[#This Row],[STOCK JUEGOS]]</f>
        <v>15</v>
      </c>
      <c r="D19" s="145" t="s">
        <v>50</v>
      </c>
      <c r="E19" s="105" t="n">
        <v>2029</v>
      </c>
      <c r="F19" s="106" t="s">
        <v>172</v>
      </c>
      <c r="G19" s="103" t="n">
        <f aca="false">samgung26[[#This Row],[STOCK JUEGOS]]</f>
        <v>8</v>
      </c>
      <c r="H19" s="145" t="s">
        <v>173</v>
      </c>
    </row>
    <row r="20" customFormat="false" ht="11.25" hidden="false" customHeight="true" outlineLevel="0" collapsed="false">
      <c r="A20" s="101" t="n">
        <v>1042</v>
      </c>
      <c r="B20" s="102" t="s">
        <v>51</v>
      </c>
      <c r="C20" s="103" t="n">
        <f aca="false">LG26V[[#This Row],[STOCK JUEGOS]]</f>
        <v>6</v>
      </c>
      <c r="D20" s="144" t="s">
        <v>52</v>
      </c>
      <c r="E20" s="109" t="n">
        <v>2030</v>
      </c>
      <c r="F20" s="110" t="s">
        <v>174</v>
      </c>
      <c r="G20" s="103" t="n">
        <f aca="false">samgung26[[#This Row],[STOCK JUEGOS]]</f>
        <v>2</v>
      </c>
      <c r="H20" s="144"/>
    </row>
    <row r="21" customFormat="false" ht="11.25" hidden="false" customHeight="true" outlineLevel="0" collapsed="false">
      <c r="A21" s="107" t="n">
        <v>1045</v>
      </c>
      <c r="B21" s="108" t="s">
        <v>53</v>
      </c>
      <c r="C21" s="103" t="n">
        <f aca="false">LG26V[[#This Row],[STOCK JUEGOS]]</f>
        <v>12</v>
      </c>
      <c r="D21" s="145" t="s">
        <v>54</v>
      </c>
      <c r="E21" s="105" t="n">
        <v>2033</v>
      </c>
      <c r="F21" s="106" t="s">
        <v>175</v>
      </c>
      <c r="G21" s="103" t="n">
        <f aca="false">samgung26[[#This Row],[STOCK JUEGOS]]</f>
        <v>20</v>
      </c>
      <c r="H21" s="145"/>
    </row>
    <row r="22" customFormat="false" ht="11.25" hidden="false" customHeight="true" outlineLevel="0" collapsed="false">
      <c r="A22" s="101" t="n">
        <v>1048</v>
      </c>
      <c r="B22" s="102" t="s">
        <v>55</v>
      </c>
      <c r="C22" s="103" t="n">
        <f aca="false">LG26V[[#This Row],[STOCK JUEGOS]]</f>
        <v>0</v>
      </c>
      <c r="D22" s="144"/>
      <c r="E22" s="109" t="n">
        <v>2036</v>
      </c>
      <c r="F22" s="110" t="s">
        <v>177</v>
      </c>
      <c r="G22" s="103" t="n">
        <f aca="false">samgung26[[#This Row],[STOCK JUEGOS]]</f>
        <v>26</v>
      </c>
      <c r="H22" s="144" t="s">
        <v>178</v>
      </c>
    </row>
    <row r="23" customFormat="false" ht="11.25" hidden="false" customHeight="true" outlineLevel="0" collapsed="false">
      <c r="A23" s="107" t="n">
        <v>1049</v>
      </c>
      <c r="B23" s="108" t="s">
        <v>56</v>
      </c>
      <c r="C23" s="103" t="n">
        <f aca="false">LG26V[[#This Row],[STOCK JUEGOS]]</f>
        <v>24</v>
      </c>
      <c r="D23" s="145" t="s">
        <v>57</v>
      </c>
      <c r="E23" s="105" t="n">
        <v>2039</v>
      </c>
      <c r="F23" s="105" t="s">
        <v>795</v>
      </c>
      <c r="G23" s="103" t="n">
        <f aca="false">samgung26[[#This Row],[STOCK JUEGOS]]</f>
        <v>19</v>
      </c>
      <c r="H23" s="145" t="s">
        <v>181</v>
      </c>
    </row>
    <row r="24" customFormat="false" ht="11.25" hidden="false" customHeight="true" outlineLevel="0" collapsed="false">
      <c r="A24" s="101" t="n">
        <v>1057</v>
      </c>
      <c r="B24" s="102" t="s">
        <v>58</v>
      </c>
      <c r="C24" s="103" t="n">
        <f aca="false">LG26V[[#This Row],[STOCK JUEGOS]]</f>
        <v>1</v>
      </c>
      <c r="D24" s="144"/>
      <c r="E24" s="109" t="n">
        <v>2040</v>
      </c>
      <c r="F24" s="109" t="s">
        <v>182</v>
      </c>
      <c r="G24" s="103" t="n">
        <f aca="false">samgung26[[#This Row],[STOCK JUEGOS]]</f>
        <v>15</v>
      </c>
      <c r="H24" s="144"/>
    </row>
    <row r="25" customFormat="false" ht="11.25" hidden="false" customHeight="true" outlineLevel="0" collapsed="false">
      <c r="A25" s="107" t="n">
        <v>1060</v>
      </c>
      <c r="B25" s="108" t="s">
        <v>59</v>
      </c>
      <c r="C25" s="103" t="n">
        <f aca="false">LG26V[[#This Row],[STOCK JUEGOS]]</f>
        <v>13</v>
      </c>
      <c r="D25" s="145" t="s">
        <v>60</v>
      </c>
      <c r="E25" s="105" t="n">
        <v>2042</v>
      </c>
      <c r="F25" s="106" t="s">
        <v>184</v>
      </c>
      <c r="G25" s="103" t="n">
        <f aca="false">samgung26[[#This Row],[STOCK JUEGOS]]</f>
        <v>10</v>
      </c>
      <c r="H25" s="145" t="s">
        <v>185</v>
      </c>
    </row>
    <row r="26" customFormat="false" ht="11.25" hidden="false" customHeight="true" outlineLevel="0" collapsed="false">
      <c r="A26" s="101" t="n">
        <v>1063</v>
      </c>
      <c r="B26" s="102" t="s">
        <v>61</v>
      </c>
      <c r="C26" s="103" t="n">
        <f aca="false">LG26V[[#This Row],[STOCK JUEGOS]]</f>
        <v>19</v>
      </c>
      <c r="D26" s="144" t="s">
        <v>62</v>
      </c>
      <c r="E26" s="109" t="n">
        <v>2045</v>
      </c>
      <c r="F26" s="110" t="s">
        <v>186</v>
      </c>
      <c r="G26" s="103" t="n">
        <f aca="false">samgung26[[#This Row],[STOCK JUEGOS]]</f>
        <v>5</v>
      </c>
      <c r="H26" s="144" t="s">
        <v>187</v>
      </c>
    </row>
    <row r="27" customFormat="false" ht="11.25" hidden="false" customHeight="true" outlineLevel="0" collapsed="false">
      <c r="A27" s="107" t="n">
        <v>1064</v>
      </c>
      <c r="B27" s="108" t="s">
        <v>63</v>
      </c>
      <c r="C27" s="103" t="n">
        <f aca="false">LG26V[[#This Row],[STOCK JUEGOS]]</f>
        <v>18</v>
      </c>
      <c r="D27" s="145" t="s">
        <v>64</v>
      </c>
      <c r="E27" s="105" t="n">
        <v>2048</v>
      </c>
      <c r="F27" s="106" t="s">
        <v>188</v>
      </c>
      <c r="G27" s="103" t="n">
        <f aca="false">samgung26[[#This Row],[STOCK JUEGOS]]</f>
        <v>26</v>
      </c>
      <c r="H27" s="145" t="s">
        <v>189</v>
      </c>
    </row>
    <row r="28" customFormat="false" ht="11.25" hidden="false" customHeight="true" outlineLevel="0" collapsed="false">
      <c r="A28" s="107" t="n">
        <v>1065</v>
      </c>
      <c r="B28" s="114" t="s">
        <v>65</v>
      </c>
      <c r="C28" s="103" t="n">
        <f aca="false">LG26V[[#This Row],[STOCK JUEGOS]]</f>
        <v>20</v>
      </c>
      <c r="D28" s="111" t="s">
        <v>66</v>
      </c>
      <c r="E28" s="109" t="n">
        <v>2051</v>
      </c>
      <c r="F28" s="110" t="s">
        <v>190</v>
      </c>
      <c r="G28" s="103" t="n">
        <f aca="false">samgung26[[#This Row],[STOCK JUEGOS]]</f>
        <v>14</v>
      </c>
      <c r="H28" s="144" t="s">
        <v>191</v>
      </c>
    </row>
    <row r="29" customFormat="false" ht="11.25" hidden="false" customHeight="true" outlineLevel="0" collapsed="false">
      <c r="A29" s="101" t="n">
        <v>1066</v>
      </c>
      <c r="B29" s="102" t="s">
        <v>67</v>
      </c>
      <c r="C29" s="103" t="n">
        <f aca="false">LG26V[[#This Row],[STOCK JUEGOS]]</f>
        <v>8</v>
      </c>
      <c r="D29" s="144" t="s">
        <v>68</v>
      </c>
      <c r="E29" s="105" t="n">
        <v>2054</v>
      </c>
      <c r="F29" s="106" t="s">
        <v>192</v>
      </c>
      <c r="G29" s="103" t="n">
        <f aca="false">samgung26[[#This Row],[STOCK JUEGOS]]</f>
        <v>2</v>
      </c>
      <c r="H29" s="145" t="s">
        <v>193</v>
      </c>
    </row>
    <row r="30" customFormat="false" ht="11.25" hidden="false" customHeight="true" outlineLevel="0" collapsed="false">
      <c r="A30" s="107" t="n">
        <v>1067</v>
      </c>
      <c r="B30" s="108" t="s">
        <v>69</v>
      </c>
      <c r="C30" s="103" t="n">
        <f aca="false">LG26V[[#This Row],[STOCK JUEGOS]]</f>
        <v>20</v>
      </c>
      <c r="D30" s="145"/>
      <c r="E30" s="109" t="n">
        <v>2057</v>
      </c>
      <c r="F30" s="110" t="s">
        <v>194</v>
      </c>
      <c r="G30" s="103" t="n">
        <f aca="false">samgung26[[#This Row],[STOCK JUEGOS]]</f>
        <v>10</v>
      </c>
      <c r="H30" s="144" t="s">
        <v>195</v>
      </c>
    </row>
    <row r="31" customFormat="false" ht="11.25" hidden="false" customHeight="true" outlineLevel="0" collapsed="false">
      <c r="A31" s="101" t="n">
        <v>1069</v>
      </c>
      <c r="B31" s="102" t="s">
        <v>71</v>
      </c>
      <c r="C31" s="103" t="n">
        <f aca="false">LG26V[[#This Row],[STOCK JUEGOS]]</f>
        <v>10</v>
      </c>
      <c r="D31" s="144" t="s">
        <v>72</v>
      </c>
      <c r="E31" s="105" t="n">
        <v>2060</v>
      </c>
      <c r="F31" s="113" t="s">
        <v>196</v>
      </c>
      <c r="G31" s="103" t="n">
        <f aca="false">samgung26[[#This Row],[STOCK JUEGOS]]</f>
        <v>7</v>
      </c>
      <c r="H31" s="145" t="s">
        <v>197</v>
      </c>
    </row>
    <row r="32" customFormat="false" ht="11.25" hidden="false" customHeight="true" outlineLevel="0" collapsed="false">
      <c r="A32" s="107" t="n">
        <v>1072</v>
      </c>
      <c r="B32" s="108" t="s">
        <v>73</v>
      </c>
      <c r="C32" s="103" t="n">
        <f aca="false">LG26V[[#This Row],[STOCK JUEGOS]]</f>
        <v>18</v>
      </c>
      <c r="D32" s="145" t="s">
        <v>74</v>
      </c>
      <c r="E32" s="109" t="n">
        <v>2063</v>
      </c>
      <c r="F32" s="110" t="s">
        <v>198</v>
      </c>
      <c r="G32" s="103" t="n">
        <f aca="false">samgung26[[#This Row],[STOCK JUEGOS]]</f>
        <v>25</v>
      </c>
      <c r="H32" s="144" t="s">
        <v>199</v>
      </c>
    </row>
    <row r="33" customFormat="false" ht="11.25" hidden="false" customHeight="true" outlineLevel="0" collapsed="false">
      <c r="A33" s="101" t="n">
        <v>1073</v>
      </c>
      <c r="B33" s="102" t="s">
        <v>75</v>
      </c>
      <c r="C33" s="103" t="n">
        <f aca="false">LG26V[[#This Row],[STOCK JUEGOS]]</f>
        <v>2</v>
      </c>
      <c r="D33" s="144"/>
      <c r="E33" s="105" t="n">
        <v>2064</v>
      </c>
      <c r="F33" s="106" t="s">
        <v>201</v>
      </c>
      <c r="G33" s="103" t="n">
        <f aca="false">samgung26[[#This Row],[STOCK JUEGOS]]</f>
        <v>15</v>
      </c>
      <c r="H33" s="145" t="s">
        <v>202</v>
      </c>
    </row>
    <row r="34" customFormat="false" ht="11.25" hidden="false" customHeight="true" outlineLevel="0" collapsed="false">
      <c r="A34" s="107" t="n">
        <v>1075</v>
      </c>
      <c r="B34" s="108" t="s">
        <v>76</v>
      </c>
      <c r="C34" s="103" t="n">
        <f aca="false">LG26V[[#This Row],[STOCK JUEGOS]]</f>
        <v>22</v>
      </c>
      <c r="D34" s="145" t="s">
        <v>77</v>
      </c>
      <c r="E34" s="109" t="n">
        <v>2065</v>
      </c>
      <c r="F34" s="110" t="s">
        <v>204</v>
      </c>
      <c r="G34" s="103" t="n">
        <f aca="false">samgung26[[#This Row],[STOCK JUEGOS]]</f>
        <v>13</v>
      </c>
      <c r="H34" s="144" t="s">
        <v>205</v>
      </c>
    </row>
    <row r="35" customFormat="false" ht="11.25" hidden="false" customHeight="true" outlineLevel="0" collapsed="false">
      <c r="A35" s="101" t="n">
        <v>1076</v>
      </c>
      <c r="B35" s="102" t="s">
        <v>78</v>
      </c>
      <c r="C35" s="103" t="n">
        <f aca="false">LG26V[[#This Row],[STOCK JUEGOS]]</f>
        <v>1</v>
      </c>
      <c r="D35" s="144"/>
      <c r="E35" s="105" t="n">
        <v>2066</v>
      </c>
      <c r="F35" s="106" t="s">
        <v>206</v>
      </c>
      <c r="G35" s="103" t="n">
        <f aca="false">samgung26[[#This Row],[STOCK JUEGOS]]</f>
        <v>2</v>
      </c>
      <c r="H35" s="145" t="s">
        <v>207</v>
      </c>
    </row>
    <row r="36" customFormat="false" ht="11.25" hidden="false" customHeight="true" outlineLevel="0" collapsed="false">
      <c r="A36" s="107" t="n">
        <v>1078</v>
      </c>
      <c r="B36" s="108" t="s">
        <v>79</v>
      </c>
      <c r="C36" s="103" t="n">
        <f aca="false">LG26V[[#This Row],[STOCK JUEGOS]]</f>
        <v>6</v>
      </c>
      <c r="D36" s="145" t="s">
        <v>80</v>
      </c>
      <c r="E36" s="109" t="n">
        <v>2067</v>
      </c>
      <c r="F36" s="110" t="s">
        <v>208</v>
      </c>
      <c r="G36" s="103" t="n">
        <f aca="false">samgung26[[#This Row],[STOCK JUEGOS]]</f>
        <v>8</v>
      </c>
      <c r="H36" s="144" t="s">
        <v>209</v>
      </c>
    </row>
    <row r="37" customFormat="false" ht="11.25" hidden="false" customHeight="true" outlineLevel="0" collapsed="false">
      <c r="A37" s="101" t="n">
        <v>1081</v>
      </c>
      <c r="B37" s="102" t="s">
        <v>81</v>
      </c>
      <c r="C37" s="103" t="n">
        <f aca="false">LG26V[[#This Row],[STOCK JUEGOS]]</f>
        <v>2</v>
      </c>
      <c r="D37" s="144"/>
      <c r="E37" s="105" t="n">
        <v>2069</v>
      </c>
      <c r="F37" s="106" t="s">
        <v>210</v>
      </c>
      <c r="G37" s="103" t="n">
        <f aca="false">samgung26[[#This Row],[STOCK JUEGOS]]</f>
        <v>8</v>
      </c>
      <c r="H37" s="145" t="s">
        <v>212</v>
      </c>
    </row>
    <row r="38" customFormat="false" ht="11.25" hidden="false" customHeight="true" outlineLevel="0" collapsed="false">
      <c r="A38" s="107" t="n">
        <v>1084</v>
      </c>
      <c r="B38" s="108" t="s">
        <v>82</v>
      </c>
      <c r="C38" s="103" t="n">
        <f aca="false">LG26V[[#This Row],[STOCK JUEGOS]]</f>
        <v>0</v>
      </c>
      <c r="D38" s="145"/>
      <c r="E38" s="109" t="n">
        <v>2070</v>
      </c>
      <c r="F38" s="110" t="s">
        <v>213</v>
      </c>
      <c r="G38" s="103" t="n">
        <f aca="false">samgung26[[#This Row],[STOCK JUEGOS]]</f>
        <v>6</v>
      </c>
      <c r="H38" s="144" t="s">
        <v>214</v>
      </c>
    </row>
    <row r="39" customFormat="false" ht="11.25" hidden="false" customHeight="true" outlineLevel="0" collapsed="false">
      <c r="A39" s="101" t="n">
        <v>1087</v>
      </c>
      <c r="B39" s="102" t="s">
        <v>83</v>
      </c>
      <c r="C39" s="103" t="n">
        <f aca="false">LG26V[[#This Row],[STOCK JUEGOS]]</f>
        <v>13</v>
      </c>
      <c r="D39" s="144" t="s">
        <v>84</v>
      </c>
      <c r="E39" s="105" t="n">
        <v>2072</v>
      </c>
      <c r="F39" s="110" t="s">
        <v>796</v>
      </c>
      <c r="G39" s="103" t="n">
        <f aca="false">samgung26[[#This Row],[STOCK JUEGOS]]</f>
        <v>13</v>
      </c>
      <c r="H39" s="145" t="s">
        <v>216</v>
      </c>
    </row>
    <row r="40" customFormat="false" ht="11.25" hidden="false" customHeight="true" outlineLevel="0" collapsed="false">
      <c r="A40" s="107" t="n">
        <v>1090</v>
      </c>
      <c r="B40" s="108" t="s">
        <v>85</v>
      </c>
      <c r="C40" s="103" t="n">
        <f aca="false">LG26V[[#This Row],[STOCK JUEGOS]]</f>
        <v>16</v>
      </c>
      <c r="D40" s="145" t="s">
        <v>86</v>
      </c>
      <c r="E40" s="109" t="n">
        <v>2075</v>
      </c>
      <c r="F40" s="110" t="s">
        <v>217</v>
      </c>
      <c r="G40" s="103" t="n">
        <f aca="false">samgung26[[#This Row],[STOCK JUEGOS]]</f>
        <v>9</v>
      </c>
      <c r="H40" s="144" t="s">
        <v>218</v>
      </c>
    </row>
    <row r="41" customFormat="false" ht="11.25" hidden="false" customHeight="true" outlineLevel="0" collapsed="false">
      <c r="A41" s="101" t="n">
        <v>1094</v>
      </c>
      <c r="B41" s="102" t="s">
        <v>87</v>
      </c>
      <c r="C41" s="103" t="n">
        <f aca="false">LG26V[[#This Row],[STOCK JUEGOS]]</f>
        <v>13</v>
      </c>
      <c r="D41" s="144" t="s">
        <v>88</v>
      </c>
      <c r="E41" s="105" t="n">
        <v>2078</v>
      </c>
      <c r="F41" s="106" t="s">
        <v>220</v>
      </c>
      <c r="G41" s="103" t="n">
        <f aca="false">samgung26[[#This Row],[STOCK JUEGOS]]</f>
        <v>6</v>
      </c>
      <c r="H41" s="145" t="s">
        <v>221</v>
      </c>
    </row>
    <row r="42" customFormat="false" ht="11.25" hidden="false" customHeight="true" outlineLevel="0" collapsed="false">
      <c r="A42" s="107" t="n">
        <v>1096</v>
      </c>
      <c r="B42" s="108" t="s">
        <v>89</v>
      </c>
      <c r="C42" s="103" t="n">
        <f aca="false">LG26V[[#This Row],[STOCK JUEGOS]]</f>
        <v>12</v>
      </c>
      <c r="D42" s="145"/>
      <c r="E42" s="109" t="n">
        <v>2079</v>
      </c>
      <c r="F42" s="110" t="s">
        <v>223</v>
      </c>
      <c r="G42" s="103" t="n">
        <f aca="false">samgung26[[#This Row],[STOCK JUEGOS]]</f>
        <v>7</v>
      </c>
      <c r="H42" s="144" t="s">
        <v>225</v>
      </c>
    </row>
    <row r="43" customFormat="false" ht="11.25" hidden="false" customHeight="true" outlineLevel="0" collapsed="false">
      <c r="A43" s="101" t="n">
        <v>1099</v>
      </c>
      <c r="B43" s="102" t="s">
        <v>90</v>
      </c>
      <c r="C43" s="103" t="n">
        <f aca="false">LG26V[[#This Row],[STOCK JUEGOS]]</f>
        <v>7</v>
      </c>
      <c r="D43" s="144" t="s">
        <v>91</v>
      </c>
      <c r="E43" s="105" t="n">
        <v>2081</v>
      </c>
      <c r="F43" s="106" t="s">
        <v>226</v>
      </c>
      <c r="G43" s="103" t="n">
        <f aca="false">samgung26[[#This Row],[STOCK JUEGOS]]</f>
        <v>21</v>
      </c>
      <c r="H43" s="145" t="s">
        <v>227</v>
      </c>
    </row>
    <row r="44" customFormat="false" ht="11.25" hidden="false" customHeight="true" outlineLevel="0" collapsed="false">
      <c r="A44" s="107" t="n">
        <v>1102</v>
      </c>
      <c r="B44" s="108" t="s">
        <v>92</v>
      </c>
      <c r="C44" s="103" t="n">
        <f aca="false">LG26V[[#This Row],[STOCK JUEGOS]]</f>
        <v>18</v>
      </c>
      <c r="D44" s="145" t="s">
        <v>93</v>
      </c>
      <c r="E44" s="109" t="n">
        <v>2082</v>
      </c>
      <c r="F44" s="110" t="s">
        <v>228</v>
      </c>
      <c r="G44" s="103" t="n">
        <f aca="false">samgung26[[#This Row],[STOCK JUEGOS]]</f>
        <v>9</v>
      </c>
      <c r="H44" s="144" t="s">
        <v>41</v>
      </c>
    </row>
    <row r="45" customFormat="false" ht="11.25" hidden="false" customHeight="true" outlineLevel="0" collapsed="false">
      <c r="A45" s="101" t="n">
        <v>1105</v>
      </c>
      <c r="B45" s="102" t="s">
        <v>94</v>
      </c>
      <c r="C45" s="103" t="n">
        <f aca="false">LG26V[[#This Row],[STOCK JUEGOS]]</f>
        <v>23</v>
      </c>
      <c r="D45" s="144" t="s">
        <v>95</v>
      </c>
      <c r="E45" s="105" t="n">
        <v>2084</v>
      </c>
      <c r="F45" s="106" t="s">
        <v>229</v>
      </c>
      <c r="G45" s="103" t="n">
        <f aca="false">samgung26[[#This Row],[STOCK JUEGOS]]</f>
        <v>1</v>
      </c>
      <c r="H45" s="145"/>
    </row>
    <row r="46" customFormat="false" ht="11.25" hidden="false" customHeight="true" outlineLevel="0" collapsed="false">
      <c r="A46" s="107" t="n">
        <v>1108</v>
      </c>
      <c r="B46" s="108" t="s">
        <v>96</v>
      </c>
      <c r="C46" s="103" t="n">
        <f aca="false">LG26V[[#This Row],[STOCK JUEGOS]]</f>
        <v>25</v>
      </c>
      <c r="D46" s="145" t="s">
        <v>97</v>
      </c>
      <c r="E46" s="109" t="n">
        <v>2085</v>
      </c>
      <c r="F46" s="110" t="s">
        <v>230</v>
      </c>
      <c r="G46" s="103" t="n">
        <f aca="false">samgung26[[#This Row],[STOCK JUEGOS]]</f>
        <v>5</v>
      </c>
      <c r="H46" s="144" t="s">
        <v>231</v>
      </c>
    </row>
    <row r="47" customFormat="false" ht="11.25" hidden="false" customHeight="true" outlineLevel="0" collapsed="false">
      <c r="A47" s="101" t="n">
        <v>1111</v>
      </c>
      <c r="B47" s="102" t="s">
        <v>98</v>
      </c>
      <c r="C47" s="103" t="n">
        <f aca="false">LG26V[[#This Row],[STOCK JUEGOS]]</f>
        <v>10</v>
      </c>
      <c r="D47" s="144" t="s">
        <v>99</v>
      </c>
      <c r="E47" s="105" t="n">
        <v>2087</v>
      </c>
      <c r="F47" s="106" t="s">
        <v>232</v>
      </c>
      <c r="G47" s="103" t="n">
        <f aca="false">samgung26[[#This Row],[STOCK JUEGOS]]</f>
        <v>0</v>
      </c>
      <c r="H47" s="145" t="s">
        <v>233</v>
      </c>
    </row>
    <row r="48" customFormat="false" ht="11.25" hidden="false" customHeight="true" outlineLevel="0" collapsed="false">
      <c r="A48" s="107" t="n">
        <v>1112</v>
      </c>
      <c r="B48" s="108" t="s">
        <v>100</v>
      </c>
      <c r="C48" s="103" t="n">
        <f aca="false">LG26V[[#This Row],[STOCK JUEGOS]]</f>
        <v>6</v>
      </c>
      <c r="D48" s="145" t="s">
        <v>101</v>
      </c>
      <c r="E48" s="109" t="n">
        <v>2088</v>
      </c>
      <c r="F48" s="110" t="s">
        <v>235</v>
      </c>
      <c r="G48" s="103" t="n">
        <f aca="false">samgung26[[#This Row],[STOCK JUEGOS]]</f>
        <v>2</v>
      </c>
      <c r="H48" s="144"/>
    </row>
    <row r="49" customFormat="false" ht="11.25" hidden="false" customHeight="true" outlineLevel="0" collapsed="false">
      <c r="A49" s="101" t="n">
        <v>1114</v>
      </c>
      <c r="B49" s="102" t="s">
        <v>102</v>
      </c>
      <c r="C49" s="103" t="n">
        <f aca="false">LG26V[[#This Row],[STOCK JUEGOS]]</f>
        <v>16</v>
      </c>
      <c r="D49" s="144" t="s">
        <v>103</v>
      </c>
      <c r="E49" s="105" t="n">
        <v>2089</v>
      </c>
      <c r="F49" s="106" t="s">
        <v>236</v>
      </c>
      <c r="G49" s="103" t="n">
        <f aca="false">samgung26[[#This Row],[STOCK JUEGOS]]</f>
        <v>22</v>
      </c>
      <c r="H49" s="145"/>
    </row>
    <row r="50" customFormat="false" ht="11.25" hidden="false" customHeight="true" outlineLevel="0" collapsed="false">
      <c r="A50" s="107" t="n">
        <v>1117</v>
      </c>
      <c r="B50" s="108" t="s">
        <v>104</v>
      </c>
      <c r="C50" s="103" t="n">
        <f aca="false">LG26V[[#This Row],[STOCK JUEGOS]]</f>
        <v>21</v>
      </c>
      <c r="D50" s="145" t="s">
        <v>105</v>
      </c>
      <c r="E50" s="109" t="n">
        <v>2090</v>
      </c>
      <c r="F50" s="110" t="s">
        <v>238</v>
      </c>
      <c r="G50" s="103" t="n">
        <f aca="false">samgung26[[#This Row],[STOCK JUEGOS]]</f>
        <v>15</v>
      </c>
      <c r="H50" s="144" t="s">
        <v>239</v>
      </c>
    </row>
    <row r="51" customFormat="false" ht="11.25" hidden="false" customHeight="true" outlineLevel="0" collapsed="false">
      <c r="A51" s="101" t="n">
        <v>1120</v>
      </c>
      <c r="B51" s="102" t="s">
        <v>106</v>
      </c>
      <c r="C51" s="103" t="n">
        <f aca="false">LG26V[[#This Row],[STOCK JUEGOS]]</f>
        <v>15</v>
      </c>
      <c r="D51" s="144" t="s">
        <v>107</v>
      </c>
      <c r="E51" s="105" t="n">
        <v>2092</v>
      </c>
      <c r="F51" s="106" t="s">
        <v>240</v>
      </c>
      <c r="G51" s="103" t="n">
        <f aca="false">samgung26[[#This Row],[STOCK JUEGOS]]</f>
        <v>19</v>
      </c>
      <c r="H51" s="145"/>
    </row>
    <row r="52" customFormat="false" ht="11.25" hidden="false" customHeight="true" outlineLevel="0" collapsed="false">
      <c r="A52" s="107" t="n">
        <v>1121</v>
      </c>
      <c r="B52" s="108" t="s">
        <v>108</v>
      </c>
      <c r="C52" s="103" t="n">
        <f aca="false">LG26V[[#This Row],[STOCK JUEGOS]]</f>
        <v>16</v>
      </c>
      <c r="D52" s="145"/>
      <c r="E52" s="109" t="n">
        <v>2093</v>
      </c>
      <c r="F52" s="110" t="s">
        <v>242</v>
      </c>
      <c r="G52" s="103" t="n">
        <f aca="false">samgung26[[#This Row],[STOCK JUEGOS]]</f>
        <v>5</v>
      </c>
      <c r="H52" s="111" t="s">
        <v>243</v>
      </c>
    </row>
    <row r="53" customFormat="false" ht="11.25" hidden="false" customHeight="true" outlineLevel="0" collapsed="false">
      <c r="A53" s="101" t="n">
        <v>1123</v>
      </c>
      <c r="B53" s="102" t="s">
        <v>109</v>
      </c>
      <c r="C53" s="103" t="n">
        <f aca="false">LG26V[[#This Row],[STOCK JUEGOS]]</f>
        <v>16</v>
      </c>
      <c r="D53" s="144"/>
      <c r="E53" s="105" t="n">
        <v>2094</v>
      </c>
      <c r="F53" s="106" t="s">
        <v>244</v>
      </c>
      <c r="G53" s="103" t="n">
        <f aca="false">samgung26[[#This Row],[STOCK JUEGOS]]</f>
        <v>9</v>
      </c>
      <c r="H53" s="147" t="s">
        <v>245</v>
      </c>
    </row>
    <row r="54" customFormat="false" ht="11.25" hidden="false" customHeight="true" outlineLevel="0" collapsed="false">
      <c r="A54" s="107" t="n">
        <v>1126</v>
      </c>
      <c r="B54" s="108" t="s">
        <v>110</v>
      </c>
      <c r="C54" s="103" t="n">
        <f aca="false">LG26V[[#This Row],[STOCK JUEGOS]]</f>
        <v>21</v>
      </c>
      <c r="D54" s="145"/>
      <c r="E54" s="109" t="n">
        <v>2095</v>
      </c>
      <c r="F54" s="110" t="s">
        <v>246</v>
      </c>
      <c r="G54" s="103" t="n">
        <f aca="false">samgung26[[#This Row],[STOCK JUEGOS]]</f>
        <v>0</v>
      </c>
      <c r="H54" s="111" t="s">
        <v>247</v>
      </c>
    </row>
    <row r="55" customFormat="false" ht="11.25" hidden="false" customHeight="true" outlineLevel="0" collapsed="false">
      <c r="A55" s="101" t="n">
        <v>1129</v>
      </c>
      <c r="B55" s="102" t="s">
        <v>112</v>
      </c>
      <c r="C55" s="103" t="n">
        <f aca="false">LG26V[[#This Row],[STOCK JUEGOS]]</f>
        <v>18</v>
      </c>
      <c r="D55" s="144" t="s">
        <v>113</v>
      </c>
      <c r="E55" s="105" t="n">
        <v>2096</v>
      </c>
      <c r="F55" s="106" t="s">
        <v>248</v>
      </c>
      <c r="G55" s="103" t="n">
        <f aca="false">samgung26[[#This Row],[STOCK JUEGOS]]</f>
        <v>10</v>
      </c>
      <c r="H55" s="147" t="s">
        <v>249</v>
      </c>
    </row>
    <row r="56" customFormat="false" ht="11.25" hidden="false" customHeight="true" outlineLevel="0" collapsed="false">
      <c r="A56" s="107" t="n">
        <v>1132</v>
      </c>
      <c r="B56" s="108" t="s">
        <v>114</v>
      </c>
      <c r="C56" s="103" t="n">
        <f aca="false">LG26V[[#This Row],[STOCK JUEGOS]]</f>
        <v>20</v>
      </c>
      <c r="D56" s="145" t="s">
        <v>115</v>
      </c>
      <c r="E56" s="109" t="n">
        <v>2097</v>
      </c>
      <c r="F56" s="110" t="s">
        <v>250</v>
      </c>
      <c r="G56" s="103" t="n">
        <f aca="false">samgung26[[#This Row],[STOCK JUEGOS]]</f>
        <v>5</v>
      </c>
      <c r="H56" s="111" t="s">
        <v>247</v>
      </c>
    </row>
    <row r="57" customFormat="false" ht="11.25" hidden="false" customHeight="true" outlineLevel="0" collapsed="false">
      <c r="A57" s="101" t="n">
        <v>1135</v>
      </c>
      <c r="B57" s="102" t="s">
        <v>116</v>
      </c>
      <c r="C57" s="103" t="n">
        <f aca="false">LG26V[[#This Row],[STOCK JUEGOS]]</f>
        <v>23</v>
      </c>
      <c r="D57" s="144" t="s">
        <v>117</v>
      </c>
      <c r="E57" s="105" t="n">
        <v>2106</v>
      </c>
      <c r="F57" s="106" t="s">
        <v>252</v>
      </c>
      <c r="G57" s="103" t="n">
        <f aca="false">samgung26[[#This Row],[STOCK JUEGOS]]</f>
        <v>3</v>
      </c>
      <c r="H57" s="147" t="s">
        <v>253</v>
      </c>
    </row>
    <row r="58" customFormat="false" ht="11.25" hidden="false" customHeight="true" outlineLevel="0" collapsed="false">
      <c r="A58" s="107" t="n">
        <v>1138</v>
      </c>
      <c r="B58" s="108" t="s">
        <v>118</v>
      </c>
      <c r="C58" s="103" t="n">
        <f aca="false">LG26V[[#This Row],[STOCK JUEGOS]]</f>
        <v>13</v>
      </c>
      <c r="D58" s="145" t="s">
        <v>119</v>
      </c>
      <c r="E58" s="109" t="n">
        <v>2091</v>
      </c>
      <c r="F58" s="110" t="s">
        <v>254</v>
      </c>
      <c r="G58" s="103" t="n">
        <f aca="false">samgung26[[#This Row],[STOCK JUEGOS]]</f>
        <v>8</v>
      </c>
      <c r="H58" s="111" t="s">
        <v>255</v>
      </c>
    </row>
    <row r="59" customFormat="false" ht="11.25" hidden="false" customHeight="true" outlineLevel="0" collapsed="false">
      <c r="A59" s="101" t="n">
        <v>1139</v>
      </c>
      <c r="B59" s="102" t="s">
        <v>120</v>
      </c>
      <c r="C59" s="103" t="n">
        <f aca="false">LG26V[[#This Row],[STOCK JUEGOS]]</f>
        <v>12</v>
      </c>
      <c r="D59" s="144" t="s">
        <v>121</v>
      </c>
      <c r="E59" s="105" t="n">
        <v>2086</v>
      </c>
      <c r="F59" s="106" t="s">
        <v>256</v>
      </c>
      <c r="G59" s="103" t="n">
        <f aca="false">samgung26[[#This Row],[STOCK JUEGOS]]</f>
        <v>10</v>
      </c>
      <c r="H59" s="147" t="s">
        <v>257</v>
      </c>
    </row>
    <row r="60" customFormat="false" ht="11.25" hidden="false" customHeight="true" outlineLevel="0" collapsed="false">
      <c r="A60" s="107" t="n">
        <v>1141</v>
      </c>
      <c r="B60" s="108" t="s">
        <v>122</v>
      </c>
      <c r="C60" s="103" t="n">
        <f aca="false">LG26V[[#This Row],[STOCK JUEGOS]]</f>
        <v>2</v>
      </c>
      <c r="D60" s="145" t="s">
        <v>123</v>
      </c>
      <c r="E60" s="109" t="n">
        <v>2098</v>
      </c>
      <c r="F60" s="110" t="s">
        <v>258</v>
      </c>
      <c r="G60" s="103" t="n">
        <f aca="false">samgung26[[#This Row],[STOCK JUEGOS]]</f>
        <v>10</v>
      </c>
      <c r="H60" s="111" t="s">
        <v>259</v>
      </c>
    </row>
    <row r="61" customFormat="false" ht="11.25" hidden="false" customHeight="true" outlineLevel="0" collapsed="false">
      <c r="A61" s="101" t="n">
        <v>1144</v>
      </c>
      <c r="B61" s="102" t="s">
        <v>124</v>
      </c>
      <c r="C61" s="103" t="n">
        <f aca="false">LG26V[[#This Row],[STOCK JUEGOS]]</f>
        <v>17</v>
      </c>
      <c r="D61" s="144" t="s">
        <v>125</v>
      </c>
      <c r="E61" s="105" t="n">
        <v>2099</v>
      </c>
      <c r="F61" s="106" t="s">
        <v>260</v>
      </c>
      <c r="G61" s="103" t="n">
        <f aca="false">samgung26[[#This Row],[STOCK JUEGOS]]</f>
        <v>21</v>
      </c>
      <c r="H61" s="147" t="s">
        <v>261</v>
      </c>
    </row>
    <row r="62" customFormat="false" ht="11.25" hidden="false" customHeight="true" outlineLevel="0" collapsed="false">
      <c r="A62" s="107" t="n">
        <v>1147</v>
      </c>
      <c r="B62" s="108" t="s">
        <v>126</v>
      </c>
      <c r="C62" s="103" t="n">
        <f aca="false">LG26V[[#This Row],[STOCK JUEGOS]]</f>
        <v>10</v>
      </c>
      <c r="D62" s="145" t="s">
        <v>127</v>
      </c>
      <c r="E62" s="109" t="n">
        <v>2100</v>
      </c>
      <c r="F62" s="110" t="s">
        <v>262</v>
      </c>
      <c r="G62" s="103" t="n">
        <f aca="false">samgung26[[#This Row],[STOCK JUEGOS]]</f>
        <v>10</v>
      </c>
      <c r="H62" s="111" t="s">
        <v>263</v>
      </c>
    </row>
    <row r="63" customFormat="false" ht="11.25" hidden="false" customHeight="true" outlineLevel="0" collapsed="false">
      <c r="A63" s="101" t="n">
        <v>1148</v>
      </c>
      <c r="B63" s="102" t="s">
        <v>128</v>
      </c>
      <c r="C63" s="103" t="n">
        <f aca="false">LG26V[[#This Row],[STOCK JUEGOS]]</f>
        <v>9</v>
      </c>
      <c r="D63" s="144" t="s">
        <v>129</v>
      </c>
      <c r="E63" s="105" t="n">
        <v>2101</v>
      </c>
      <c r="F63" s="106" t="s">
        <v>264</v>
      </c>
      <c r="G63" s="103" t="n">
        <f aca="false">samgung26[[#This Row],[STOCK JUEGOS]]</f>
        <v>1</v>
      </c>
      <c r="H63" s="145"/>
    </row>
    <row r="64" customFormat="false" ht="11.25" hidden="false" customHeight="true" outlineLevel="0" collapsed="false">
      <c r="A64" s="107" t="n">
        <v>1149</v>
      </c>
      <c r="B64" s="108" t="s">
        <v>130</v>
      </c>
      <c r="C64" s="103" t="n">
        <f aca="false">LG26V[[#This Row],[STOCK JUEGOS]]</f>
        <v>2</v>
      </c>
      <c r="D64" s="145"/>
      <c r="E64" s="109" t="n">
        <v>2102</v>
      </c>
      <c r="F64" s="110" t="s">
        <v>797</v>
      </c>
      <c r="G64" s="103" t="n">
        <f aca="false">samgung26[[#This Row],[STOCK JUEGOS]]</f>
        <v>3</v>
      </c>
      <c r="H64" s="144"/>
    </row>
    <row r="65" customFormat="false" ht="11.25" hidden="false" customHeight="true" outlineLevel="0" collapsed="false">
      <c r="A65" s="101" t="n">
        <v>1150</v>
      </c>
      <c r="B65" s="102" t="s">
        <v>131</v>
      </c>
      <c r="C65" s="103" t="n">
        <f aca="false">LG26V[[#This Row],[STOCK JUEGOS]]</f>
        <v>10</v>
      </c>
      <c r="D65" s="144" t="s">
        <v>132</v>
      </c>
      <c r="E65" s="105" t="n">
        <v>2103</v>
      </c>
      <c r="F65" s="106" t="s">
        <v>266</v>
      </c>
      <c r="G65" s="103" t="n">
        <f aca="false">samgung26[[#This Row],[STOCK JUEGOS]]</f>
        <v>10</v>
      </c>
      <c r="H65" s="147" t="s">
        <v>267</v>
      </c>
    </row>
    <row r="66" customFormat="false" ht="11.25" hidden="false" customHeight="true" outlineLevel="0" collapsed="false">
      <c r="A66" s="107" t="n">
        <v>1153</v>
      </c>
      <c r="B66" s="148" t="s">
        <v>133</v>
      </c>
      <c r="C66" s="103" t="n">
        <f aca="false">LG26V[[#This Row],[STOCK JUEGOS]]</f>
        <v>4</v>
      </c>
      <c r="D66" s="145"/>
      <c r="E66" s="109" t="n">
        <v>2107</v>
      </c>
      <c r="F66" s="110" t="s">
        <v>268</v>
      </c>
      <c r="G66" s="103" t="n">
        <f aca="false">samgung26[[#This Row],[STOCK JUEGOS]]</f>
        <v>8</v>
      </c>
      <c r="H66" s="111" t="s">
        <v>269</v>
      </c>
    </row>
    <row r="67" customFormat="false" ht="15" hidden="false" customHeight="false" outlineLevel="0" collapsed="false">
      <c r="A67" s="149" t="n">
        <v>1154</v>
      </c>
      <c r="B67" s="150" t="s">
        <v>134</v>
      </c>
      <c r="C67" s="103" t="n">
        <f aca="false">LG26V[[#This Row],[STOCK JUEGOS]]</f>
        <v>5</v>
      </c>
      <c r="D67" s="140" t="s">
        <v>135</v>
      </c>
      <c r="E67" s="105" t="n">
        <v>2104</v>
      </c>
      <c r="F67" s="106" t="s">
        <v>270</v>
      </c>
      <c r="G67" s="103" t="n">
        <f aca="false">samgung26[[#This Row],[STOCK JUEGOS]]</f>
        <v>7</v>
      </c>
      <c r="H67" s="147" t="s">
        <v>271</v>
      </c>
    </row>
    <row r="68" customFormat="false" ht="15" hidden="false" customHeight="false" outlineLevel="0" collapsed="false">
      <c r="A68" s="151"/>
      <c r="B68" s="62"/>
      <c r="C68" s="118"/>
      <c r="D68" s="152"/>
      <c r="E68" s="109" t="n">
        <v>2108</v>
      </c>
      <c r="F68" s="116" t="s">
        <v>272</v>
      </c>
      <c r="G68" s="103" t="n">
        <f aca="false">samgung26[[#This Row],[STOCK JUEGOS]]</f>
        <v>9</v>
      </c>
      <c r="H68" s="111" t="s">
        <v>273</v>
      </c>
    </row>
    <row r="69" customFormat="false" ht="11.25" hidden="false" customHeight="true" outlineLevel="0" collapsed="false">
      <c r="A69" s="120" t="s">
        <v>295</v>
      </c>
      <c r="B69" s="120"/>
      <c r="C69" s="120"/>
      <c r="D69" s="152"/>
      <c r="E69" s="109" t="n">
        <v>2105</v>
      </c>
      <c r="F69" s="116" t="s">
        <v>274</v>
      </c>
      <c r="G69" s="103" t="n">
        <f aca="false">samgung26[[#This Row],[STOCK JUEGOS]]</f>
        <v>7</v>
      </c>
      <c r="H69" s="147" t="s">
        <v>275</v>
      </c>
    </row>
    <row r="70" customFormat="false" ht="11.25" hidden="false" customHeight="true" outlineLevel="0" collapsed="false">
      <c r="A70" s="93" t="s">
        <v>792</v>
      </c>
      <c r="B70" s="94" t="s">
        <v>2</v>
      </c>
      <c r="C70" s="94" t="s">
        <v>820</v>
      </c>
      <c r="D70" s="152"/>
      <c r="E70" s="120" t="s">
        <v>364</v>
      </c>
      <c r="F70" s="120"/>
      <c r="G70" s="103"/>
      <c r="H70" s="15"/>
    </row>
    <row r="71" customFormat="false" ht="11.25" hidden="false" customHeight="true" outlineLevel="0" collapsed="false">
      <c r="A71" s="105" t="n">
        <v>4000</v>
      </c>
      <c r="B71" s="122" t="s">
        <v>296</v>
      </c>
      <c r="C71" s="103" t="n">
        <f aca="false">DAEWOO!D5</f>
        <v>17</v>
      </c>
      <c r="D71" s="145" t="s">
        <v>297</v>
      </c>
      <c r="E71" s="93" t="s">
        <v>792</v>
      </c>
      <c r="F71" s="94" t="s">
        <v>2</v>
      </c>
      <c r="G71" s="153" t="s">
        <v>820</v>
      </c>
      <c r="H71" s="15"/>
    </row>
    <row r="72" customFormat="false" ht="11.25" hidden="false" customHeight="true" outlineLevel="0" collapsed="false">
      <c r="A72" s="109" t="n">
        <v>4002</v>
      </c>
      <c r="B72" s="110" t="s">
        <v>298</v>
      </c>
      <c r="C72" s="103" t="n">
        <f aca="false">DAEWOO!D6</f>
        <v>28</v>
      </c>
      <c r="D72" s="144" t="s">
        <v>299</v>
      </c>
      <c r="E72" s="105" t="n">
        <v>6009</v>
      </c>
      <c r="F72" s="106" t="s">
        <v>821</v>
      </c>
      <c r="G72" s="103" t="n">
        <f aca="false">'TOSHIBA '!C5</f>
        <v>0</v>
      </c>
      <c r="H72" s="145" t="s">
        <v>366</v>
      </c>
    </row>
    <row r="73" customFormat="false" ht="11.25" hidden="false" customHeight="true" outlineLevel="0" collapsed="false">
      <c r="A73" s="105" t="n">
        <v>4003</v>
      </c>
      <c r="B73" s="106" t="s">
        <v>300</v>
      </c>
      <c r="C73" s="103" t="n">
        <f aca="false">DAEWOO!D7</f>
        <v>16</v>
      </c>
      <c r="D73" s="145" t="s">
        <v>301</v>
      </c>
      <c r="E73" s="109" t="n">
        <v>6011</v>
      </c>
      <c r="F73" s="110" t="s">
        <v>367</v>
      </c>
      <c r="G73" s="103" t="n">
        <f aca="false">'TOSHIBA '!C6</f>
        <v>20</v>
      </c>
      <c r="H73" s="144" t="s">
        <v>368</v>
      </c>
    </row>
    <row r="74" customFormat="false" ht="11.25" hidden="false" customHeight="true" outlineLevel="0" collapsed="false">
      <c r="A74" s="109" t="n">
        <v>4009</v>
      </c>
      <c r="B74" s="110" t="s">
        <v>302</v>
      </c>
      <c r="C74" s="103" t="n">
        <f aca="false">DAEWOO!D8</f>
        <v>30</v>
      </c>
      <c r="D74" s="144" t="s">
        <v>303</v>
      </c>
      <c r="E74" s="105" t="n">
        <v>6015</v>
      </c>
      <c r="F74" s="106" t="s">
        <v>369</v>
      </c>
      <c r="G74" s="103" t="n">
        <f aca="false">'TOSHIBA '!C7</f>
        <v>19</v>
      </c>
      <c r="H74" s="145" t="s">
        <v>370</v>
      </c>
    </row>
    <row r="75" customFormat="false" ht="11.25" hidden="false" customHeight="true" outlineLevel="0" collapsed="false">
      <c r="A75" s="105" t="n">
        <v>4010</v>
      </c>
      <c r="B75" s="106" t="s">
        <v>304</v>
      </c>
      <c r="C75" s="103" t="n">
        <f aca="false">DAEWOO!D9</f>
        <v>12</v>
      </c>
      <c r="D75" s="145" t="s">
        <v>305</v>
      </c>
      <c r="E75" s="109" t="n">
        <v>6016</v>
      </c>
      <c r="F75" s="110" t="s">
        <v>371</v>
      </c>
      <c r="G75" s="103" t="n">
        <f aca="false">'TOSHIBA '!C8</f>
        <v>22</v>
      </c>
      <c r="H75" s="144" t="s">
        <v>822</v>
      </c>
    </row>
    <row r="76" customFormat="false" ht="11.25" hidden="false" customHeight="true" outlineLevel="0" collapsed="false">
      <c r="A76" s="109" t="n">
        <v>4011</v>
      </c>
      <c r="B76" s="110" t="s">
        <v>307</v>
      </c>
      <c r="C76" s="103" t="n">
        <f aca="false">DAEWOO!D10</f>
        <v>9</v>
      </c>
      <c r="D76" s="144" t="s">
        <v>308</v>
      </c>
      <c r="E76" s="105" t="n">
        <v>6021</v>
      </c>
      <c r="F76" s="106" t="s">
        <v>373</v>
      </c>
      <c r="G76" s="103" t="n">
        <f aca="false">'TOSHIBA '!C9</f>
        <v>4</v>
      </c>
      <c r="H76" s="145"/>
    </row>
    <row r="77" customFormat="false" ht="11.25" hidden="false" customHeight="true" outlineLevel="0" collapsed="false">
      <c r="A77" s="105" t="n">
        <v>4015</v>
      </c>
      <c r="B77" s="106" t="s">
        <v>310</v>
      </c>
      <c r="C77" s="103" t="n">
        <f aca="false">DAEWOO!D11</f>
        <v>7</v>
      </c>
      <c r="D77" s="154" t="s">
        <v>311</v>
      </c>
      <c r="E77" s="109" t="n">
        <v>6023</v>
      </c>
      <c r="F77" s="110" t="s">
        <v>374</v>
      </c>
      <c r="G77" s="103" t="n">
        <f aca="false">'TOSHIBA '!C10</f>
        <v>13</v>
      </c>
      <c r="H77" s="144" t="s">
        <v>375</v>
      </c>
    </row>
    <row r="78" customFormat="false" ht="11.25" hidden="false" customHeight="true" outlineLevel="0" collapsed="false">
      <c r="A78" s="109" t="n">
        <v>4018</v>
      </c>
      <c r="B78" s="110" t="s">
        <v>312</v>
      </c>
      <c r="C78" s="103" t="n">
        <f aca="false">DAEWOO!D12</f>
        <v>10</v>
      </c>
      <c r="D78" s="155" t="s">
        <v>313</v>
      </c>
      <c r="E78" s="105" t="n">
        <v>6024</v>
      </c>
      <c r="F78" s="106" t="s">
        <v>376</v>
      </c>
      <c r="G78" s="103" t="n">
        <f aca="false">'TOSHIBA '!C11</f>
        <v>7</v>
      </c>
      <c r="H78" s="154" t="s">
        <v>377</v>
      </c>
    </row>
    <row r="79" customFormat="false" ht="11.25" hidden="false" customHeight="true" outlineLevel="0" collapsed="false">
      <c r="A79" s="105" t="n">
        <v>4020</v>
      </c>
      <c r="B79" s="106" t="s">
        <v>314</v>
      </c>
      <c r="C79" s="103" t="n">
        <f aca="false">DAEWOO!D13</f>
        <v>17</v>
      </c>
      <c r="D79" s="154"/>
      <c r="E79" s="109" t="n">
        <v>6025</v>
      </c>
      <c r="F79" s="110" t="s">
        <v>378</v>
      </c>
      <c r="G79" s="103" t="n">
        <f aca="false">'TOSHIBA '!C12</f>
        <v>18</v>
      </c>
      <c r="H79" s="155" t="s">
        <v>379</v>
      </c>
    </row>
    <row r="80" customFormat="false" ht="15" hidden="false" customHeight="false" outlineLevel="0" collapsed="false">
      <c r="A80" s="109" t="n">
        <v>4021</v>
      </c>
      <c r="B80" s="139" t="s">
        <v>315</v>
      </c>
      <c r="C80" s="103" t="n">
        <f aca="false">DAEWOO!D14</f>
        <v>15</v>
      </c>
      <c r="D80" s="156" t="s">
        <v>316</v>
      </c>
      <c r="E80" s="105" t="n">
        <v>6030</v>
      </c>
      <c r="F80" s="106" t="s">
        <v>380</v>
      </c>
      <c r="G80" s="103" t="n">
        <f aca="false">'TOSHIBA '!C13</f>
        <v>4</v>
      </c>
      <c r="H80" s="157"/>
    </row>
    <row r="81" customFormat="false" ht="24.45" hidden="false" customHeight="false" outlineLevel="0" collapsed="false">
      <c r="A81" s="158" t="s">
        <v>818</v>
      </c>
      <c r="B81" s="158"/>
      <c r="C81" s="125"/>
      <c r="D81" s="125"/>
      <c r="E81" s="151"/>
      <c r="F81" s="62"/>
      <c r="G81" s="15"/>
      <c r="H81" s="15"/>
    </row>
    <row r="82" customFormat="false" ht="24.45" hidden="false" customHeight="false" outlineLevel="0" collapsed="false">
      <c r="A82" s="159" t="s">
        <v>823</v>
      </c>
      <c r="B82" s="159"/>
      <c r="C82" s="160"/>
      <c r="D82" s="160"/>
      <c r="E82" s="125"/>
      <c r="F82" s="125"/>
      <c r="G82" s="15"/>
      <c r="H82" s="15"/>
    </row>
    <row r="83" customFormat="false" ht="11.25" hidden="false" customHeight="true" outlineLevel="0" collapsed="false">
      <c r="A83" s="120" t="s">
        <v>426</v>
      </c>
      <c r="B83" s="120"/>
      <c r="C83" s="120"/>
      <c r="E83" s="160"/>
      <c r="F83" s="160"/>
      <c r="G83" s="15"/>
      <c r="H83" s="15"/>
    </row>
    <row r="84" customFormat="false" ht="11.25" hidden="false" customHeight="true" outlineLevel="0" collapsed="false">
      <c r="A84" s="93" t="s">
        <v>792</v>
      </c>
      <c r="B84" s="94" t="s">
        <v>2</v>
      </c>
      <c r="C84" s="94" t="s">
        <v>820</v>
      </c>
      <c r="E84" s="120" t="s">
        <v>800</v>
      </c>
      <c r="F84" s="120"/>
      <c r="H84" s="15"/>
    </row>
    <row r="85" customFormat="false" ht="11.25" hidden="false" customHeight="true" outlineLevel="0" collapsed="false">
      <c r="A85" s="105" t="n">
        <v>8000</v>
      </c>
      <c r="B85" s="128" t="s">
        <v>427</v>
      </c>
      <c r="C85" s="103" t="n">
        <f aca="false">CHINO!D5</f>
        <v>50</v>
      </c>
      <c r="D85" s="154"/>
      <c r="E85" s="126" t="s">
        <v>792</v>
      </c>
      <c r="F85" s="127" t="s">
        <v>2</v>
      </c>
      <c r="G85" s="94" t="s">
        <v>820</v>
      </c>
      <c r="H85" s="15"/>
    </row>
    <row r="86" customFormat="false" ht="11.25" hidden="false" customHeight="true" outlineLevel="0" collapsed="false">
      <c r="A86" s="109" t="n">
        <v>8003</v>
      </c>
      <c r="B86" s="129" t="s">
        <v>428</v>
      </c>
      <c r="C86" s="103" t="n">
        <f aca="false">CHINO!D6</f>
        <v>1</v>
      </c>
      <c r="D86" s="155"/>
      <c r="E86" s="105" t="n">
        <v>5000</v>
      </c>
      <c r="F86" s="105" t="s">
        <v>318</v>
      </c>
      <c r="G86" s="103" t="n">
        <f aca="false">'SONY-PANASONIC'!D5</f>
        <v>8</v>
      </c>
      <c r="H86" s="15"/>
    </row>
    <row r="87" customFormat="false" ht="11.25" hidden="false" customHeight="true" outlineLevel="0" collapsed="false">
      <c r="A87" s="105" t="n">
        <v>8006</v>
      </c>
      <c r="B87" s="128" t="s">
        <v>429</v>
      </c>
      <c r="C87" s="103" t="n">
        <f aca="false">CHINO!D7</f>
        <v>63</v>
      </c>
      <c r="D87" s="154"/>
      <c r="E87" s="109" t="n">
        <v>5001</v>
      </c>
      <c r="F87" s="109" t="s">
        <v>319</v>
      </c>
      <c r="G87" s="103" t="n">
        <f aca="false">'SONY-PANASONIC'!D6</f>
        <v>11</v>
      </c>
      <c r="H87" s="15"/>
    </row>
    <row r="88" customFormat="false" ht="11.25" hidden="false" customHeight="true" outlineLevel="0" collapsed="false">
      <c r="A88" s="130" t="n">
        <v>8012</v>
      </c>
      <c r="B88" s="129" t="s">
        <v>801</v>
      </c>
      <c r="C88" s="103" t="n">
        <f aca="false">CHINO!D8</f>
        <v>0</v>
      </c>
      <c r="D88" s="155"/>
      <c r="E88" s="105" t="n">
        <v>5002</v>
      </c>
      <c r="F88" s="105" t="s">
        <v>320</v>
      </c>
      <c r="G88" s="103" t="n">
        <f aca="false">'SONY-PANASONIC'!D7</f>
        <v>2</v>
      </c>
      <c r="H88" s="15"/>
    </row>
    <row r="89" customFormat="false" ht="11.25" hidden="false" customHeight="true" outlineLevel="0" collapsed="false">
      <c r="A89" s="131" t="n">
        <v>8013</v>
      </c>
      <c r="B89" s="128" t="s">
        <v>431</v>
      </c>
      <c r="C89" s="103" t="n">
        <f aca="false">CHINO!D9</f>
        <v>10</v>
      </c>
      <c r="D89" s="154"/>
      <c r="E89" s="109" t="n">
        <v>5003</v>
      </c>
      <c r="F89" s="109" t="s">
        <v>321</v>
      </c>
      <c r="G89" s="103" t="n">
        <f aca="false">'SONY-PANASONIC'!D8</f>
        <v>2</v>
      </c>
      <c r="H89" s="15"/>
    </row>
    <row r="90" customFormat="false" ht="11.25" hidden="false" customHeight="true" outlineLevel="0" collapsed="false">
      <c r="A90" s="130" t="n">
        <v>8009</v>
      </c>
      <c r="B90" s="129" t="s">
        <v>432</v>
      </c>
      <c r="C90" s="103" t="n">
        <f aca="false">CHINO!D10</f>
        <v>19</v>
      </c>
      <c r="D90" s="155"/>
      <c r="E90" s="105" t="n">
        <v>5006</v>
      </c>
      <c r="F90" s="105" t="s">
        <v>322</v>
      </c>
      <c r="G90" s="103" t="n">
        <f aca="false">'SONY-PANASONIC'!D9</f>
        <v>32</v>
      </c>
      <c r="H90" s="15"/>
    </row>
    <row r="91" customFormat="false" ht="11.25" hidden="false" customHeight="true" outlineLevel="0" collapsed="false">
      <c r="A91" s="131" t="n">
        <v>4001</v>
      </c>
      <c r="B91" s="161" t="s">
        <v>434</v>
      </c>
      <c r="C91" s="103" t="n">
        <f aca="false">CHINO!D11</f>
        <v>4</v>
      </c>
      <c r="D91" s="154" t="s">
        <v>435</v>
      </c>
      <c r="E91" s="109" t="n">
        <v>5009</v>
      </c>
      <c r="F91" s="109" t="s">
        <v>323</v>
      </c>
      <c r="G91" s="103" t="n">
        <f aca="false">'SONY-PANASONIC'!D10</f>
        <v>17</v>
      </c>
      <c r="H91" s="15"/>
    </row>
    <row r="92" customFormat="false" ht="11.25" hidden="false" customHeight="true" outlineLevel="0" collapsed="false">
      <c r="A92" s="109" t="n">
        <v>8007</v>
      </c>
      <c r="B92" s="129" t="s">
        <v>436</v>
      </c>
      <c r="C92" s="103" t="n">
        <f aca="false">CHINO!D12</f>
        <v>16</v>
      </c>
      <c r="D92" s="155"/>
      <c r="E92" s="105" t="n">
        <v>5010</v>
      </c>
      <c r="F92" s="109" t="s">
        <v>324</v>
      </c>
      <c r="G92" s="103" t="n">
        <f aca="false">'SONY-PANASONIC'!D11</f>
        <v>23</v>
      </c>
      <c r="H92" s="15"/>
    </row>
    <row r="93" customFormat="false" ht="11.25" hidden="false" customHeight="true" outlineLevel="0" collapsed="false">
      <c r="A93" s="131" t="n">
        <v>8024</v>
      </c>
      <c r="B93" s="128" t="s">
        <v>437</v>
      </c>
      <c r="C93" s="103" t="n">
        <f aca="false">CHINO!D13</f>
        <v>7</v>
      </c>
      <c r="D93" s="154"/>
      <c r="E93" s="109" t="n">
        <v>5012</v>
      </c>
      <c r="F93" s="109" t="s">
        <v>326</v>
      </c>
      <c r="G93" s="103" t="n">
        <f aca="false">'SONY-PANASONIC'!D12</f>
        <v>11</v>
      </c>
      <c r="H93" s="15"/>
    </row>
    <row r="94" customFormat="false" ht="11.25" hidden="false" customHeight="true" outlineLevel="0" collapsed="false">
      <c r="A94" s="130" t="n">
        <v>8025</v>
      </c>
      <c r="B94" s="129" t="s">
        <v>438</v>
      </c>
      <c r="C94" s="103" t="n">
        <f aca="false">CHINO!D14</f>
        <v>10</v>
      </c>
      <c r="D94" s="155"/>
      <c r="E94" s="105" t="n">
        <v>5015</v>
      </c>
      <c r="F94" s="105" t="s">
        <v>327</v>
      </c>
      <c r="G94" s="103" t="n">
        <f aca="false">'SONY-PANASONIC'!D13</f>
        <v>21</v>
      </c>
      <c r="H94" s="15"/>
    </row>
    <row r="95" customFormat="false" ht="11.25" hidden="false" customHeight="true" outlineLevel="0" collapsed="false">
      <c r="A95" s="105" t="n">
        <v>8032</v>
      </c>
      <c r="B95" s="128" t="s">
        <v>439</v>
      </c>
      <c r="C95" s="103" t="n">
        <f aca="false">CHINO!D15</f>
        <v>2</v>
      </c>
      <c r="D95" s="154"/>
      <c r="E95" s="109" t="n">
        <v>5018</v>
      </c>
      <c r="F95" s="109" t="s">
        <v>802</v>
      </c>
      <c r="G95" s="103" t="n">
        <f aca="false">'SONY-PANASONIC'!D14</f>
        <v>24</v>
      </c>
      <c r="H95" s="15"/>
    </row>
    <row r="96" customFormat="false" ht="11.25" hidden="false" customHeight="true" outlineLevel="0" collapsed="false">
      <c r="A96" s="109" t="n">
        <v>8030</v>
      </c>
      <c r="B96" s="129" t="s">
        <v>440</v>
      </c>
      <c r="C96" s="103" t="n">
        <f aca="false">CHINO!D16</f>
        <v>8</v>
      </c>
      <c r="D96" s="155"/>
      <c r="E96" s="105" t="n">
        <v>5021</v>
      </c>
      <c r="F96" s="105" t="s">
        <v>330</v>
      </c>
      <c r="G96" s="103" t="n">
        <f aca="false">'SONY-PANASONIC'!D15</f>
        <v>19</v>
      </c>
      <c r="H96" s="162" t="s">
        <v>331</v>
      </c>
    </row>
    <row r="97" customFormat="false" ht="11.25" hidden="false" customHeight="true" outlineLevel="0" collapsed="false">
      <c r="A97" s="105" t="n">
        <v>8036</v>
      </c>
      <c r="B97" s="128" t="s">
        <v>441</v>
      </c>
      <c r="C97" s="103" t="n">
        <f aca="false">CHINO!D17</f>
        <v>1</v>
      </c>
      <c r="D97" s="154"/>
      <c r="E97" s="109" t="n">
        <v>5022</v>
      </c>
      <c r="F97" s="109" t="s">
        <v>332</v>
      </c>
      <c r="G97" s="103" t="n">
        <f aca="false">'SONY-PANASONIC'!D16</f>
        <v>1</v>
      </c>
      <c r="H97" s="15"/>
    </row>
    <row r="98" customFormat="false" ht="11.25" hidden="false" customHeight="true" outlineLevel="0" collapsed="false">
      <c r="A98" s="130" t="n">
        <v>8042</v>
      </c>
      <c r="B98" s="129" t="s">
        <v>824</v>
      </c>
      <c r="C98" s="103" t="n">
        <f aca="false">CHINO!D18</f>
        <v>2</v>
      </c>
      <c r="D98" s="155"/>
      <c r="E98" s="105" t="n">
        <v>5024</v>
      </c>
      <c r="F98" s="105" t="s">
        <v>333</v>
      </c>
      <c r="G98" s="103" t="n">
        <f aca="false">'SONY-PANASONIC'!D17</f>
        <v>22</v>
      </c>
      <c r="H98" s="15"/>
    </row>
    <row r="99" customFormat="false" ht="11.25" hidden="false" customHeight="true" outlineLevel="0" collapsed="false">
      <c r="A99" s="105" t="n">
        <v>8008</v>
      </c>
      <c r="B99" s="128" t="s">
        <v>443</v>
      </c>
      <c r="C99" s="103" t="n">
        <f aca="false">CHINO!D19</f>
        <v>9</v>
      </c>
      <c r="D99" s="154"/>
      <c r="E99" s="109" t="n">
        <v>5025</v>
      </c>
      <c r="F99" s="109" t="s">
        <v>334</v>
      </c>
      <c r="G99" s="103" t="n">
        <f aca="false">'SONY-PANASONIC'!D18</f>
        <v>16</v>
      </c>
      <c r="H99" s="15"/>
    </row>
    <row r="100" customFormat="false" ht="11.25" hidden="false" customHeight="true" outlineLevel="0" collapsed="false">
      <c r="A100" s="109" t="n">
        <v>8054</v>
      </c>
      <c r="B100" s="129" t="s">
        <v>444</v>
      </c>
      <c r="C100" s="103" t="n">
        <f aca="false">CHINO!D20</f>
        <v>1</v>
      </c>
      <c r="D100" s="155"/>
      <c r="E100" s="105" t="n">
        <v>5026</v>
      </c>
      <c r="F100" s="105" t="s">
        <v>335</v>
      </c>
      <c r="G100" s="103" t="n">
        <f aca="false">'SONY-PANASONIC'!D19</f>
        <v>2</v>
      </c>
      <c r="H100" s="15"/>
    </row>
    <row r="101" customFormat="false" ht="11.25" hidden="false" customHeight="true" outlineLevel="0" collapsed="false">
      <c r="A101" s="105" t="n">
        <v>8063</v>
      </c>
      <c r="B101" s="128" t="s">
        <v>445</v>
      </c>
      <c r="C101" s="103" t="n">
        <f aca="false">CHINO!D21</f>
        <v>0</v>
      </c>
      <c r="D101" s="154"/>
      <c r="E101" s="109" t="n">
        <v>5027</v>
      </c>
      <c r="F101" s="109" t="s">
        <v>336</v>
      </c>
      <c r="G101" s="103" t="n">
        <f aca="false">'SONY-PANASONIC'!D20</f>
        <v>19</v>
      </c>
      <c r="H101" s="15"/>
    </row>
    <row r="102" customFormat="false" ht="11.25" hidden="false" customHeight="true" outlineLevel="0" collapsed="false">
      <c r="A102" s="109" t="n">
        <v>8066</v>
      </c>
      <c r="B102" s="109" t="s">
        <v>446</v>
      </c>
      <c r="C102" s="103" t="n">
        <f aca="false">CHINO!D22</f>
        <v>8</v>
      </c>
      <c r="D102" s="155"/>
      <c r="E102" s="105" t="n">
        <v>5029</v>
      </c>
      <c r="F102" s="105" t="s">
        <v>337</v>
      </c>
      <c r="G102" s="103" t="n">
        <f aca="false">'SONY-PANASONIC'!D21</f>
        <v>19</v>
      </c>
      <c r="H102" s="15"/>
    </row>
    <row r="103" customFormat="false" ht="11.25" hidden="false" customHeight="true" outlineLevel="0" collapsed="false">
      <c r="A103" s="105" t="n">
        <v>8073</v>
      </c>
      <c r="B103" s="133" t="s">
        <v>447</v>
      </c>
      <c r="C103" s="103" t="n">
        <f aca="false">CHINO!D23</f>
        <v>28</v>
      </c>
      <c r="D103" s="154" t="s">
        <v>448</v>
      </c>
      <c r="E103" s="109" t="n">
        <v>5028</v>
      </c>
      <c r="F103" s="109" t="s">
        <v>339</v>
      </c>
      <c r="G103" s="103" t="n">
        <f aca="false">'SONY-PANASONIC'!D22</f>
        <v>18</v>
      </c>
      <c r="H103" s="15"/>
    </row>
    <row r="104" customFormat="false" ht="11.25" hidden="false" customHeight="true" outlineLevel="0" collapsed="false">
      <c r="A104" s="130" t="n">
        <v>8061</v>
      </c>
      <c r="B104" s="129" t="s">
        <v>449</v>
      </c>
      <c r="C104" s="103" t="n">
        <f aca="false">CHINO!D24</f>
        <v>13</v>
      </c>
      <c r="D104" s="155"/>
      <c r="E104" s="105" t="n">
        <v>5030</v>
      </c>
      <c r="F104" s="105" t="s">
        <v>340</v>
      </c>
      <c r="G104" s="103" t="n">
        <f aca="false">'SONY-PANASONIC'!D23</f>
        <v>16</v>
      </c>
      <c r="H104" s="15"/>
    </row>
    <row r="105" customFormat="false" ht="11.25" hidden="false" customHeight="true" outlineLevel="0" collapsed="false">
      <c r="A105" s="105" t="n">
        <v>8072</v>
      </c>
      <c r="B105" s="128" t="s">
        <v>450</v>
      </c>
      <c r="C105" s="103" t="n">
        <f aca="false">CHINO!D25</f>
        <v>0</v>
      </c>
      <c r="D105" s="154"/>
      <c r="E105" s="109" t="n">
        <v>5031</v>
      </c>
      <c r="F105" s="109" t="s">
        <v>341</v>
      </c>
      <c r="G105" s="103" t="n">
        <f aca="false">'SONY-PANASONIC'!D24</f>
        <v>32</v>
      </c>
      <c r="H105" s="15"/>
    </row>
    <row r="106" customFormat="false" ht="11.25" hidden="false" customHeight="true" outlineLevel="0" collapsed="false">
      <c r="A106" s="109" t="n">
        <v>8075</v>
      </c>
      <c r="B106" s="129" t="s">
        <v>451</v>
      </c>
      <c r="C106" s="103" t="n">
        <f aca="false">CHINO!D26</f>
        <v>2</v>
      </c>
      <c r="D106" s="155"/>
      <c r="E106" s="105" t="n">
        <v>5032</v>
      </c>
      <c r="F106" s="105" t="s">
        <v>342</v>
      </c>
      <c r="G106" s="103" t="n">
        <f aca="false">'SONY-PANASONIC'!D25</f>
        <v>4</v>
      </c>
      <c r="H106" s="15"/>
    </row>
    <row r="107" customFormat="false" ht="11.25" hidden="false" customHeight="true" outlineLevel="0" collapsed="false">
      <c r="A107" s="105" t="n">
        <v>8094</v>
      </c>
      <c r="B107" s="128" t="s">
        <v>452</v>
      </c>
      <c r="C107" s="103" t="n">
        <f aca="false">CHINO!D27</f>
        <v>9</v>
      </c>
      <c r="D107" s="154"/>
      <c r="E107" s="109" t="n">
        <v>5033</v>
      </c>
      <c r="F107" s="109" t="s">
        <v>343</v>
      </c>
      <c r="G107" s="103" t="n">
        <f aca="false">'SONY-PANASONIC'!D26</f>
        <v>5</v>
      </c>
      <c r="H107" s="15"/>
    </row>
    <row r="108" customFormat="false" ht="11.25" hidden="false" customHeight="true" outlineLevel="0" collapsed="false">
      <c r="A108" s="109" t="n">
        <v>8081</v>
      </c>
      <c r="B108" s="134" t="s">
        <v>825</v>
      </c>
      <c r="C108" s="103" t="n">
        <f aca="false">CHINO!D28</f>
        <v>17</v>
      </c>
      <c r="D108" s="155" t="s">
        <v>454</v>
      </c>
      <c r="E108" s="105" t="n">
        <v>5034</v>
      </c>
      <c r="F108" s="105" t="s">
        <v>344</v>
      </c>
      <c r="G108" s="103" t="n">
        <f aca="false">'SONY-PANASONIC'!D27</f>
        <v>20</v>
      </c>
      <c r="H108" s="15"/>
    </row>
    <row r="109" customFormat="false" ht="11.25" hidden="false" customHeight="true" outlineLevel="0" collapsed="false">
      <c r="A109" s="109" t="n">
        <v>8082</v>
      </c>
      <c r="B109" s="129" t="s">
        <v>826</v>
      </c>
      <c r="C109" s="103" t="n">
        <f aca="false">CHINO!D29</f>
        <v>3</v>
      </c>
      <c r="D109" s="155"/>
      <c r="E109" s="109" t="n">
        <v>5035</v>
      </c>
      <c r="F109" s="109" t="s">
        <v>345</v>
      </c>
      <c r="G109" s="103" t="n">
        <f aca="false">'SONY-PANASONIC'!D28</f>
        <v>20</v>
      </c>
      <c r="H109" s="15"/>
    </row>
    <row r="110" customFormat="false" ht="11.25" hidden="false" customHeight="true" outlineLevel="0" collapsed="false">
      <c r="A110" s="105" t="n">
        <v>8074</v>
      </c>
      <c r="B110" s="128" t="s">
        <v>456</v>
      </c>
      <c r="C110" s="103" t="n">
        <f aca="false">CHINO!D30</f>
        <v>12</v>
      </c>
      <c r="D110" s="154"/>
      <c r="E110" s="105" t="n">
        <v>5036</v>
      </c>
      <c r="F110" s="105" t="s">
        <v>346</v>
      </c>
      <c r="G110" s="103" t="n">
        <f aca="false">'SONY-PANASONIC'!D29</f>
        <v>7</v>
      </c>
      <c r="H110" s="15"/>
    </row>
    <row r="111" customFormat="false" ht="11.25" hidden="false" customHeight="true" outlineLevel="0" collapsed="false">
      <c r="A111" s="109" t="n">
        <v>8090</v>
      </c>
      <c r="B111" s="163" t="s">
        <v>827</v>
      </c>
      <c r="C111" s="103" t="n">
        <f aca="false">CHINO!D31</f>
        <v>12</v>
      </c>
      <c r="D111" s="155"/>
      <c r="E111" s="109" t="n">
        <v>5038</v>
      </c>
      <c r="F111" s="109" t="s">
        <v>347</v>
      </c>
      <c r="G111" s="103" t="n">
        <f aca="false">'SONY-PANASONIC'!D30</f>
        <v>17</v>
      </c>
      <c r="H111" s="15"/>
    </row>
    <row r="112" customFormat="false" ht="11.25" hidden="false" customHeight="true" outlineLevel="0" collapsed="false">
      <c r="A112" s="105" t="n">
        <v>8091</v>
      </c>
      <c r="B112" s="128" t="s">
        <v>458</v>
      </c>
      <c r="C112" s="103" t="n">
        <f aca="false">CHINO!D32</f>
        <v>20</v>
      </c>
      <c r="D112" s="154" t="s">
        <v>459</v>
      </c>
      <c r="E112" s="105" t="n">
        <v>5039</v>
      </c>
      <c r="F112" s="105" t="s">
        <v>348</v>
      </c>
      <c r="G112" s="103" t="n">
        <f aca="false">'SONY-PANASONIC'!D31</f>
        <v>8</v>
      </c>
      <c r="H112" s="15"/>
    </row>
    <row r="113" customFormat="false" ht="11.25" hidden="false" customHeight="true" outlineLevel="0" collapsed="false">
      <c r="A113" s="109" t="n">
        <v>8076</v>
      </c>
      <c r="B113" s="129" t="s">
        <v>460</v>
      </c>
      <c r="C113" s="103" t="n">
        <f aca="false">CHINO!D33</f>
        <v>18</v>
      </c>
      <c r="D113" s="155" t="s">
        <v>461</v>
      </c>
      <c r="E113" s="109" t="n">
        <v>5040</v>
      </c>
      <c r="F113" s="109" t="s">
        <v>349</v>
      </c>
      <c r="G113" s="103" t="n">
        <f aca="false">'SONY-PANASONIC'!D32</f>
        <v>10</v>
      </c>
      <c r="H113" s="15"/>
    </row>
    <row r="114" customFormat="false" ht="11.25" hidden="false" customHeight="true" outlineLevel="0" collapsed="false">
      <c r="A114" s="131" t="n">
        <v>8078</v>
      </c>
      <c r="B114" s="128" t="s">
        <v>462</v>
      </c>
      <c r="C114" s="103" t="n">
        <f aca="false">CHINO!D34</f>
        <v>4</v>
      </c>
      <c r="D114" s="154"/>
      <c r="E114" s="105" t="n">
        <v>5045</v>
      </c>
      <c r="F114" s="105" t="s">
        <v>350</v>
      </c>
      <c r="G114" s="103" t="n">
        <f aca="false">'SONY-PANASONIC'!D33</f>
        <v>19</v>
      </c>
      <c r="H114" s="15"/>
    </row>
    <row r="115" customFormat="false" ht="11.25" hidden="false" customHeight="true" outlineLevel="0" collapsed="false">
      <c r="A115" s="109" t="n">
        <v>8093</v>
      </c>
      <c r="B115" s="129" t="s">
        <v>463</v>
      </c>
      <c r="C115" s="103" t="n">
        <f aca="false">CHINO!D35</f>
        <v>10</v>
      </c>
      <c r="D115" s="155"/>
      <c r="E115" s="120" t="s">
        <v>809</v>
      </c>
      <c r="F115" s="120"/>
      <c r="H115" s="15"/>
    </row>
    <row r="116" customFormat="false" ht="11.25" hidden="false" customHeight="true" outlineLevel="0" collapsed="false">
      <c r="A116" s="105" t="n">
        <v>6027</v>
      </c>
      <c r="B116" s="106" t="s">
        <v>828</v>
      </c>
      <c r="C116" s="103" t="n">
        <f aca="false">CHINO!D36</f>
        <v>18</v>
      </c>
      <c r="D116" s="154" t="s">
        <v>465</v>
      </c>
      <c r="E116" s="93" t="s">
        <v>792</v>
      </c>
      <c r="F116" s="94" t="s">
        <v>2</v>
      </c>
      <c r="G116" s="94" t="s">
        <v>820</v>
      </c>
      <c r="H116" s="15"/>
    </row>
    <row r="117" customFormat="false" ht="11.25" hidden="false" customHeight="true" outlineLevel="0" collapsed="false">
      <c r="A117" s="105" t="n">
        <v>8103</v>
      </c>
      <c r="B117" s="128" t="s">
        <v>467</v>
      </c>
      <c r="C117" s="103" t="n">
        <f aca="false">CHINO!D37</f>
        <v>13</v>
      </c>
      <c r="D117" s="155"/>
      <c r="E117" s="105" t="n">
        <v>3000</v>
      </c>
      <c r="F117" s="113" t="s">
        <v>278</v>
      </c>
      <c r="G117" s="103" t="n">
        <f aca="false">HAIER!D5</f>
        <v>13</v>
      </c>
      <c r="H117" s="15"/>
    </row>
    <row r="118" customFormat="false" ht="11.25" hidden="false" customHeight="true" outlineLevel="0" collapsed="false">
      <c r="A118" s="109" t="n">
        <v>8064</v>
      </c>
      <c r="B118" s="129" t="s">
        <v>468</v>
      </c>
      <c r="C118" s="103" t="n">
        <f aca="false">CHINO!D38</f>
        <v>20</v>
      </c>
      <c r="D118" s="154" t="s">
        <v>459</v>
      </c>
      <c r="E118" s="109" t="n">
        <v>3001</v>
      </c>
      <c r="F118" s="146" t="s">
        <v>279</v>
      </c>
      <c r="G118" s="103" t="n">
        <f aca="false">HAIER!D6</f>
        <v>10</v>
      </c>
      <c r="H118" s="15"/>
    </row>
    <row r="119" customFormat="false" ht="11.25" hidden="false" customHeight="true" outlineLevel="0" collapsed="false">
      <c r="A119" s="105" t="n">
        <v>8120</v>
      </c>
      <c r="B119" s="105" t="s">
        <v>469</v>
      </c>
      <c r="C119" s="103" t="n">
        <f aca="false">CHINO!E39</f>
        <v>0</v>
      </c>
      <c r="D119" s="155"/>
      <c r="E119" s="105" t="n">
        <v>3003</v>
      </c>
      <c r="F119" s="106" t="s">
        <v>280</v>
      </c>
      <c r="G119" s="103" t="n">
        <f aca="false">HAIER!D7</f>
        <v>6</v>
      </c>
      <c r="H119" s="15"/>
    </row>
    <row r="120" customFormat="false" ht="11.25" hidden="false" customHeight="true" outlineLevel="0" collapsed="false">
      <c r="A120" s="130" t="n">
        <v>8123</v>
      </c>
      <c r="B120" s="109" t="s">
        <v>470</v>
      </c>
      <c r="C120" s="103" t="n">
        <f aca="false">CHINO!E40</f>
        <v>1290</v>
      </c>
      <c r="D120" s="154"/>
      <c r="E120" s="109" t="n">
        <v>3006</v>
      </c>
      <c r="F120" s="110" t="s">
        <v>281</v>
      </c>
      <c r="G120" s="103" t="n">
        <f aca="false">HAIER!D8</f>
        <v>12</v>
      </c>
      <c r="H120" s="15"/>
    </row>
    <row r="121" customFormat="false" ht="11.25" hidden="false" customHeight="true" outlineLevel="0" collapsed="false">
      <c r="A121" s="105" t="n">
        <v>8126</v>
      </c>
      <c r="B121" s="105" t="s">
        <v>471</v>
      </c>
      <c r="C121" s="103" t="n">
        <f aca="false">CHINO!E41</f>
        <v>21</v>
      </c>
      <c r="D121" s="155"/>
      <c r="E121" s="105" t="n">
        <v>3009</v>
      </c>
      <c r="F121" s="106" t="s">
        <v>282</v>
      </c>
      <c r="G121" s="103" t="n">
        <f aca="false">HAIER!D9</f>
        <v>19</v>
      </c>
      <c r="H121" s="15"/>
    </row>
    <row r="122" customFormat="false" ht="11.25" hidden="false" customHeight="true" outlineLevel="0" collapsed="false">
      <c r="A122" s="109" t="n">
        <v>8129</v>
      </c>
      <c r="B122" s="109" t="s">
        <v>472</v>
      </c>
      <c r="C122" s="103" t="n">
        <f aca="false">CHINO!E42</f>
        <v>4</v>
      </c>
      <c r="D122" s="154"/>
      <c r="E122" s="109" t="n">
        <v>3012</v>
      </c>
      <c r="F122" s="110" t="s">
        <v>283</v>
      </c>
      <c r="G122" s="103" t="n">
        <f aca="false">HAIER!D10</f>
        <v>16</v>
      </c>
      <c r="H122" s="15"/>
    </row>
    <row r="123" customFormat="false" ht="11.25" hidden="false" customHeight="true" outlineLevel="0" collapsed="false">
      <c r="A123" s="131" t="n">
        <v>8124</v>
      </c>
      <c r="B123" s="105" t="s">
        <v>473</v>
      </c>
      <c r="C123" s="103" t="n">
        <f aca="false">CHINO!E43</f>
        <v>665</v>
      </c>
      <c r="D123" s="155"/>
      <c r="E123" s="105" t="n">
        <v>3015</v>
      </c>
      <c r="F123" s="106" t="s">
        <v>284</v>
      </c>
      <c r="G123" s="103" t="n">
        <f aca="false">HAIER!D11</f>
        <v>16</v>
      </c>
      <c r="H123" s="15"/>
    </row>
    <row r="124" customFormat="false" ht="11.25" hidden="false" customHeight="true" outlineLevel="0" collapsed="false">
      <c r="A124" s="109" t="n">
        <v>8130</v>
      </c>
      <c r="B124" s="109" t="s">
        <v>474</v>
      </c>
      <c r="C124" s="103" t="n">
        <f aca="false">CHINO!E44</f>
        <v>1469</v>
      </c>
      <c r="D124" s="157"/>
      <c r="E124" s="109" t="n">
        <v>3018</v>
      </c>
      <c r="F124" s="110" t="s">
        <v>285</v>
      </c>
      <c r="G124" s="103" t="n">
        <f aca="false">HAIER!D12</f>
        <v>25</v>
      </c>
      <c r="H124" s="15"/>
    </row>
    <row r="125" customFormat="false" ht="11.25" hidden="false" customHeight="true" outlineLevel="0" collapsed="false">
      <c r="A125" s="164"/>
      <c r="B125" s="15"/>
      <c r="C125" s="60"/>
      <c r="E125" s="105" t="n">
        <v>3021</v>
      </c>
      <c r="F125" s="110" t="s">
        <v>287</v>
      </c>
      <c r="G125" s="103" t="n">
        <f aca="false">HAIER!D13</f>
        <v>0</v>
      </c>
      <c r="H125" s="15"/>
    </row>
    <row r="126" customFormat="false" ht="11.25" hidden="false" customHeight="true" outlineLevel="0" collapsed="false">
      <c r="A126" s="120" t="s">
        <v>381</v>
      </c>
      <c r="B126" s="120"/>
      <c r="C126" s="120"/>
      <c r="E126" s="109" t="n">
        <v>3024</v>
      </c>
      <c r="F126" s="110" t="s">
        <v>288</v>
      </c>
      <c r="G126" s="103" t="n">
        <f aca="false">HAIER!D14</f>
        <v>0</v>
      </c>
      <c r="H126" s="15"/>
    </row>
    <row r="127" customFormat="false" ht="11.25" hidden="false" customHeight="true" outlineLevel="0" collapsed="false">
      <c r="A127" s="93" t="s">
        <v>792</v>
      </c>
      <c r="B127" s="94" t="s">
        <v>2</v>
      </c>
      <c r="C127" s="94" t="s">
        <v>820</v>
      </c>
      <c r="E127" s="105" t="n">
        <v>3027</v>
      </c>
      <c r="F127" s="106" t="s">
        <v>289</v>
      </c>
      <c r="G127" s="103" t="n">
        <f aca="false">HAIER!D15</f>
        <v>8</v>
      </c>
      <c r="H127" s="15"/>
    </row>
    <row r="128" customFormat="false" ht="11.25" hidden="false" customHeight="true" outlineLevel="0" collapsed="false">
      <c r="A128" s="105" t="n">
        <v>6010</v>
      </c>
      <c r="B128" s="106" t="s">
        <v>382</v>
      </c>
      <c r="C128" s="103" t="n">
        <f aca="false">'HISENSE '!C5</f>
        <v>0</v>
      </c>
      <c r="D128" s="144"/>
      <c r="E128" s="109" t="n">
        <v>3028</v>
      </c>
      <c r="F128" s="110" t="s">
        <v>290</v>
      </c>
      <c r="G128" s="103" t="n">
        <f aca="false">HAIER!D16</f>
        <v>7</v>
      </c>
      <c r="H128" s="15"/>
    </row>
    <row r="129" customFormat="false" ht="11.25" hidden="false" customHeight="true" outlineLevel="0" collapsed="false">
      <c r="A129" s="105" t="n">
        <v>6110</v>
      </c>
      <c r="B129" s="57" t="s">
        <v>383</v>
      </c>
      <c r="C129" s="103" t="n">
        <f aca="false">'HISENSE '!C6</f>
        <v>19</v>
      </c>
      <c r="D129" s="111" t="s">
        <v>384</v>
      </c>
      <c r="E129" s="105" t="n">
        <v>3030</v>
      </c>
      <c r="F129" s="106" t="s">
        <v>291</v>
      </c>
      <c r="G129" s="103" t="n">
        <f aca="false">HAIER!D17</f>
        <v>18</v>
      </c>
      <c r="H129" s="15"/>
    </row>
    <row r="130" customFormat="false" ht="11.25" hidden="false" customHeight="true" outlineLevel="0" collapsed="false">
      <c r="A130" s="109" t="n">
        <v>6018</v>
      </c>
      <c r="B130" s="110" t="s">
        <v>385</v>
      </c>
      <c r="C130" s="103" t="n">
        <f aca="false">'HISENSE '!C7</f>
        <v>12</v>
      </c>
      <c r="D130" s="144" t="s">
        <v>386</v>
      </c>
      <c r="E130" s="109" t="n">
        <v>3033</v>
      </c>
      <c r="F130" s="110" t="s">
        <v>292</v>
      </c>
      <c r="G130" s="103" t="n">
        <f aca="false">HAIER!D18</f>
        <v>3</v>
      </c>
      <c r="H130" s="15"/>
    </row>
    <row r="131" customFormat="false" ht="11.25" hidden="false" customHeight="true" outlineLevel="0" collapsed="false">
      <c r="A131" s="109" t="n">
        <v>6020</v>
      </c>
      <c r="B131" s="138" t="s">
        <v>387</v>
      </c>
      <c r="C131" s="103" t="n">
        <f aca="false">'HISENSE '!C8</f>
        <v>20</v>
      </c>
      <c r="D131" s="144" t="s">
        <v>388</v>
      </c>
      <c r="E131" s="105" t="n">
        <v>3036</v>
      </c>
      <c r="F131" s="106" t="s">
        <v>293</v>
      </c>
      <c r="G131" s="103" t="n">
        <f aca="false">HAIER!D19</f>
        <v>13</v>
      </c>
      <c r="H131" s="15"/>
    </row>
    <row r="132" customFormat="false" ht="11.25" hidden="false" customHeight="true" outlineLevel="0" collapsed="false">
      <c r="A132" s="109" t="n">
        <v>6033</v>
      </c>
      <c r="B132" s="110" t="s">
        <v>389</v>
      </c>
      <c r="C132" s="103" t="n">
        <f aca="false">'HISENSE '!C9</f>
        <v>20</v>
      </c>
      <c r="E132" s="109" t="n">
        <v>3040</v>
      </c>
      <c r="F132" s="110" t="s">
        <v>294</v>
      </c>
      <c r="G132" s="103" t="n">
        <f aca="false">HAIER!D20</f>
        <v>18</v>
      </c>
      <c r="H132" s="15"/>
    </row>
    <row r="133" customFormat="false" ht="11.25" hidden="false" customHeight="true" outlineLevel="0" collapsed="false">
      <c r="A133" s="105" t="n">
        <v>6034</v>
      </c>
      <c r="B133" s="110" t="s">
        <v>390</v>
      </c>
      <c r="C133" s="103" t="n">
        <f aca="false">'HISENSE '!C10</f>
        <v>24</v>
      </c>
      <c r="D133" s="144" t="s">
        <v>391</v>
      </c>
      <c r="E133" s="165" t="s">
        <v>810</v>
      </c>
      <c r="F133" s="165"/>
      <c r="H133" s="15"/>
    </row>
    <row r="134" customFormat="false" ht="11.25" hidden="false" customHeight="true" outlineLevel="0" collapsed="false">
      <c r="A134" s="164"/>
      <c r="B134" s="15"/>
      <c r="C134" s="60"/>
      <c r="E134" s="93" t="s">
        <v>792</v>
      </c>
      <c r="F134" s="94" t="s">
        <v>2</v>
      </c>
      <c r="G134" s="94" t="s">
        <v>820</v>
      </c>
      <c r="H134" s="15"/>
    </row>
    <row r="135" customFormat="false" ht="11.25" hidden="false" customHeight="true" outlineLevel="0" collapsed="false">
      <c r="A135" s="120" t="s">
        <v>392</v>
      </c>
      <c r="B135" s="120"/>
      <c r="C135" s="120"/>
      <c r="E135" s="105" t="n">
        <v>7000</v>
      </c>
      <c r="F135" s="110" t="s">
        <v>352</v>
      </c>
      <c r="G135" s="103" t="n">
        <f aca="false">'IRT-PHILIPS'!D5</f>
        <v>15</v>
      </c>
      <c r="H135" s="147" t="s">
        <v>353</v>
      </c>
    </row>
    <row r="136" customFormat="false" ht="11.25" hidden="false" customHeight="true" outlineLevel="0" collapsed="false">
      <c r="A136" s="93" t="s">
        <v>792</v>
      </c>
      <c r="B136" s="94" t="s">
        <v>2</v>
      </c>
      <c r="C136" s="94" t="s">
        <v>820</v>
      </c>
      <c r="E136" s="109" t="n">
        <v>7002</v>
      </c>
      <c r="F136" s="139" t="s">
        <v>354</v>
      </c>
      <c r="G136" s="103" t="n">
        <f aca="false">'IRT-PHILIPS'!D6</f>
        <v>1</v>
      </c>
      <c r="H136" s="111"/>
    </row>
    <row r="137" customFormat="false" ht="11.25" hidden="false" customHeight="true" outlineLevel="0" collapsed="false">
      <c r="A137" s="105" t="n">
        <v>6000</v>
      </c>
      <c r="B137" s="106" t="s">
        <v>393</v>
      </c>
      <c r="C137" s="103" t="n">
        <f aca="false">SKYWORTH!C5</f>
        <v>0</v>
      </c>
      <c r="E137" s="105" t="n">
        <v>7003</v>
      </c>
      <c r="F137" s="110" t="s">
        <v>355</v>
      </c>
      <c r="G137" s="103" t="n">
        <f aca="false">'IRT-PHILIPS'!D7</f>
        <v>3</v>
      </c>
      <c r="H137" s="147"/>
    </row>
    <row r="138" customFormat="false" ht="11.25" hidden="false" customHeight="true" outlineLevel="0" collapsed="false">
      <c r="A138" s="109" t="n">
        <v>6006</v>
      </c>
      <c r="B138" s="110" t="s">
        <v>394</v>
      </c>
      <c r="C138" s="103" t="n">
        <f aca="false">SKYWORTH!C6</f>
        <v>17</v>
      </c>
      <c r="E138" s="109" t="n">
        <v>7004</v>
      </c>
      <c r="F138" s="139" t="s">
        <v>356</v>
      </c>
      <c r="G138" s="103" t="n">
        <f aca="false">'IRT-PHILIPS'!D8</f>
        <v>16</v>
      </c>
      <c r="H138" s="111" t="s">
        <v>357</v>
      </c>
    </row>
    <row r="139" customFormat="false" ht="11.25" hidden="false" customHeight="true" outlineLevel="0" collapsed="false">
      <c r="A139" s="105" t="n">
        <v>6007</v>
      </c>
      <c r="B139" s="106" t="s">
        <v>395</v>
      </c>
      <c r="C139" s="103" t="n">
        <f aca="false">SKYWORTH!C7</f>
        <v>12</v>
      </c>
      <c r="E139" s="105" t="n">
        <v>7009</v>
      </c>
      <c r="F139" s="106" t="s">
        <v>358</v>
      </c>
      <c r="G139" s="103" t="n">
        <f aca="false">'IRT-PHILIPS'!D9</f>
        <v>18</v>
      </c>
      <c r="H139" s="147"/>
    </row>
    <row r="140" customFormat="false" ht="11.25" hidden="false" customHeight="true" outlineLevel="0" collapsed="false">
      <c r="A140" s="109" t="n">
        <v>6008</v>
      </c>
      <c r="B140" s="110" t="s">
        <v>396</v>
      </c>
      <c r="C140" s="103" t="n">
        <f aca="false">SKYWORTH!C8</f>
        <v>9</v>
      </c>
      <c r="E140" s="109" t="n">
        <v>7012</v>
      </c>
      <c r="F140" s="110" t="s">
        <v>359</v>
      </c>
      <c r="G140" s="103" t="n">
        <f aca="false">'IRT-PHILIPS'!D10</f>
        <v>20</v>
      </c>
      <c r="H140" s="111"/>
    </row>
    <row r="141" customFormat="false" ht="11.25" hidden="false" customHeight="true" outlineLevel="0" collapsed="false">
      <c r="A141" s="105" t="n">
        <v>6022</v>
      </c>
      <c r="B141" s="106" t="s">
        <v>397</v>
      </c>
      <c r="C141" s="103" t="n">
        <f aca="false">SKYWORTH!C9</f>
        <v>16</v>
      </c>
      <c r="E141" s="105" t="n">
        <v>7015</v>
      </c>
      <c r="F141" s="106" t="s">
        <v>360</v>
      </c>
      <c r="G141" s="103" t="n">
        <f aca="false">'IRT-PHILIPS'!D11</f>
        <v>19</v>
      </c>
      <c r="H141" s="147"/>
    </row>
    <row r="142" customFormat="false" ht="11.25" hidden="false" customHeight="true" outlineLevel="0" collapsed="false">
      <c r="A142" s="109" t="n">
        <v>6131</v>
      </c>
      <c r="B142" s="110" t="s">
        <v>829</v>
      </c>
      <c r="C142" s="103" t="n">
        <f aca="false">SKYWORTH!C10</f>
        <v>-2</v>
      </c>
      <c r="E142" s="109" t="n">
        <v>7018</v>
      </c>
      <c r="F142" s="139" t="s">
        <v>361</v>
      </c>
      <c r="G142" s="103" t="n">
        <f aca="false">'IRT-PHILIPS'!D12</f>
        <v>22</v>
      </c>
      <c r="H142" s="111"/>
    </row>
    <row r="143" customFormat="false" ht="11.25" hidden="false" customHeight="true" outlineLevel="0" collapsed="false">
      <c r="A143" s="105" t="n">
        <v>6132</v>
      </c>
      <c r="B143" s="106" t="s">
        <v>399</v>
      </c>
      <c r="C143" s="103" t="n">
        <f aca="false">SKYWORTH!C11</f>
        <v>17</v>
      </c>
      <c r="E143" s="109" t="n">
        <v>7019</v>
      </c>
      <c r="F143" s="140" t="s">
        <v>362</v>
      </c>
      <c r="G143" s="103" t="n">
        <f aca="false">'IRT-PHILIPS'!D13</f>
        <v>20</v>
      </c>
      <c r="H143" s="140" t="s">
        <v>363</v>
      </c>
    </row>
    <row r="144" customFormat="false" ht="11.25" hidden="false" customHeight="true" outlineLevel="0" collapsed="false">
      <c r="A144" s="164"/>
      <c r="B144" s="15"/>
      <c r="C144" s="60"/>
      <c r="E144" s="141" t="s">
        <v>812</v>
      </c>
      <c r="F144" s="141"/>
      <c r="H144" s="15"/>
    </row>
    <row r="145" customFormat="false" ht="11.25" hidden="false" customHeight="true" outlineLevel="0" collapsed="false">
      <c r="A145" s="120" t="s">
        <v>400</v>
      </c>
      <c r="B145" s="120"/>
      <c r="C145" s="120"/>
      <c r="E145" s="93" t="s">
        <v>792</v>
      </c>
      <c r="F145" s="94" t="s">
        <v>2</v>
      </c>
      <c r="G145" s="94" t="s">
        <v>820</v>
      </c>
      <c r="H145" s="15"/>
    </row>
    <row r="146" customFormat="false" ht="11.25" hidden="false" customHeight="true" outlineLevel="0" collapsed="false">
      <c r="A146" s="93" t="s">
        <v>792</v>
      </c>
      <c r="B146" s="94" t="s">
        <v>2</v>
      </c>
      <c r="C146" s="94" t="s">
        <v>820</v>
      </c>
      <c r="E146" s="105" t="n">
        <v>6001</v>
      </c>
      <c r="F146" s="106" t="s">
        <v>421</v>
      </c>
      <c r="G146" s="103" t="n">
        <f aca="false">'MASTER G'!C4</f>
        <v>12</v>
      </c>
      <c r="H146" s="15"/>
    </row>
    <row r="147" customFormat="false" ht="11.25" hidden="false" customHeight="true" outlineLevel="0" collapsed="false">
      <c r="A147" s="105" t="n">
        <v>8015</v>
      </c>
      <c r="B147" s="122" t="s">
        <v>401</v>
      </c>
      <c r="C147" s="103" t="n">
        <f aca="false">PREMIER!D5</f>
        <v>8</v>
      </c>
      <c r="E147" s="109" t="n">
        <v>6012</v>
      </c>
      <c r="F147" s="110" t="s">
        <v>422</v>
      </c>
      <c r="G147" s="103" t="n">
        <f aca="false">'MASTER G'!C5</f>
        <v>10</v>
      </c>
      <c r="H147" s="15"/>
    </row>
    <row r="148" customFormat="false" ht="11.25" hidden="false" customHeight="true" outlineLevel="0" collapsed="false">
      <c r="A148" s="109" t="n">
        <v>8033</v>
      </c>
      <c r="B148" s="139" t="s">
        <v>830</v>
      </c>
      <c r="C148" s="103" t="n">
        <f aca="false">PREMIER!D6</f>
        <v>42</v>
      </c>
      <c r="E148" s="105" t="n">
        <v>6019</v>
      </c>
      <c r="F148" s="106" t="s">
        <v>423</v>
      </c>
      <c r="G148" s="103" t="n">
        <f aca="false">'MASTER G'!C6</f>
        <v>11</v>
      </c>
      <c r="H148" s="15"/>
    </row>
    <row r="149" customFormat="false" ht="11.25" hidden="false" customHeight="true" outlineLevel="0" collapsed="false">
      <c r="A149" s="105" t="n">
        <v>8039</v>
      </c>
      <c r="B149" s="122" t="s">
        <v>403</v>
      </c>
      <c r="C149" s="103" t="n">
        <f aca="false">PREMIER!D7</f>
        <v>7</v>
      </c>
      <c r="E149" s="109" t="n">
        <v>6028</v>
      </c>
      <c r="F149" s="110" t="s">
        <v>814</v>
      </c>
      <c r="G149" s="103" t="n">
        <f aca="false">'MASTER G'!C7</f>
        <v>8</v>
      </c>
      <c r="H149" s="15"/>
    </row>
    <row r="150" customFormat="false" ht="11.25" hidden="false" customHeight="true" outlineLevel="0" collapsed="false">
      <c r="A150" s="109" t="n">
        <v>8031</v>
      </c>
      <c r="B150" s="139" t="s">
        <v>404</v>
      </c>
      <c r="C150" s="103" t="n">
        <f aca="false">PREMIER!D8</f>
        <v>10</v>
      </c>
      <c r="E150" s="105" t="n">
        <v>6029</v>
      </c>
      <c r="F150" s="122" t="s">
        <v>425</v>
      </c>
      <c r="G150" s="103" t="n">
        <f aca="false">'MASTER G'!C8</f>
        <v>18</v>
      </c>
      <c r="H150" s="15"/>
    </row>
    <row r="151" customFormat="false" ht="11.25" hidden="false" customHeight="true" outlineLevel="0" collapsed="false">
      <c r="A151" s="105" t="n">
        <v>8055</v>
      </c>
      <c r="B151" s="122" t="s">
        <v>831</v>
      </c>
      <c r="C151" s="103" t="n">
        <f aca="false">PREMIER!D9</f>
        <v>17</v>
      </c>
      <c r="E151" s="166" t="s">
        <v>817</v>
      </c>
      <c r="F151" s="166"/>
      <c r="H151" s="15"/>
    </row>
    <row r="152" customFormat="false" ht="11.25" hidden="false" customHeight="true" outlineLevel="0" collapsed="false">
      <c r="A152" s="109" t="n">
        <v>8056</v>
      </c>
      <c r="B152" s="139" t="s">
        <v>816</v>
      </c>
      <c r="C152" s="103" t="n">
        <f aca="false">PREMIER!D10</f>
        <v>19</v>
      </c>
      <c r="E152" s="93" t="s">
        <v>792</v>
      </c>
      <c r="F152" s="94" t="s">
        <v>2</v>
      </c>
      <c r="G152" s="94" t="s">
        <v>820</v>
      </c>
      <c r="H152" s="154"/>
    </row>
    <row r="153" customFormat="false" ht="11.25" hidden="false" customHeight="true" outlineLevel="0" collapsed="false">
      <c r="A153" s="105" t="n">
        <v>8057</v>
      </c>
      <c r="B153" s="122" t="s">
        <v>408</v>
      </c>
      <c r="C153" s="103" t="n">
        <f aca="false">PREMIER!D11</f>
        <v>18</v>
      </c>
      <c r="E153" s="105" t="n">
        <v>8021</v>
      </c>
      <c r="F153" s="122" t="s">
        <v>476</v>
      </c>
      <c r="G153" s="142" t="n">
        <f aca="false">'AOC-JVC'!D5</f>
        <v>2</v>
      </c>
      <c r="H153" s="155"/>
    </row>
    <row r="154" customFormat="false" ht="11.25" hidden="false" customHeight="true" outlineLevel="0" collapsed="false">
      <c r="A154" s="109" t="n">
        <v>8067</v>
      </c>
      <c r="B154" s="139" t="s">
        <v>409</v>
      </c>
      <c r="C154" s="103" t="n">
        <f aca="false">PREMIER!D12</f>
        <v>15</v>
      </c>
      <c r="E154" s="109" t="n">
        <v>8060</v>
      </c>
      <c r="F154" s="139" t="s">
        <v>477</v>
      </c>
      <c r="G154" s="142" t="n">
        <f aca="false">'AOC-JVC'!D6</f>
        <v>2</v>
      </c>
      <c r="H154" s="154" t="s">
        <v>479</v>
      </c>
    </row>
    <row r="155" customFormat="false" ht="11.25" hidden="false" customHeight="true" outlineLevel="0" collapsed="false">
      <c r="A155" s="105" t="n">
        <v>8068</v>
      </c>
      <c r="B155" s="122" t="s">
        <v>411</v>
      </c>
      <c r="C155" s="103" t="n">
        <f aca="false">PREMIER!D13</f>
        <v>6</v>
      </c>
      <c r="E155" s="105" t="n">
        <v>8070</v>
      </c>
      <c r="F155" s="122" t="s">
        <v>478</v>
      </c>
      <c r="G155" s="142" t="n">
        <f aca="false">'AOC-JVC'!D7</f>
        <v>17</v>
      </c>
      <c r="H155" s="155"/>
    </row>
    <row r="156" customFormat="false" ht="11.25" hidden="false" customHeight="true" outlineLevel="0" collapsed="false">
      <c r="A156" s="109" t="n">
        <v>8069</v>
      </c>
      <c r="B156" s="139" t="s">
        <v>412</v>
      </c>
      <c r="C156" s="103" t="n">
        <f aca="false">PREMIER!D14</f>
        <v>19</v>
      </c>
      <c r="E156" s="109" t="n">
        <v>8099</v>
      </c>
      <c r="F156" s="139" t="s">
        <v>480</v>
      </c>
      <c r="G156" s="142" t="n">
        <f aca="false">'AOC-JVC'!D8</f>
        <v>4</v>
      </c>
      <c r="H156" s="154" t="s">
        <v>482</v>
      </c>
    </row>
    <row r="157" customFormat="false" ht="11.25" hidden="false" customHeight="true" outlineLevel="0" collapsed="false">
      <c r="A157" s="105" t="n">
        <v>8087</v>
      </c>
      <c r="B157" s="122" t="s">
        <v>414</v>
      </c>
      <c r="C157" s="103" t="n">
        <f aca="false">PREMIER!D15</f>
        <v>16</v>
      </c>
      <c r="E157" s="105" t="n">
        <v>8100</v>
      </c>
      <c r="F157" s="122" t="s">
        <v>481</v>
      </c>
      <c r="G157" s="142" t="n">
        <f aca="false">'AOC-JVC'!D9</f>
        <v>11</v>
      </c>
      <c r="H157" s="155"/>
    </row>
    <row r="158" customFormat="false" ht="11.25" hidden="false" customHeight="true" outlineLevel="0" collapsed="false">
      <c r="A158" s="109" t="n">
        <v>8095</v>
      </c>
      <c r="B158" s="139" t="s">
        <v>415</v>
      </c>
      <c r="C158" s="103" t="n">
        <f aca="false">PREMIER!D16</f>
        <v>28</v>
      </c>
      <c r="E158" s="109" t="n">
        <v>8101</v>
      </c>
      <c r="F158" s="139" t="s">
        <v>483</v>
      </c>
      <c r="G158" s="142" t="n">
        <f aca="false">'AOC-JVC'!D10</f>
        <v>19</v>
      </c>
      <c r="H158" s="154"/>
    </row>
    <row r="159" customFormat="false" ht="26.85" hidden="false" customHeight="false" outlineLevel="0" collapsed="false">
      <c r="A159" s="105" t="n">
        <v>8096</v>
      </c>
      <c r="B159" s="139" t="s">
        <v>416</v>
      </c>
      <c r="C159" s="103" t="n">
        <f aca="false">PREMIER!D17</f>
        <v>0</v>
      </c>
      <c r="E159" s="105" t="n">
        <v>8104</v>
      </c>
      <c r="F159" s="122" t="s">
        <v>484</v>
      </c>
      <c r="G159" s="142" t="n">
        <f aca="false">'AOC-JVC'!D11</f>
        <v>11</v>
      </c>
      <c r="H159" s="155" t="s">
        <v>486</v>
      </c>
    </row>
    <row r="160" customFormat="false" ht="15" hidden="false" customHeight="false" outlineLevel="0" collapsed="false">
      <c r="A160" s="109" t="n">
        <v>8097</v>
      </c>
      <c r="B160" s="139" t="s">
        <v>417</v>
      </c>
      <c r="C160" s="103" t="n">
        <f aca="false">PREMIER!D18</f>
        <v>15</v>
      </c>
      <c r="E160" s="109" t="n">
        <v>9001</v>
      </c>
      <c r="F160" s="139" t="s">
        <v>485</v>
      </c>
      <c r="G160" s="142" t="n">
        <f aca="false">'AOC-JVC'!D12</f>
        <v>9</v>
      </c>
      <c r="H160" s="157" t="s">
        <v>488</v>
      </c>
    </row>
    <row r="161" customFormat="false" ht="15" hidden="false" customHeight="false" outlineLevel="0" collapsed="false">
      <c r="A161" s="105" t="n">
        <v>8098</v>
      </c>
      <c r="B161" s="122" t="s">
        <v>418</v>
      </c>
      <c r="C161" s="103" t="n">
        <f aca="false">PREMIER!D19</f>
        <v>12</v>
      </c>
      <c r="E161" s="105" t="n">
        <v>9002</v>
      </c>
      <c r="F161" s="122" t="s">
        <v>487</v>
      </c>
      <c r="G161" s="142" t="n">
        <f aca="false">'AOC-JVC'!D13</f>
        <v>9</v>
      </c>
      <c r="H161" s="15"/>
    </row>
    <row r="162" customFormat="false" ht="15" hidden="false" customHeight="false" outlineLevel="0" collapsed="false">
      <c r="A162" s="88"/>
      <c r="C162" s="60"/>
      <c r="E162" s="15"/>
      <c r="F162" s="15"/>
    </row>
  </sheetData>
  <mergeCells count="17">
    <mergeCell ref="A1:F1"/>
    <mergeCell ref="A2:F2"/>
    <mergeCell ref="A3:C3"/>
    <mergeCell ref="E3:F3"/>
    <mergeCell ref="A69:C69"/>
    <mergeCell ref="E70:F70"/>
    <mergeCell ref="A81:B81"/>
    <mergeCell ref="A82:B82"/>
    <mergeCell ref="A83:C83"/>
    <mergeCell ref="E84:F84"/>
    <mergeCell ref="E115:F115"/>
    <mergeCell ref="A126:C126"/>
    <mergeCell ref="E133:F133"/>
    <mergeCell ref="A135:C135"/>
    <mergeCell ref="E144:F144"/>
    <mergeCell ref="A145:C145"/>
    <mergeCell ref="E151:F151"/>
  </mergeCells>
  <printOptions headings="false" gridLines="false" gridLinesSet="true" horizontalCentered="false" verticalCentered="false"/>
  <pageMargins left="0.236111111111111" right="0.236111111111111" top="0" bottom="0.747916666666667" header="0.511811023622047" footer="0.511811023622047"/>
  <pageSetup paperSize="1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2026-01-02T16:07:13Z</dcterms:created>
  <dc:creator>Nicole Choque</dc:creator>
  <dc:description/>
  <dc:language>es-ES</dc:language>
  <cp:lastModifiedBy/>
  <cp:lastPrinted>2026-04-16T15:43:40Z</cp:lastPrinted>
  <dcterms:modified xsi:type="dcterms:W3CDTF">2026-05-25T02:35:19Z</dcterms:modified>
  <cp:revision>2</cp:revision>
  <dc:subject/>
  <dc:title/>
</cp:coreProperties>
</file>