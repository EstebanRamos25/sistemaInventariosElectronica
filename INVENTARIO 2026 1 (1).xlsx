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lan\Desktop\PC GALERIA\Desktop\2026\"/>
    </mc:Choice>
  </mc:AlternateContent>
  <bookViews>
    <workbookView xWindow="0" yWindow="0" windowWidth="20460" windowHeight="6990" tabRatio="845" firstSheet="5" activeTab="16"/>
  </bookViews>
  <sheets>
    <sheet name="LG" sheetId="1" r:id="rId1"/>
    <sheet name="SAMSUNG" sheetId="2" r:id="rId2"/>
    <sheet name="HAIER" sheetId="3" r:id="rId3"/>
    <sheet name="DAEWOO" sheetId="4" r:id="rId4"/>
    <sheet name="SONY-PANASONIC" sheetId="5" r:id="rId5"/>
    <sheet name="IRT-PHILIPS" sheetId="6" r:id="rId6"/>
    <sheet name="TOSHIBA " sheetId="7" r:id="rId7"/>
    <sheet name="HISENSE " sheetId="15" r:id="rId8"/>
    <sheet name="SKYWORTH" sheetId="14" r:id="rId9"/>
    <sheet name="PREMIER" sheetId="10" r:id="rId10"/>
    <sheet name="MASTER G" sheetId="13" r:id="rId11"/>
    <sheet name="CHINO" sheetId="8" r:id="rId12"/>
    <sheet name="AOC-JVC" sheetId="9" r:id="rId13"/>
    <sheet name="SALIDAS" sheetId="11" r:id="rId14"/>
    <sheet name="ENTRADAS" sheetId="12" r:id="rId15"/>
    <sheet name="PRECIOS" sheetId="16" r:id="rId16"/>
    <sheet name="STOCK" sheetId="17" r:id="rId1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47" i="11" l="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C2039" i="11"/>
  <c r="C2040" i="11"/>
  <c r="C2041" i="11"/>
  <c r="C2042" i="11"/>
  <c r="C2043" i="11"/>
  <c r="C2044" i="11"/>
  <c r="E2039" i="11"/>
  <c r="E2040" i="11"/>
  <c r="E2041" i="11"/>
  <c r="E2042" i="11"/>
  <c r="E2043" i="11"/>
  <c r="E2044" i="11"/>
  <c r="F2039" i="11"/>
  <c r="F2040" i="11"/>
  <c r="F2041" i="11"/>
  <c r="F2042" i="11"/>
  <c r="F2043" i="11"/>
  <c r="F2044" i="11"/>
  <c r="I2039" i="11"/>
  <c r="I2040" i="11"/>
  <c r="I2041" i="11"/>
  <c r="I2042" i="11"/>
  <c r="I2043" i="11"/>
  <c r="I2044" i="11"/>
  <c r="J2039" i="11"/>
  <c r="J2040" i="11"/>
  <c r="J2041" i="11"/>
  <c r="J2042" i="11"/>
  <c r="J2043" i="11"/>
  <c r="J2044" i="11"/>
  <c r="F1709" i="11"/>
  <c r="F1710" i="11"/>
  <c r="F1711" i="11"/>
  <c r="M18" i="1"/>
  <c r="K18" i="1"/>
  <c r="D18" i="1"/>
  <c r="C18" i="17"/>
  <c r="C18" i="16"/>
  <c r="C19" i="16"/>
  <c r="L18" i="1"/>
  <c r="N18" i="1"/>
  <c r="E18" i="1"/>
  <c r="I18" i="1"/>
  <c r="J18" i="1"/>
  <c r="O18" i="1"/>
  <c r="P18" i="1"/>
  <c r="Q18" i="1"/>
  <c r="R18" i="1"/>
  <c r="K25" i="5"/>
  <c r="M25" i="5"/>
  <c r="D25" i="5"/>
  <c r="G109" i="17"/>
  <c r="I106" i="16"/>
  <c r="I107" i="16"/>
  <c r="L25" i="5"/>
  <c r="N25" i="5"/>
  <c r="E25" i="5"/>
  <c r="I25" i="5"/>
  <c r="J25" i="5"/>
  <c r="O25" i="5"/>
  <c r="P25" i="5"/>
  <c r="Q25" i="5"/>
  <c r="R25" i="5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F1637" i="11"/>
  <c r="F1638" i="11"/>
  <c r="F1639" i="11"/>
  <c r="F1640" i="11"/>
  <c r="F1641" i="11"/>
  <c r="F1642" i="11"/>
  <c r="F1643" i="11"/>
  <c r="F1644" i="11"/>
  <c r="F1645" i="11"/>
  <c r="F1646" i="11"/>
  <c r="I60" i="1"/>
  <c r="F1647" i="11"/>
  <c r="F1648" i="11"/>
  <c r="I9" i="1"/>
  <c r="F1649" i="11"/>
  <c r="F1650" i="11"/>
  <c r="I33" i="1"/>
  <c r="F1651" i="11"/>
  <c r="I44" i="1"/>
  <c r="F1652" i="11"/>
  <c r="F1653" i="11"/>
  <c r="F1654" i="11"/>
  <c r="F1655" i="11"/>
  <c r="I14" i="5"/>
  <c r="F1656" i="11"/>
  <c r="F1657" i="11"/>
  <c r="I13" i="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I10" i="1"/>
  <c r="F1670" i="11"/>
  <c r="F1671" i="11"/>
  <c r="F1672" i="11"/>
  <c r="F1673" i="11"/>
  <c r="F1674" i="11"/>
  <c r="F1675" i="11"/>
  <c r="F1676" i="11"/>
  <c r="F1677" i="11"/>
  <c r="F1678" i="11"/>
  <c r="F1679" i="11"/>
  <c r="I26" i="1"/>
  <c r="F1680" i="11"/>
  <c r="F1681" i="11"/>
  <c r="F1682" i="11"/>
  <c r="F1683" i="11"/>
  <c r="F1684" i="11"/>
  <c r="F1685" i="11"/>
  <c r="F1686" i="11"/>
  <c r="I17" i="1"/>
  <c r="F1687" i="11"/>
  <c r="F1688" i="11"/>
  <c r="I52" i="1"/>
  <c r="F1689" i="11"/>
  <c r="F1690" i="11"/>
  <c r="F1691" i="11"/>
  <c r="F1692" i="11"/>
  <c r="F1693" i="11"/>
  <c r="F1694" i="11"/>
  <c r="F1695" i="11"/>
  <c r="F1696" i="11"/>
  <c r="I9" i="5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B260" i="12"/>
  <c r="G260" i="12"/>
  <c r="C1551" i="11"/>
  <c r="E1551" i="11"/>
  <c r="F1551" i="11"/>
  <c r="I1551" i="11"/>
  <c r="J1551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F1521" i="11"/>
  <c r="F1522" i="11"/>
  <c r="I19" i="1"/>
  <c r="F1523" i="11"/>
  <c r="F1524" i="11"/>
  <c r="F1525" i="11"/>
  <c r="F1526" i="11"/>
  <c r="F1527" i="11"/>
  <c r="F1528" i="11"/>
  <c r="F1529" i="11"/>
  <c r="I13" i="5"/>
  <c r="F1530" i="11"/>
  <c r="F1531" i="11"/>
  <c r="F1532" i="11"/>
  <c r="I38" i="1"/>
  <c r="F1533" i="11"/>
  <c r="F1534" i="11"/>
  <c r="F1535" i="11"/>
  <c r="F1536" i="11"/>
  <c r="F1537" i="11"/>
  <c r="F1538" i="11"/>
  <c r="I7" i="5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I36" i="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I6" i="5"/>
  <c r="F1601" i="11"/>
  <c r="I30" i="1"/>
  <c r="F1602" i="11"/>
  <c r="F1603" i="11"/>
  <c r="F1604" i="11"/>
  <c r="F1605" i="11"/>
  <c r="F1606" i="11"/>
  <c r="F1607" i="11"/>
  <c r="F1608" i="11"/>
  <c r="F1609" i="11"/>
  <c r="F1610" i="11"/>
  <c r="F1611" i="11"/>
  <c r="I32" i="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C1633" i="11"/>
  <c r="C1634" i="11"/>
  <c r="C1635" i="11"/>
  <c r="C1636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E1633" i="11"/>
  <c r="E1634" i="11"/>
  <c r="E1635" i="11"/>
  <c r="E1636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F1633" i="11"/>
  <c r="I7" i="1"/>
  <c r="F1634" i="11"/>
  <c r="F1635" i="11"/>
  <c r="F1636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I1633" i="11"/>
  <c r="I1634" i="11"/>
  <c r="I1635" i="11"/>
  <c r="I1636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J1633" i="11"/>
  <c r="J1634" i="11"/>
  <c r="J1635" i="11"/>
  <c r="J1636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I22" i="5"/>
  <c r="F1423" i="11"/>
  <c r="F1424" i="11"/>
  <c r="F1425" i="11"/>
  <c r="F1426" i="11"/>
  <c r="F1427" i="11"/>
  <c r="F1428" i="11"/>
  <c r="F1429" i="11"/>
  <c r="I57" i="1"/>
  <c r="F1430" i="11"/>
  <c r="F1431" i="11"/>
  <c r="F1432" i="11"/>
  <c r="F1433" i="11"/>
  <c r="F1434" i="11"/>
  <c r="F1435" i="11"/>
  <c r="F1436" i="11"/>
  <c r="I24" i="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I46" i="1"/>
  <c r="F1465" i="11"/>
  <c r="F1466" i="11"/>
  <c r="F1467" i="11"/>
  <c r="F1468" i="11"/>
  <c r="F1469" i="11"/>
  <c r="I18" i="5"/>
  <c r="F1470" i="11"/>
  <c r="I32" i="5"/>
  <c r="F1471" i="11"/>
  <c r="F1472" i="11"/>
  <c r="F1473" i="11"/>
  <c r="F1474" i="11"/>
  <c r="F1475" i="11"/>
  <c r="F1476" i="11"/>
  <c r="I47" i="1"/>
  <c r="F1477" i="11"/>
  <c r="F1478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F1479" i="11"/>
  <c r="F1480" i="11"/>
  <c r="F1481" i="11"/>
  <c r="F1482" i="11"/>
  <c r="F1483" i="11"/>
  <c r="F1484" i="11"/>
  <c r="F1485" i="11"/>
  <c r="F1486" i="11"/>
  <c r="I5" i="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I45" i="1"/>
  <c r="F1499" i="11"/>
  <c r="F1500" i="11"/>
  <c r="F1501" i="11"/>
  <c r="F1502" i="11"/>
  <c r="F1503" i="11"/>
  <c r="F1504" i="11"/>
  <c r="F1505" i="11"/>
  <c r="F1506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M35" i="1"/>
  <c r="K35" i="1"/>
  <c r="D35" i="1"/>
  <c r="K34" i="1"/>
  <c r="M34" i="1"/>
  <c r="D34" i="1"/>
  <c r="C35" i="17"/>
  <c r="C35" i="16"/>
  <c r="L35" i="1"/>
  <c r="N35" i="1"/>
  <c r="E35" i="1"/>
  <c r="I35" i="1"/>
  <c r="J35" i="1"/>
  <c r="O35" i="1"/>
  <c r="P35" i="1"/>
  <c r="Q35" i="1"/>
  <c r="R35" i="1"/>
  <c r="K47" i="2"/>
  <c r="M47" i="2"/>
  <c r="D47" i="2"/>
  <c r="G47" i="17"/>
  <c r="I46" i="16"/>
  <c r="L47" i="2"/>
  <c r="N47" i="2"/>
  <c r="E47" i="2"/>
  <c r="I47" i="2"/>
  <c r="J47" i="2"/>
  <c r="O47" i="2"/>
  <c r="P47" i="2"/>
  <c r="Q47" i="2"/>
  <c r="R47" i="2"/>
  <c r="C99" i="16"/>
  <c r="K18" i="8"/>
  <c r="M18" i="8"/>
  <c r="D18" i="8"/>
  <c r="C102" i="17"/>
  <c r="L18" i="8"/>
  <c r="N18" i="8"/>
  <c r="E18" i="8"/>
  <c r="I18" i="8"/>
  <c r="J18" i="8"/>
  <c r="O18" i="8"/>
  <c r="P18" i="8"/>
  <c r="Q18" i="8"/>
  <c r="R18" i="8"/>
  <c r="G156" i="12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F1312" i="11"/>
  <c r="F1313" i="11"/>
  <c r="F1314" i="11"/>
  <c r="F1315" i="11"/>
  <c r="I11" i="2"/>
  <c r="F1316" i="11"/>
  <c r="I17" i="2"/>
  <c r="F1317" i="11"/>
  <c r="F1318" i="11"/>
  <c r="I7" i="2"/>
  <c r="F1319" i="11"/>
  <c r="I13" i="8"/>
  <c r="F1320" i="11"/>
  <c r="F1321" i="11"/>
  <c r="F1322" i="11"/>
  <c r="F1323" i="11"/>
  <c r="F1324" i="11"/>
  <c r="I42" i="2"/>
  <c r="F1325" i="11"/>
  <c r="I64" i="2"/>
  <c r="F1326" i="11"/>
  <c r="F1327" i="11"/>
  <c r="I24" i="8"/>
  <c r="F1328" i="11"/>
  <c r="F1329" i="11"/>
  <c r="F1330" i="11"/>
  <c r="F1331" i="11"/>
  <c r="I29" i="8"/>
  <c r="F1332" i="11"/>
  <c r="F1333" i="11"/>
  <c r="F1334" i="11"/>
  <c r="F1335" i="11"/>
  <c r="F1336" i="11"/>
  <c r="F1337" i="11"/>
  <c r="F1338" i="11"/>
  <c r="I67" i="1"/>
  <c r="F1339" i="11"/>
  <c r="I20" i="5"/>
  <c r="F1340" i="11"/>
  <c r="F1341" i="11"/>
  <c r="F1342" i="11"/>
  <c r="F1343" i="11"/>
  <c r="F1344" i="11"/>
  <c r="F1345" i="11"/>
  <c r="F1346" i="11"/>
  <c r="F1347" i="11"/>
  <c r="F1348" i="11"/>
  <c r="I5" i="5"/>
  <c r="F1349" i="11"/>
  <c r="I5" i="2"/>
  <c r="F1350" i="11"/>
  <c r="F1351" i="11"/>
  <c r="F1352" i="11"/>
  <c r="F1353" i="11"/>
  <c r="I37" i="8"/>
  <c r="F1354" i="11"/>
  <c r="F1355" i="11"/>
  <c r="F1356" i="11"/>
  <c r="F1357" i="11"/>
  <c r="F1358" i="11"/>
  <c r="F1359" i="11"/>
  <c r="F1360" i="11"/>
  <c r="F1361" i="11"/>
  <c r="F1362" i="11"/>
  <c r="F1363" i="11"/>
  <c r="F1364" i="11"/>
  <c r="I27" i="1"/>
  <c r="F1365" i="11"/>
  <c r="F1366" i="11"/>
  <c r="F1367" i="11"/>
  <c r="F1368" i="11"/>
  <c r="I5" i="8"/>
  <c r="F1369" i="11"/>
  <c r="F1370" i="11"/>
  <c r="F1371" i="11"/>
  <c r="F1372" i="11"/>
  <c r="I43" i="2"/>
  <c r="F1373" i="11"/>
  <c r="F1374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I72" i="2"/>
  <c r="F1214" i="11"/>
  <c r="F1215" i="11"/>
  <c r="F1216" i="11"/>
  <c r="I21" i="8"/>
  <c r="F1217" i="11"/>
  <c r="I57" i="2"/>
  <c r="F1218" i="11"/>
  <c r="F1219" i="11"/>
  <c r="F1220" i="11"/>
  <c r="F1221" i="11"/>
  <c r="F1222" i="11"/>
  <c r="F1223" i="11"/>
  <c r="I48" i="1"/>
  <c r="F1224" i="11"/>
  <c r="F1225" i="11"/>
  <c r="F1226" i="11"/>
  <c r="F1227" i="11"/>
  <c r="F1228" i="11"/>
  <c r="F1229" i="11"/>
  <c r="F1230" i="11"/>
  <c r="I13" i="2"/>
  <c r="F1231" i="11"/>
  <c r="I9" i="2"/>
  <c r="F1232" i="11"/>
  <c r="F1233" i="11"/>
  <c r="F1234" i="11"/>
  <c r="F1235" i="11"/>
  <c r="F1236" i="11"/>
  <c r="F1237" i="11"/>
  <c r="F1238" i="11"/>
  <c r="F1239" i="11"/>
  <c r="I34" i="8"/>
  <c r="F1240" i="11"/>
  <c r="F1241" i="11"/>
  <c r="F1242" i="11"/>
  <c r="F1243" i="11"/>
  <c r="F1244" i="11"/>
  <c r="I38" i="2"/>
  <c r="F1245" i="11"/>
  <c r="F1246" i="11"/>
  <c r="F1247" i="11"/>
  <c r="F1248" i="11"/>
  <c r="F1249" i="11"/>
  <c r="I44" i="8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I45" i="8"/>
  <c r="F1262" i="11"/>
  <c r="I28" i="8"/>
  <c r="F1263" i="11"/>
  <c r="F1264" i="11"/>
  <c r="F1265" i="11"/>
  <c r="F1266" i="11"/>
  <c r="F1267" i="11"/>
  <c r="F1268" i="11"/>
  <c r="I8" i="8"/>
  <c r="F1269" i="11"/>
  <c r="F1270" i="11"/>
  <c r="F1271" i="11"/>
  <c r="I12" i="5"/>
  <c r="F1272" i="11"/>
  <c r="F1273" i="11"/>
  <c r="F1274" i="11"/>
  <c r="F1275" i="11"/>
  <c r="F1276" i="11"/>
  <c r="I58" i="1"/>
  <c r="F1277" i="11"/>
  <c r="F1278" i="11"/>
  <c r="F1279" i="11"/>
  <c r="F1280" i="11"/>
  <c r="F1281" i="11"/>
  <c r="I55" i="2"/>
  <c r="F1282" i="11"/>
  <c r="I11" i="5"/>
  <c r="F1283" i="11"/>
  <c r="F1284" i="11"/>
  <c r="F1285" i="11"/>
  <c r="F1286" i="11"/>
  <c r="I7" i="8"/>
  <c r="F1287" i="11"/>
  <c r="F1288" i="11"/>
  <c r="F1289" i="11"/>
  <c r="F1290" i="11"/>
  <c r="I49" i="1"/>
  <c r="F1291" i="11"/>
  <c r="I41" i="8"/>
  <c r="F1292" i="11"/>
  <c r="F129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I14" i="8"/>
  <c r="F1306" i="11"/>
  <c r="F1307" i="11"/>
  <c r="F1308" i="11"/>
  <c r="F1309" i="11"/>
  <c r="F1310" i="11"/>
  <c r="F1311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I19" i="2"/>
  <c r="F1388" i="11"/>
  <c r="F1389" i="11"/>
  <c r="I52" i="2"/>
  <c r="F1390" i="11"/>
  <c r="F1391" i="11"/>
  <c r="F1392" i="11"/>
  <c r="F1393" i="11"/>
  <c r="F1394" i="11"/>
  <c r="F1395" i="11"/>
  <c r="F1396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I31" i="5"/>
  <c r="F1409" i="11"/>
  <c r="F1410" i="11"/>
  <c r="F1411" i="11"/>
  <c r="F1412" i="11"/>
  <c r="F1413" i="11"/>
  <c r="F1414" i="11"/>
  <c r="I15" i="2"/>
  <c r="F1415" i="11"/>
  <c r="F141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C1417" i="11"/>
  <c r="C1418" i="11"/>
  <c r="C1419" i="11"/>
  <c r="C1420" i="11"/>
  <c r="C1421" i="11"/>
  <c r="C1422" i="11"/>
  <c r="C1839" i="11"/>
  <c r="C1840" i="11"/>
  <c r="C1841" i="11"/>
  <c r="C1842" i="11"/>
  <c r="E1417" i="11"/>
  <c r="E1418" i="11"/>
  <c r="E1419" i="11"/>
  <c r="E1420" i="11"/>
  <c r="E1421" i="11"/>
  <c r="E1422" i="11"/>
  <c r="E1839" i="11"/>
  <c r="E1840" i="11"/>
  <c r="E1841" i="11"/>
  <c r="E1842" i="11"/>
  <c r="I30" i="5"/>
  <c r="F1417" i="11"/>
  <c r="F1418" i="11"/>
  <c r="F1419" i="11"/>
  <c r="F1420" i="11"/>
  <c r="F1421" i="11"/>
  <c r="F1422" i="11"/>
  <c r="F1839" i="11"/>
  <c r="F1840" i="11"/>
  <c r="F1841" i="11"/>
  <c r="F1842" i="11"/>
  <c r="I1417" i="11"/>
  <c r="I1418" i="11"/>
  <c r="I1419" i="11"/>
  <c r="I1420" i="11"/>
  <c r="I1421" i="11"/>
  <c r="I1422" i="11"/>
  <c r="I1839" i="11"/>
  <c r="I1840" i="11"/>
  <c r="I1841" i="11"/>
  <c r="I1842" i="11"/>
  <c r="J1417" i="11"/>
  <c r="J1418" i="11"/>
  <c r="J1419" i="11"/>
  <c r="J1420" i="11"/>
  <c r="J1421" i="11"/>
  <c r="J1422" i="11"/>
  <c r="J1839" i="11"/>
  <c r="J1840" i="11"/>
  <c r="J1841" i="11"/>
  <c r="J1842" i="11"/>
  <c r="C1843" i="11"/>
  <c r="C1844" i="11"/>
  <c r="C1845" i="11"/>
  <c r="C1846" i="11"/>
  <c r="C2045" i="11"/>
  <c r="E1843" i="11"/>
  <c r="E1844" i="11"/>
  <c r="E1845" i="11"/>
  <c r="E1846" i="11"/>
  <c r="E2045" i="11"/>
  <c r="F1843" i="11"/>
  <c r="F1844" i="11"/>
  <c r="F1845" i="11"/>
  <c r="F1846" i="11"/>
  <c r="F2045" i="11"/>
  <c r="I1843" i="11"/>
  <c r="I1844" i="11"/>
  <c r="I1845" i="11"/>
  <c r="I1846" i="11"/>
  <c r="I2045" i="11"/>
  <c r="J1843" i="11"/>
  <c r="J1844" i="11"/>
  <c r="J1845" i="11"/>
  <c r="J1846" i="11"/>
  <c r="J2045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I59" i="2"/>
  <c r="F1171" i="11"/>
  <c r="I29" i="2"/>
  <c r="F1172" i="11"/>
  <c r="F1173" i="11"/>
  <c r="F1174" i="11"/>
  <c r="I6" i="1"/>
  <c r="F1175" i="11"/>
  <c r="F1176" i="11"/>
  <c r="F1177" i="11"/>
  <c r="I50" i="2"/>
  <c r="F1178" i="11"/>
  <c r="F1179" i="11"/>
  <c r="F1180" i="11"/>
  <c r="F1181" i="11"/>
  <c r="F1182" i="11"/>
  <c r="F1183" i="11"/>
  <c r="F1184" i="11"/>
  <c r="F1185" i="11"/>
  <c r="F1186" i="11"/>
  <c r="F1187" i="11"/>
  <c r="I23" i="2"/>
  <c r="F1188" i="11"/>
  <c r="F1189" i="11"/>
  <c r="F1190" i="11"/>
  <c r="F1191" i="11"/>
  <c r="F1192" i="11"/>
  <c r="F1193" i="11"/>
  <c r="F1194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I70" i="16"/>
  <c r="J12" i="14"/>
  <c r="L12" i="14"/>
  <c r="C12" i="14"/>
  <c r="C149" i="17"/>
  <c r="C146" i="16"/>
  <c r="K12" i="14"/>
  <c r="M12" i="14"/>
  <c r="D12" i="14"/>
  <c r="H12" i="14"/>
  <c r="I12" i="14"/>
  <c r="N12" i="14"/>
  <c r="O12" i="14"/>
  <c r="P12" i="14"/>
  <c r="Q12" i="14"/>
  <c r="J6" i="14"/>
  <c r="L6" i="14"/>
  <c r="C6" i="14"/>
  <c r="C143" i="17"/>
  <c r="C140" i="16"/>
  <c r="K6" i="14"/>
  <c r="M6" i="14"/>
  <c r="D6" i="14"/>
  <c r="H6" i="14"/>
  <c r="I6" i="14"/>
  <c r="N6" i="14"/>
  <c r="O6" i="14"/>
  <c r="P6" i="14"/>
  <c r="Q6" i="14"/>
  <c r="K15" i="2"/>
  <c r="M15" i="2"/>
  <c r="D15" i="2"/>
  <c r="G15" i="17"/>
  <c r="I14" i="16"/>
  <c r="L15" i="2"/>
  <c r="N15" i="2"/>
  <c r="E15" i="2"/>
  <c r="J15" i="2"/>
  <c r="O15" i="2"/>
  <c r="P15" i="2"/>
  <c r="Q15" i="2"/>
  <c r="R15" i="2"/>
  <c r="K37" i="2"/>
  <c r="M37" i="2"/>
  <c r="D37" i="2"/>
  <c r="K38" i="2"/>
  <c r="M38" i="2"/>
  <c r="D38" i="2"/>
  <c r="G38" i="17"/>
  <c r="I37" i="16"/>
  <c r="L38" i="2"/>
  <c r="N38" i="2"/>
  <c r="E38" i="2"/>
  <c r="J38" i="2"/>
  <c r="O38" i="2"/>
  <c r="P38" i="2"/>
  <c r="Q38" i="2"/>
  <c r="R38" i="2"/>
  <c r="K69" i="1"/>
  <c r="M69" i="1"/>
  <c r="D69" i="1"/>
  <c r="K68" i="1"/>
  <c r="M68" i="1"/>
  <c r="D68" i="1"/>
  <c r="C69" i="17"/>
  <c r="C69" i="16"/>
  <c r="L69" i="1"/>
  <c r="N69" i="1"/>
  <c r="E69" i="1"/>
  <c r="I69" i="1"/>
  <c r="J69" i="1"/>
  <c r="O69" i="1"/>
  <c r="P69" i="1"/>
  <c r="Q69" i="1"/>
  <c r="R69" i="1"/>
  <c r="K6" i="10"/>
  <c r="M6" i="10"/>
  <c r="D6" i="10"/>
  <c r="C155" i="17"/>
  <c r="C151" i="16"/>
  <c r="L6" i="10"/>
  <c r="N6" i="10"/>
  <c r="E6" i="10"/>
  <c r="I6" i="10"/>
  <c r="J6" i="10"/>
  <c r="O6" i="10"/>
  <c r="P6" i="10"/>
  <c r="Q6" i="10"/>
  <c r="R6" i="10"/>
  <c r="J7" i="13"/>
  <c r="L7" i="13"/>
  <c r="C7" i="13"/>
  <c r="G153" i="17"/>
  <c r="I151" i="16"/>
  <c r="K5" i="13"/>
  <c r="M5" i="13"/>
  <c r="D5" i="13"/>
  <c r="I5" i="13"/>
  <c r="P5" i="13"/>
  <c r="K6" i="13"/>
  <c r="M6" i="13"/>
  <c r="D6" i="13"/>
  <c r="P6" i="13"/>
  <c r="I7" i="13"/>
  <c r="K7" i="13"/>
  <c r="M7" i="13"/>
  <c r="D7" i="13"/>
  <c r="P7" i="13"/>
  <c r="H7" i="13"/>
  <c r="N7" i="13"/>
  <c r="O7" i="13"/>
  <c r="Q7" i="13"/>
  <c r="B119" i="12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F1100" i="11"/>
  <c r="F1101" i="11"/>
  <c r="F1102" i="11"/>
  <c r="F1103" i="11"/>
  <c r="F1104" i="11"/>
  <c r="F1105" i="11"/>
  <c r="F1106" i="11"/>
  <c r="F1107" i="11"/>
  <c r="F1108" i="11"/>
  <c r="I10" i="5"/>
  <c r="F1109" i="11"/>
  <c r="F1110" i="11"/>
  <c r="F1111" i="11"/>
  <c r="F1112" i="11"/>
  <c r="I16" i="10"/>
  <c r="F1113" i="11"/>
  <c r="F1114" i="11"/>
  <c r="F1115" i="11"/>
  <c r="H9" i="14"/>
  <c r="F1116" i="11"/>
  <c r="F1117" i="11"/>
  <c r="I26" i="2"/>
  <c r="F1118" i="11"/>
  <c r="I5" i="10"/>
  <c r="F1119" i="11"/>
  <c r="F1120" i="11"/>
  <c r="F1121" i="11"/>
  <c r="F1122" i="11"/>
  <c r="F1123" i="11"/>
  <c r="F1124" i="11"/>
  <c r="I17" i="10"/>
  <c r="F1125" i="11"/>
  <c r="F1126" i="11"/>
  <c r="F1127" i="11"/>
  <c r="F1128" i="11"/>
  <c r="I13" i="10"/>
  <c r="F1129" i="11"/>
  <c r="F1130" i="11"/>
  <c r="H11" i="14"/>
  <c r="F1131" i="11"/>
  <c r="F1132" i="11"/>
  <c r="F1133" i="11"/>
  <c r="F1134" i="11"/>
  <c r="F1135" i="11"/>
  <c r="F1136" i="11"/>
  <c r="H9" i="13"/>
  <c r="F1137" i="11"/>
  <c r="F1138" i="11"/>
  <c r="F1139" i="11"/>
  <c r="F1140" i="11"/>
  <c r="F1141" i="11"/>
  <c r="F1142" i="11"/>
  <c r="F1143" i="11"/>
  <c r="F1144" i="11"/>
  <c r="F1145" i="11"/>
  <c r="F1146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F1147" i="11"/>
  <c r="F1148" i="11"/>
  <c r="F1149" i="11"/>
  <c r="I29" i="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I7" i="10"/>
  <c r="I25" i="1"/>
  <c r="F1167" i="11"/>
  <c r="I11" i="8"/>
  <c r="F1168" i="11"/>
  <c r="F1169" i="11"/>
  <c r="F1170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F1195" i="11"/>
  <c r="I23" i="5"/>
  <c r="F1196" i="11"/>
  <c r="F1197" i="11"/>
  <c r="F1198" i="11"/>
  <c r="F1199" i="11"/>
  <c r="F1200" i="11"/>
  <c r="F1201" i="11"/>
  <c r="F1202" i="11"/>
  <c r="F1203" i="11"/>
  <c r="F1204" i="11"/>
  <c r="F1205" i="11"/>
  <c r="F1206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C1207" i="11"/>
  <c r="C1208" i="11"/>
  <c r="C1209" i="11"/>
  <c r="C1210" i="11"/>
  <c r="C1211" i="11"/>
  <c r="C1212" i="11"/>
  <c r="E1207" i="11"/>
  <c r="E1208" i="11"/>
  <c r="E1209" i="11"/>
  <c r="E1210" i="11"/>
  <c r="E1211" i="11"/>
  <c r="E1212" i="11"/>
  <c r="F1207" i="11"/>
  <c r="F1208" i="11"/>
  <c r="F1209" i="11"/>
  <c r="F1210" i="11"/>
  <c r="F1211" i="11"/>
  <c r="F1212" i="11"/>
  <c r="I1207" i="11"/>
  <c r="I1208" i="11"/>
  <c r="I1209" i="11"/>
  <c r="I1210" i="11"/>
  <c r="I1211" i="11"/>
  <c r="I1212" i="11"/>
  <c r="J1207" i="11"/>
  <c r="J1208" i="11"/>
  <c r="J1209" i="11"/>
  <c r="J1210" i="11"/>
  <c r="J1211" i="11"/>
  <c r="J1212" i="11"/>
  <c r="C1213" i="11"/>
  <c r="C2046" i="11"/>
  <c r="C2047" i="11"/>
  <c r="E1213" i="11"/>
  <c r="E2046" i="11"/>
  <c r="E2047" i="11"/>
  <c r="F1213" i="11"/>
  <c r="F2046" i="11"/>
  <c r="F2047" i="11"/>
  <c r="I1213" i="11"/>
  <c r="I2046" i="11"/>
  <c r="I2047" i="11"/>
  <c r="J1213" i="11"/>
  <c r="J2046" i="11"/>
  <c r="J2047" i="11"/>
  <c r="C1023" i="11"/>
  <c r="E1023" i="11"/>
  <c r="I1023" i="11"/>
  <c r="F1023" i="11"/>
  <c r="J1023" i="11"/>
  <c r="C1018" i="11"/>
  <c r="E1018" i="11"/>
  <c r="I1018" i="11"/>
  <c r="F1018" i="11"/>
  <c r="J1018" i="11"/>
  <c r="C1016" i="11"/>
  <c r="C1017" i="11"/>
  <c r="C1019" i="11"/>
  <c r="C1020" i="11"/>
  <c r="C1021" i="11"/>
  <c r="C1022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2048" i="11"/>
  <c r="C2049" i="11"/>
  <c r="C2050" i="11"/>
  <c r="F1016" i="11"/>
  <c r="J1016" i="11"/>
  <c r="F1017" i="11"/>
  <c r="J1017" i="11"/>
  <c r="F1019" i="11"/>
  <c r="J1019" i="11"/>
  <c r="I51" i="1"/>
  <c r="F1020" i="11"/>
  <c r="J1020" i="11"/>
  <c r="F1021" i="11"/>
  <c r="J1021" i="11"/>
  <c r="F1022" i="11"/>
  <c r="J1022" i="11"/>
  <c r="I22" i="1"/>
  <c r="F1024" i="11"/>
  <c r="I16" i="2"/>
  <c r="F1025" i="11"/>
  <c r="J1025" i="11"/>
  <c r="F1026" i="11"/>
  <c r="J1026" i="11"/>
  <c r="F1027" i="11"/>
  <c r="J1027" i="11"/>
  <c r="F1028" i="11"/>
  <c r="J1028" i="11"/>
  <c r="F1029" i="11"/>
  <c r="J1029" i="11"/>
  <c r="F1030" i="11"/>
  <c r="J1030" i="11"/>
  <c r="I41" i="1"/>
  <c r="F1031" i="11"/>
  <c r="J1031" i="11"/>
  <c r="F1032" i="11"/>
  <c r="J1032" i="11"/>
  <c r="F1033" i="11"/>
  <c r="J1033" i="11"/>
  <c r="F1034" i="11"/>
  <c r="J1034" i="11"/>
  <c r="F1035" i="11"/>
  <c r="J1035" i="11"/>
  <c r="F1036" i="11"/>
  <c r="J1036" i="11"/>
  <c r="F1037" i="11"/>
  <c r="J1037" i="11"/>
  <c r="F1038" i="11"/>
  <c r="J1038" i="11"/>
  <c r="H5" i="14"/>
  <c r="F1039" i="11"/>
  <c r="J1039" i="11"/>
  <c r="F1040" i="11"/>
  <c r="J1040" i="11"/>
  <c r="I14" i="1"/>
  <c r="F1041" i="11"/>
  <c r="J1041" i="11"/>
  <c r="I30" i="8"/>
  <c r="F1042" i="11"/>
  <c r="J1042" i="11"/>
  <c r="I21" i="1"/>
  <c r="F1043" i="11"/>
  <c r="J1043" i="11"/>
  <c r="H7" i="14"/>
  <c r="F1044" i="11"/>
  <c r="J1044" i="11"/>
  <c r="F1045" i="11"/>
  <c r="J1045" i="11"/>
  <c r="F1046" i="11"/>
  <c r="J1046" i="11"/>
  <c r="F1047" i="11"/>
  <c r="I70" i="2"/>
  <c r="F1048" i="11"/>
  <c r="J1048" i="11"/>
  <c r="F1049" i="11"/>
  <c r="J1049" i="11"/>
  <c r="I61" i="2"/>
  <c r="F1050" i="11"/>
  <c r="J1050" i="11"/>
  <c r="F1051" i="11"/>
  <c r="J1051" i="11"/>
  <c r="H10" i="14"/>
  <c r="F1052" i="11"/>
  <c r="J1052" i="11"/>
  <c r="F1053" i="11"/>
  <c r="J1053" i="11"/>
  <c r="F1054" i="11"/>
  <c r="J1054" i="11"/>
  <c r="F1055" i="11"/>
  <c r="J1055" i="11"/>
  <c r="F1056" i="11"/>
  <c r="J1056" i="11"/>
  <c r="F1057" i="11"/>
  <c r="J1057" i="11"/>
  <c r="F1058" i="11"/>
  <c r="J1058" i="11"/>
  <c r="F1059" i="11"/>
  <c r="J1059" i="11"/>
  <c r="I12" i="10"/>
  <c r="F1060" i="11"/>
  <c r="J1060" i="11"/>
  <c r="F1061" i="11"/>
  <c r="J1061" i="11"/>
  <c r="F1062" i="11"/>
  <c r="J1062" i="11"/>
  <c r="F1063" i="11"/>
  <c r="J1063" i="11"/>
  <c r="I15" i="10"/>
  <c r="F1064" i="11"/>
  <c r="J1064" i="11"/>
  <c r="F1065" i="11"/>
  <c r="J1065" i="11"/>
  <c r="F1066" i="11"/>
  <c r="J1066" i="11"/>
  <c r="I8" i="2"/>
  <c r="F1067" i="11"/>
  <c r="J1067" i="11"/>
  <c r="F1068" i="11"/>
  <c r="J1068" i="11"/>
  <c r="F1069" i="11"/>
  <c r="J1069" i="11"/>
  <c r="I16" i="8"/>
  <c r="F1070" i="11"/>
  <c r="J1070" i="11"/>
  <c r="F1071" i="11"/>
  <c r="J1071" i="11"/>
  <c r="I53" i="1"/>
  <c r="F1072" i="11"/>
  <c r="J1072" i="11"/>
  <c r="F1073" i="11"/>
  <c r="J1073" i="11"/>
  <c r="F1074" i="11"/>
  <c r="J1074" i="11"/>
  <c r="F1075" i="11"/>
  <c r="J1075" i="11"/>
  <c r="I33" i="2"/>
  <c r="F1076" i="11"/>
  <c r="J1076" i="11"/>
  <c r="I24" i="5"/>
  <c r="F1077" i="11"/>
  <c r="J1077" i="11"/>
  <c r="I27" i="2"/>
  <c r="F1078" i="11"/>
  <c r="J1078" i="11"/>
  <c r="I35" i="2"/>
  <c r="F1079" i="11"/>
  <c r="J1079" i="11"/>
  <c r="F1080" i="11"/>
  <c r="J1080" i="11"/>
  <c r="I11" i="10"/>
  <c r="F1081" i="11"/>
  <c r="J1081" i="11"/>
  <c r="F1082" i="11"/>
  <c r="J1082" i="11"/>
  <c r="F1083" i="11"/>
  <c r="J1083" i="11"/>
  <c r="F1084" i="11"/>
  <c r="J1084" i="11"/>
  <c r="F1085" i="11"/>
  <c r="J1085" i="11"/>
  <c r="F1086" i="11"/>
  <c r="J1086" i="11"/>
  <c r="F1087" i="11"/>
  <c r="J1087" i="11"/>
  <c r="F1088" i="11"/>
  <c r="J1088" i="11"/>
  <c r="F1089" i="11"/>
  <c r="J1089" i="11"/>
  <c r="F1090" i="11"/>
  <c r="J1090" i="11"/>
  <c r="F1091" i="11"/>
  <c r="J1091" i="11"/>
  <c r="F1092" i="11"/>
  <c r="J1092" i="11"/>
  <c r="F1093" i="11"/>
  <c r="J1093" i="11"/>
  <c r="F1094" i="11"/>
  <c r="J1094" i="11"/>
  <c r="F1095" i="11"/>
  <c r="J1095" i="11"/>
  <c r="I20" i="10"/>
  <c r="F1096" i="11"/>
  <c r="J1096" i="11"/>
  <c r="F1097" i="11"/>
  <c r="J1097" i="11"/>
  <c r="F1098" i="11"/>
  <c r="J1098" i="11"/>
  <c r="F1099" i="11"/>
  <c r="J1099" i="11"/>
  <c r="F2048" i="11"/>
  <c r="J2048" i="11"/>
  <c r="F2049" i="11"/>
  <c r="J2049" i="11"/>
  <c r="F2050" i="11"/>
  <c r="J2050" i="11"/>
  <c r="J1024" i="11"/>
  <c r="J1047" i="11"/>
  <c r="E1014" i="11"/>
  <c r="E1015" i="11"/>
  <c r="E1016" i="11"/>
  <c r="I1016" i="11"/>
  <c r="E1017" i="11"/>
  <c r="I1017" i="11"/>
  <c r="E1019" i="11"/>
  <c r="I1019" i="11"/>
  <c r="E1020" i="11"/>
  <c r="I1020" i="11"/>
  <c r="E1021" i="11"/>
  <c r="I1021" i="11"/>
  <c r="E1022" i="11"/>
  <c r="I1022" i="11"/>
  <c r="E1024" i="11"/>
  <c r="I1024" i="11"/>
  <c r="E1025" i="11"/>
  <c r="I1025" i="11"/>
  <c r="E1026" i="11"/>
  <c r="I1026" i="11"/>
  <c r="E1027" i="11"/>
  <c r="I1027" i="11"/>
  <c r="E1028" i="11"/>
  <c r="I1028" i="11"/>
  <c r="E1029" i="11"/>
  <c r="I1029" i="11"/>
  <c r="E1030" i="11"/>
  <c r="I1030" i="11"/>
  <c r="E1031" i="11"/>
  <c r="I1031" i="11"/>
  <c r="E1032" i="11"/>
  <c r="I1032" i="11"/>
  <c r="E1033" i="11"/>
  <c r="I1033" i="11"/>
  <c r="E1034" i="11"/>
  <c r="I1034" i="11"/>
  <c r="E1035" i="11"/>
  <c r="I1035" i="11"/>
  <c r="E1036" i="11"/>
  <c r="I1036" i="11"/>
  <c r="E1037" i="11"/>
  <c r="I1037" i="11"/>
  <c r="E1038" i="11"/>
  <c r="I1038" i="11"/>
  <c r="E1039" i="11"/>
  <c r="I1039" i="11"/>
  <c r="E1040" i="11"/>
  <c r="I1040" i="11"/>
  <c r="E1041" i="11"/>
  <c r="I1041" i="11"/>
  <c r="E1042" i="11"/>
  <c r="I1042" i="11"/>
  <c r="E1043" i="11"/>
  <c r="I1043" i="11"/>
  <c r="E1044" i="11"/>
  <c r="I1044" i="11"/>
  <c r="E1045" i="11"/>
  <c r="I1045" i="11"/>
  <c r="E1046" i="11"/>
  <c r="I1046" i="11"/>
  <c r="E1047" i="11"/>
  <c r="I1047" i="11"/>
  <c r="E1048" i="11"/>
  <c r="I1048" i="11"/>
  <c r="E1049" i="11"/>
  <c r="I1049" i="11"/>
  <c r="E1050" i="11"/>
  <c r="I1050" i="11"/>
  <c r="E1051" i="11"/>
  <c r="I1051" i="11"/>
  <c r="E1052" i="11"/>
  <c r="I1052" i="11"/>
  <c r="E1053" i="11"/>
  <c r="I1053" i="11"/>
  <c r="E1054" i="11"/>
  <c r="I1054" i="11"/>
  <c r="E1055" i="11"/>
  <c r="I1055" i="11"/>
  <c r="E1056" i="11"/>
  <c r="I1056" i="11"/>
  <c r="E1057" i="11"/>
  <c r="I1057" i="11"/>
  <c r="E1058" i="11"/>
  <c r="I1058" i="11"/>
  <c r="E1059" i="11"/>
  <c r="I1059" i="11"/>
  <c r="E1060" i="11"/>
  <c r="I1060" i="11"/>
  <c r="E1061" i="11"/>
  <c r="I1061" i="11"/>
  <c r="E1062" i="11"/>
  <c r="I1062" i="11"/>
  <c r="E1063" i="11"/>
  <c r="I1063" i="11"/>
  <c r="E1064" i="11"/>
  <c r="I1064" i="11"/>
  <c r="E1065" i="11"/>
  <c r="I1065" i="11"/>
  <c r="E1066" i="11"/>
  <c r="I1066" i="11"/>
  <c r="E1067" i="11"/>
  <c r="I1067" i="11"/>
  <c r="E1068" i="11"/>
  <c r="I1068" i="11"/>
  <c r="E1069" i="11"/>
  <c r="I1069" i="11"/>
  <c r="E1070" i="11"/>
  <c r="I1070" i="11"/>
  <c r="E1071" i="11"/>
  <c r="I1071" i="11"/>
  <c r="E1072" i="11"/>
  <c r="I1072" i="11"/>
  <c r="E1073" i="11"/>
  <c r="I1073" i="11"/>
  <c r="E1074" i="11"/>
  <c r="I1074" i="11"/>
  <c r="E1075" i="11"/>
  <c r="I1075" i="11"/>
  <c r="E1076" i="11"/>
  <c r="I1076" i="11"/>
  <c r="E1077" i="11"/>
  <c r="I1077" i="11"/>
  <c r="E1078" i="11"/>
  <c r="I1078" i="11"/>
  <c r="E1079" i="11"/>
  <c r="I1079" i="11"/>
  <c r="E1080" i="11"/>
  <c r="I1080" i="11"/>
  <c r="E1081" i="11"/>
  <c r="I1081" i="11"/>
  <c r="E1082" i="11"/>
  <c r="I1082" i="11"/>
  <c r="E1083" i="11"/>
  <c r="I1083" i="11"/>
  <c r="E1084" i="11"/>
  <c r="I1084" i="11"/>
  <c r="E1085" i="11"/>
  <c r="I1085" i="11"/>
  <c r="E1086" i="11"/>
  <c r="I1086" i="11"/>
  <c r="E1087" i="11"/>
  <c r="I1087" i="11"/>
  <c r="E1088" i="11"/>
  <c r="I1088" i="11"/>
  <c r="E1089" i="11"/>
  <c r="I1089" i="11"/>
  <c r="E1090" i="11"/>
  <c r="I1090" i="11"/>
  <c r="E1091" i="11"/>
  <c r="I1091" i="11"/>
  <c r="E1092" i="11"/>
  <c r="I1092" i="11"/>
  <c r="E1093" i="11"/>
  <c r="I1093" i="11"/>
  <c r="E1094" i="11"/>
  <c r="I1094" i="11"/>
  <c r="E1095" i="11"/>
  <c r="I1095" i="11"/>
  <c r="E1096" i="11"/>
  <c r="I1096" i="11"/>
  <c r="E1097" i="11"/>
  <c r="I1097" i="11"/>
  <c r="E1098" i="11"/>
  <c r="I1098" i="11"/>
  <c r="E1099" i="11"/>
  <c r="I1099" i="11"/>
  <c r="E2048" i="11"/>
  <c r="I2048" i="11"/>
  <c r="E2049" i="11"/>
  <c r="I2049" i="11"/>
  <c r="E2050" i="11"/>
  <c r="I2050" i="11"/>
  <c r="B104" i="12"/>
  <c r="B105" i="12"/>
  <c r="B106" i="12"/>
  <c r="B107" i="12"/>
  <c r="B108" i="12"/>
  <c r="B109" i="12"/>
  <c r="B110" i="12"/>
  <c r="G103" i="12"/>
  <c r="G104" i="12"/>
  <c r="G105" i="12"/>
  <c r="C996" i="11"/>
  <c r="C997" i="11"/>
  <c r="C998" i="11"/>
  <c r="C999" i="11"/>
  <c r="C1000" i="11"/>
  <c r="C1001" i="11"/>
  <c r="C1002" i="11"/>
  <c r="C1003" i="11"/>
  <c r="C1004" i="11"/>
  <c r="C1005" i="11"/>
  <c r="E996" i="11"/>
  <c r="E997" i="11"/>
  <c r="I997" i="11"/>
  <c r="E998" i="11"/>
  <c r="I998" i="11"/>
  <c r="E999" i="11"/>
  <c r="I999" i="11"/>
  <c r="E1000" i="11"/>
  <c r="I1000" i="11"/>
  <c r="E1001" i="11"/>
  <c r="I1001" i="11"/>
  <c r="E1002" i="11"/>
  <c r="I1002" i="11"/>
  <c r="E1003" i="11"/>
  <c r="I1003" i="11"/>
  <c r="E1004" i="11"/>
  <c r="I1004" i="11"/>
  <c r="E1005" i="11"/>
  <c r="I1005" i="11"/>
  <c r="F996" i="11"/>
  <c r="J996" i="11"/>
  <c r="F997" i="11"/>
  <c r="J997" i="11"/>
  <c r="I10" i="10"/>
  <c r="F998" i="11"/>
  <c r="J998" i="11"/>
  <c r="F999" i="11"/>
  <c r="J999" i="11"/>
  <c r="F1000" i="11"/>
  <c r="J1000" i="11"/>
  <c r="F1001" i="11"/>
  <c r="J1001" i="11"/>
  <c r="F1002" i="11"/>
  <c r="J1002" i="11"/>
  <c r="F1003" i="11"/>
  <c r="J1003" i="11"/>
  <c r="I15" i="5"/>
  <c r="F1004" i="11"/>
  <c r="J1004" i="11"/>
  <c r="F1005" i="11"/>
  <c r="J1005" i="11"/>
  <c r="I996" i="11"/>
  <c r="C1006" i="11"/>
  <c r="C1007" i="11"/>
  <c r="C1008" i="11"/>
  <c r="C1009" i="11"/>
  <c r="C1010" i="11"/>
  <c r="E1006" i="11"/>
  <c r="I1006" i="11"/>
  <c r="E1007" i="11"/>
  <c r="I1007" i="11"/>
  <c r="E1008" i="11"/>
  <c r="I1008" i="11"/>
  <c r="E1009" i="11"/>
  <c r="I1009" i="11"/>
  <c r="E1010" i="11"/>
  <c r="I1010" i="11"/>
  <c r="F1006" i="11"/>
  <c r="J1006" i="11"/>
  <c r="F1007" i="11"/>
  <c r="J1007" i="11"/>
  <c r="F1008" i="11"/>
  <c r="J1008" i="11"/>
  <c r="F1009" i="11"/>
  <c r="J1009" i="11"/>
  <c r="F1010" i="11"/>
  <c r="J1010" i="11"/>
  <c r="C54" i="16"/>
  <c r="I17" i="16"/>
  <c r="C29" i="16"/>
  <c r="C70" i="16"/>
  <c r="C133" i="16"/>
  <c r="I145" i="16"/>
  <c r="I13" i="6"/>
  <c r="J13" i="6"/>
  <c r="K13" i="6"/>
  <c r="L13" i="6"/>
  <c r="M13" i="6"/>
  <c r="N13" i="6"/>
  <c r="I9" i="16"/>
  <c r="I10" i="2"/>
  <c r="J10" i="2"/>
  <c r="K10" i="2"/>
  <c r="L10" i="2"/>
  <c r="M10" i="2"/>
  <c r="N10" i="2"/>
  <c r="C131" i="16"/>
  <c r="H6" i="15"/>
  <c r="I6" i="15"/>
  <c r="J6" i="15"/>
  <c r="K6" i="15"/>
  <c r="L6" i="15"/>
  <c r="M6" i="15"/>
  <c r="D10" i="2"/>
  <c r="P10" i="2"/>
  <c r="E13" i="6"/>
  <c r="R13" i="6"/>
  <c r="D13" i="6"/>
  <c r="G147" i="17"/>
  <c r="E10" i="2"/>
  <c r="R10" i="2"/>
  <c r="D6" i="15"/>
  <c r="Q6" i="15"/>
  <c r="C6" i="15"/>
  <c r="O10" i="2"/>
  <c r="Q13" i="6"/>
  <c r="P13" i="6"/>
  <c r="O13" i="6"/>
  <c r="Q10" i="2"/>
  <c r="P6" i="15"/>
  <c r="N6" i="15"/>
  <c r="C134" i="17"/>
  <c r="O6" i="15"/>
  <c r="I18" i="2"/>
  <c r="J18" i="2"/>
  <c r="K18" i="2"/>
  <c r="L18" i="2"/>
  <c r="M18" i="2"/>
  <c r="N18" i="2"/>
  <c r="I71" i="2"/>
  <c r="J71" i="2"/>
  <c r="K71" i="2"/>
  <c r="L71" i="2"/>
  <c r="M71" i="2"/>
  <c r="N71" i="2"/>
  <c r="J29" i="1"/>
  <c r="K29" i="1"/>
  <c r="L29" i="1"/>
  <c r="M29" i="1"/>
  <c r="N29" i="1"/>
  <c r="I70" i="1"/>
  <c r="J70" i="1"/>
  <c r="K70" i="1"/>
  <c r="L70" i="1"/>
  <c r="M70" i="1"/>
  <c r="N70" i="1"/>
  <c r="H8" i="15"/>
  <c r="I8" i="15"/>
  <c r="J8" i="15"/>
  <c r="K8" i="15"/>
  <c r="L8" i="15"/>
  <c r="M8" i="15"/>
  <c r="G67" i="12"/>
  <c r="B57" i="12"/>
  <c r="B58" i="12"/>
  <c r="B55" i="12"/>
  <c r="B56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7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11" i="12"/>
  <c r="B112" i="12"/>
  <c r="B113" i="12"/>
  <c r="B114" i="12"/>
  <c r="B115" i="12"/>
  <c r="B116" i="12"/>
  <c r="B117" i="12"/>
  <c r="B118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249" i="12"/>
  <c r="B250" i="12"/>
  <c r="B251" i="12"/>
  <c r="B252" i="12"/>
  <c r="B253" i="12"/>
  <c r="B254" i="12"/>
  <c r="B255" i="12"/>
  <c r="B256" i="12"/>
  <c r="B257" i="12"/>
  <c r="B258" i="12"/>
  <c r="B259" i="12"/>
  <c r="G58" i="12"/>
  <c r="G59" i="12"/>
  <c r="G60" i="12"/>
  <c r="G61" i="12"/>
  <c r="G62" i="12"/>
  <c r="G63" i="12"/>
  <c r="G64" i="12"/>
  <c r="G65" i="12"/>
  <c r="G66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7" i="12"/>
  <c r="G249" i="12"/>
  <c r="G250" i="12"/>
  <c r="G251" i="12"/>
  <c r="G252" i="12"/>
  <c r="G253" i="12"/>
  <c r="G254" i="12"/>
  <c r="G255" i="12"/>
  <c r="G256" i="12"/>
  <c r="G257" i="12"/>
  <c r="G258" i="12"/>
  <c r="G259" i="12"/>
  <c r="G57" i="12"/>
  <c r="E883" i="11"/>
  <c r="I883" i="11"/>
  <c r="E884" i="11"/>
  <c r="I884" i="11"/>
  <c r="E885" i="11"/>
  <c r="I885" i="11"/>
  <c r="E886" i="11"/>
  <c r="I886" i="11"/>
  <c r="E887" i="11"/>
  <c r="I887" i="11"/>
  <c r="E888" i="11"/>
  <c r="I888" i="11"/>
  <c r="E889" i="11"/>
  <c r="I889" i="11"/>
  <c r="E890" i="11"/>
  <c r="I890" i="11"/>
  <c r="E891" i="11"/>
  <c r="I891" i="11"/>
  <c r="E892" i="11"/>
  <c r="I892" i="11"/>
  <c r="E893" i="11"/>
  <c r="I893" i="11"/>
  <c r="E894" i="11"/>
  <c r="I894" i="11"/>
  <c r="E895" i="11"/>
  <c r="I895" i="11"/>
  <c r="E896" i="11"/>
  <c r="I896" i="11"/>
  <c r="E897" i="11"/>
  <c r="I897" i="11"/>
  <c r="E898" i="11"/>
  <c r="I898" i="11"/>
  <c r="E899" i="11"/>
  <c r="I899" i="11"/>
  <c r="E900" i="11"/>
  <c r="I900" i="11"/>
  <c r="E901" i="11"/>
  <c r="I901" i="11"/>
  <c r="E902" i="11"/>
  <c r="I902" i="11"/>
  <c r="E903" i="11"/>
  <c r="I903" i="11"/>
  <c r="E904" i="11"/>
  <c r="I904" i="11"/>
  <c r="E905" i="11"/>
  <c r="I905" i="11"/>
  <c r="E906" i="11"/>
  <c r="I906" i="11"/>
  <c r="E907" i="11"/>
  <c r="I907" i="11"/>
  <c r="E908" i="11"/>
  <c r="I908" i="11"/>
  <c r="E909" i="11"/>
  <c r="I909" i="11"/>
  <c r="E910" i="11"/>
  <c r="I910" i="11"/>
  <c r="E911" i="11"/>
  <c r="I911" i="11"/>
  <c r="E912" i="11"/>
  <c r="I912" i="11"/>
  <c r="E913" i="11"/>
  <c r="I913" i="11"/>
  <c r="E914" i="11"/>
  <c r="I914" i="11"/>
  <c r="E915" i="11"/>
  <c r="I915" i="11"/>
  <c r="E916" i="11"/>
  <c r="I916" i="11"/>
  <c r="E917" i="11"/>
  <c r="I917" i="11"/>
  <c r="E918" i="11"/>
  <c r="I918" i="11"/>
  <c r="E919" i="11"/>
  <c r="I919" i="11"/>
  <c r="E920" i="11"/>
  <c r="I920" i="11"/>
  <c r="E921" i="11"/>
  <c r="I921" i="11"/>
  <c r="E922" i="11"/>
  <c r="I922" i="11"/>
  <c r="E923" i="11"/>
  <c r="I923" i="11"/>
  <c r="E924" i="11"/>
  <c r="I924" i="11"/>
  <c r="E925" i="11"/>
  <c r="I925" i="11"/>
  <c r="E926" i="11"/>
  <c r="I926" i="11"/>
  <c r="E927" i="11"/>
  <c r="I927" i="11"/>
  <c r="E928" i="11"/>
  <c r="I928" i="11"/>
  <c r="E929" i="11"/>
  <c r="I929" i="11"/>
  <c r="E930" i="11"/>
  <c r="I930" i="11"/>
  <c r="E931" i="11"/>
  <c r="I931" i="11"/>
  <c r="E932" i="11"/>
  <c r="I932" i="11"/>
  <c r="E933" i="11"/>
  <c r="I933" i="11"/>
  <c r="E934" i="11"/>
  <c r="I934" i="11"/>
  <c r="E935" i="11"/>
  <c r="I935" i="11"/>
  <c r="E936" i="11"/>
  <c r="I936" i="11"/>
  <c r="E937" i="11"/>
  <c r="I937" i="11"/>
  <c r="E938" i="11"/>
  <c r="I938" i="11"/>
  <c r="E939" i="11"/>
  <c r="I939" i="11"/>
  <c r="E940" i="11"/>
  <c r="I940" i="11"/>
  <c r="E941" i="11"/>
  <c r="I941" i="11"/>
  <c r="E942" i="11"/>
  <c r="I942" i="11"/>
  <c r="E943" i="11"/>
  <c r="I943" i="11"/>
  <c r="E944" i="11"/>
  <c r="I944" i="11"/>
  <c r="E945" i="11"/>
  <c r="I945" i="11"/>
  <c r="E946" i="11"/>
  <c r="I946" i="11"/>
  <c r="E947" i="11"/>
  <c r="I947" i="11"/>
  <c r="E948" i="11"/>
  <c r="I948" i="11"/>
  <c r="E949" i="11"/>
  <c r="I949" i="11"/>
  <c r="E950" i="11"/>
  <c r="I950" i="11"/>
  <c r="E951" i="11"/>
  <c r="I951" i="11"/>
  <c r="E952" i="11"/>
  <c r="I952" i="11"/>
  <c r="E953" i="11"/>
  <c r="I953" i="11"/>
  <c r="E954" i="11"/>
  <c r="I954" i="11"/>
  <c r="E955" i="11"/>
  <c r="I955" i="11"/>
  <c r="E956" i="11"/>
  <c r="I956" i="11"/>
  <c r="E957" i="11"/>
  <c r="I957" i="11"/>
  <c r="E958" i="11"/>
  <c r="I958" i="11"/>
  <c r="E959" i="11"/>
  <c r="I959" i="11"/>
  <c r="E960" i="11"/>
  <c r="I960" i="11"/>
  <c r="E961" i="11"/>
  <c r="I961" i="11"/>
  <c r="E962" i="11"/>
  <c r="I962" i="11"/>
  <c r="E963" i="11"/>
  <c r="I963" i="11"/>
  <c r="E964" i="11"/>
  <c r="I964" i="11"/>
  <c r="E965" i="11"/>
  <c r="I965" i="11"/>
  <c r="E966" i="11"/>
  <c r="I966" i="11"/>
  <c r="E967" i="11"/>
  <c r="I967" i="11"/>
  <c r="E968" i="11"/>
  <c r="I968" i="11"/>
  <c r="E969" i="11"/>
  <c r="I969" i="11"/>
  <c r="E970" i="11"/>
  <c r="I970" i="11"/>
  <c r="E971" i="11"/>
  <c r="I971" i="11"/>
  <c r="E972" i="11"/>
  <c r="I972" i="11"/>
  <c r="E973" i="11"/>
  <c r="I973" i="11"/>
  <c r="E974" i="11"/>
  <c r="I974" i="11"/>
  <c r="E975" i="11"/>
  <c r="I975" i="11"/>
  <c r="E976" i="11"/>
  <c r="I976" i="11"/>
  <c r="E977" i="11"/>
  <c r="I977" i="11"/>
  <c r="E978" i="11"/>
  <c r="I978" i="11"/>
  <c r="E979" i="11"/>
  <c r="I979" i="11"/>
  <c r="E980" i="11"/>
  <c r="I980" i="11"/>
  <c r="E981" i="11"/>
  <c r="I981" i="11"/>
  <c r="E982" i="11"/>
  <c r="I982" i="11"/>
  <c r="E983" i="11"/>
  <c r="I983" i="11"/>
  <c r="E984" i="11"/>
  <c r="I984" i="11"/>
  <c r="E985" i="11"/>
  <c r="I985" i="11"/>
  <c r="E986" i="11"/>
  <c r="I986" i="11"/>
  <c r="E987" i="11"/>
  <c r="I987" i="11"/>
  <c r="E988" i="11"/>
  <c r="I988" i="11"/>
  <c r="E989" i="11"/>
  <c r="I989" i="11"/>
  <c r="E990" i="11"/>
  <c r="I990" i="11"/>
  <c r="E991" i="11"/>
  <c r="I991" i="11"/>
  <c r="E992" i="11"/>
  <c r="I992" i="11"/>
  <c r="E993" i="11"/>
  <c r="I993" i="11"/>
  <c r="E994" i="11"/>
  <c r="I994" i="11"/>
  <c r="E995" i="11"/>
  <c r="I995" i="11"/>
  <c r="E1011" i="11"/>
  <c r="I1011" i="11"/>
  <c r="E1012" i="11"/>
  <c r="I1012" i="11"/>
  <c r="E1013" i="11"/>
  <c r="I1013" i="11"/>
  <c r="I1014" i="11"/>
  <c r="I1015" i="11"/>
  <c r="F888" i="11"/>
  <c r="J888" i="11"/>
  <c r="F889" i="11"/>
  <c r="J889" i="11"/>
  <c r="F891" i="11"/>
  <c r="J891" i="11"/>
  <c r="F892" i="11"/>
  <c r="J892" i="11"/>
  <c r="F896" i="11"/>
  <c r="J896" i="11"/>
  <c r="H5" i="13"/>
  <c r="F897" i="11"/>
  <c r="J897" i="11"/>
  <c r="F898" i="11"/>
  <c r="J898" i="11"/>
  <c r="F899" i="11"/>
  <c r="J899" i="11"/>
  <c r="I8" i="1"/>
  <c r="F900" i="11"/>
  <c r="J900" i="11"/>
  <c r="F901" i="11"/>
  <c r="J901" i="11"/>
  <c r="I14" i="10"/>
  <c r="F902" i="11"/>
  <c r="J902" i="11"/>
  <c r="F904" i="11"/>
  <c r="J904" i="11"/>
  <c r="F905" i="11"/>
  <c r="J905" i="11"/>
  <c r="I39" i="1"/>
  <c r="F907" i="11"/>
  <c r="J907" i="11"/>
  <c r="F909" i="11"/>
  <c r="J909" i="11"/>
  <c r="F910" i="11"/>
  <c r="J910" i="11"/>
  <c r="F914" i="11"/>
  <c r="J914" i="11"/>
  <c r="F915" i="11"/>
  <c r="J915" i="11"/>
  <c r="F916" i="11"/>
  <c r="J916" i="11"/>
  <c r="F917" i="11"/>
  <c r="J917" i="11"/>
  <c r="F918" i="11"/>
  <c r="J918" i="11"/>
  <c r="F919" i="11"/>
  <c r="J919" i="11"/>
  <c r="F923" i="11"/>
  <c r="J923" i="11"/>
  <c r="F925" i="11"/>
  <c r="J925" i="11"/>
  <c r="F926" i="11"/>
  <c r="J926" i="11"/>
  <c r="H13" i="14"/>
  <c r="F927" i="11"/>
  <c r="J927" i="11"/>
  <c r="F929" i="11"/>
  <c r="J929" i="11"/>
  <c r="F930" i="11"/>
  <c r="J930" i="11"/>
  <c r="F931" i="11"/>
  <c r="J931" i="11"/>
  <c r="F932" i="11"/>
  <c r="J932" i="11"/>
  <c r="F933" i="11"/>
  <c r="J933" i="11"/>
  <c r="F934" i="11"/>
  <c r="J934" i="11"/>
  <c r="F935" i="11"/>
  <c r="J935" i="11"/>
  <c r="F936" i="11"/>
  <c r="J936" i="11"/>
  <c r="F937" i="11"/>
  <c r="J937" i="11"/>
  <c r="F938" i="11"/>
  <c r="J938" i="11"/>
  <c r="F939" i="11"/>
  <c r="J939" i="11"/>
  <c r="F940" i="11"/>
  <c r="J940" i="11"/>
  <c r="F941" i="11"/>
  <c r="J941" i="11"/>
  <c r="F942" i="11"/>
  <c r="J942" i="11"/>
  <c r="F943" i="11"/>
  <c r="J943" i="11"/>
  <c r="F944" i="11"/>
  <c r="J944" i="11"/>
  <c r="F945" i="11"/>
  <c r="J945" i="11"/>
  <c r="F946" i="11"/>
  <c r="J946" i="11"/>
  <c r="F947" i="11"/>
  <c r="J947" i="11"/>
  <c r="F948" i="11"/>
  <c r="J948" i="11"/>
  <c r="F949" i="11"/>
  <c r="J949" i="11"/>
  <c r="I62" i="1"/>
  <c r="F950" i="11"/>
  <c r="J950" i="11"/>
  <c r="F951" i="11"/>
  <c r="J951" i="11"/>
  <c r="F952" i="11"/>
  <c r="J952" i="11"/>
  <c r="F953" i="11"/>
  <c r="J953" i="11"/>
  <c r="F954" i="11"/>
  <c r="J954" i="11"/>
  <c r="F955" i="11"/>
  <c r="J955" i="11"/>
  <c r="F956" i="11"/>
  <c r="J956" i="11"/>
  <c r="F957" i="11"/>
  <c r="J957" i="11"/>
  <c r="F958" i="11"/>
  <c r="J958" i="11"/>
  <c r="F959" i="11"/>
  <c r="J959" i="11"/>
  <c r="F960" i="11"/>
  <c r="J960" i="11"/>
  <c r="F961" i="11"/>
  <c r="J961" i="11"/>
  <c r="F962" i="11"/>
  <c r="J962" i="11"/>
  <c r="F963" i="11"/>
  <c r="J963" i="11"/>
  <c r="F964" i="11"/>
  <c r="J964" i="11"/>
  <c r="F965" i="11"/>
  <c r="J965" i="11"/>
  <c r="F966" i="11"/>
  <c r="J966" i="11"/>
  <c r="F967" i="11"/>
  <c r="J967" i="11"/>
  <c r="F968" i="11"/>
  <c r="J968" i="11"/>
  <c r="F969" i="11"/>
  <c r="J969" i="11"/>
  <c r="F970" i="11"/>
  <c r="J970" i="11"/>
  <c r="F971" i="11"/>
  <c r="J971" i="11"/>
  <c r="F972" i="11"/>
  <c r="J972" i="11"/>
  <c r="F973" i="11"/>
  <c r="J973" i="11"/>
  <c r="F974" i="11"/>
  <c r="J974" i="11"/>
  <c r="F975" i="11"/>
  <c r="J975" i="11"/>
  <c r="F976" i="11"/>
  <c r="J976" i="11"/>
  <c r="F977" i="11"/>
  <c r="J977" i="11"/>
  <c r="F978" i="11"/>
  <c r="J978" i="11"/>
  <c r="F979" i="11"/>
  <c r="J979" i="11"/>
  <c r="F980" i="11"/>
  <c r="J980" i="11"/>
  <c r="F981" i="11"/>
  <c r="J981" i="11"/>
  <c r="F982" i="11"/>
  <c r="J982" i="11"/>
  <c r="F983" i="11"/>
  <c r="J983" i="11"/>
  <c r="F984" i="11"/>
  <c r="J984" i="11"/>
  <c r="F985" i="11"/>
  <c r="J985" i="11"/>
  <c r="F986" i="11"/>
  <c r="J986" i="11"/>
  <c r="F987" i="11"/>
  <c r="J987" i="11"/>
  <c r="F988" i="11"/>
  <c r="J988" i="11"/>
  <c r="F989" i="11"/>
  <c r="J989" i="11"/>
  <c r="F990" i="11"/>
  <c r="J990" i="11"/>
  <c r="F991" i="11"/>
  <c r="J991" i="11"/>
  <c r="F992" i="11"/>
  <c r="J992" i="11"/>
  <c r="F993" i="11"/>
  <c r="J993" i="11"/>
  <c r="F994" i="11"/>
  <c r="J994" i="11"/>
  <c r="F995" i="11"/>
  <c r="J995" i="11"/>
  <c r="F1011" i="11"/>
  <c r="J1011" i="11"/>
  <c r="F1012" i="11"/>
  <c r="J1012" i="11"/>
  <c r="I11" i="1"/>
  <c r="F1013" i="11"/>
  <c r="J1013" i="11"/>
  <c r="F1014" i="11"/>
  <c r="J1014" i="11"/>
  <c r="F1015" i="11"/>
  <c r="J1015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1011" i="11"/>
  <c r="C1012" i="11"/>
  <c r="C1013" i="11"/>
  <c r="C1014" i="11"/>
  <c r="C1015" i="11"/>
  <c r="E864" i="11"/>
  <c r="I864" i="11"/>
  <c r="E865" i="11"/>
  <c r="I865" i="11"/>
  <c r="E866" i="11"/>
  <c r="I866" i="11"/>
  <c r="E867" i="11"/>
  <c r="I867" i="11"/>
  <c r="E868" i="11"/>
  <c r="I868" i="11"/>
  <c r="E869" i="11"/>
  <c r="I869" i="11"/>
  <c r="E870" i="11"/>
  <c r="I870" i="11"/>
  <c r="E871" i="11"/>
  <c r="I871" i="11"/>
  <c r="E872" i="11"/>
  <c r="I872" i="11"/>
  <c r="E873" i="11"/>
  <c r="I873" i="11"/>
  <c r="E874" i="11"/>
  <c r="I874" i="11"/>
  <c r="E875" i="11"/>
  <c r="I875" i="11"/>
  <c r="E876" i="11"/>
  <c r="I876" i="11"/>
  <c r="E877" i="11"/>
  <c r="I877" i="11"/>
  <c r="E878" i="11"/>
  <c r="I878" i="11"/>
  <c r="E879" i="11"/>
  <c r="I879" i="11"/>
  <c r="E880" i="11"/>
  <c r="I880" i="11"/>
  <c r="E881" i="11"/>
  <c r="I881" i="11"/>
  <c r="E882" i="11"/>
  <c r="I882" i="11"/>
  <c r="F865" i="11"/>
  <c r="J865" i="11"/>
  <c r="F867" i="11"/>
  <c r="J867" i="11"/>
  <c r="F868" i="11"/>
  <c r="J868" i="11"/>
  <c r="F869" i="11"/>
  <c r="J869" i="11"/>
  <c r="F872" i="11"/>
  <c r="J872" i="11"/>
  <c r="F873" i="11"/>
  <c r="J873" i="11"/>
  <c r="F874" i="11"/>
  <c r="J874" i="11"/>
  <c r="I35" i="8"/>
  <c r="F877" i="11"/>
  <c r="J877" i="11"/>
  <c r="F879" i="11"/>
  <c r="J879" i="11"/>
  <c r="F880" i="11"/>
  <c r="J88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E847" i="11"/>
  <c r="I847" i="11"/>
  <c r="E848" i="11"/>
  <c r="I848" i="11"/>
  <c r="E849" i="11"/>
  <c r="I849" i="11"/>
  <c r="E850" i="11"/>
  <c r="I850" i="11"/>
  <c r="E851" i="11"/>
  <c r="I851" i="11"/>
  <c r="E852" i="11"/>
  <c r="I852" i="11"/>
  <c r="E853" i="11"/>
  <c r="I853" i="11"/>
  <c r="E854" i="11"/>
  <c r="I854" i="11"/>
  <c r="E855" i="11"/>
  <c r="I855" i="11"/>
  <c r="E856" i="11"/>
  <c r="I856" i="11"/>
  <c r="E857" i="11"/>
  <c r="I857" i="11"/>
  <c r="E858" i="11"/>
  <c r="I858" i="11"/>
  <c r="E859" i="11"/>
  <c r="I859" i="11"/>
  <c r="E860" i="11"/>
  <c r="I860" i="11"/>
  <c r="E861" i="11"/>
  <c r="I861" i="11"/>
  <c r="E862" i="11"/>
  <c r="I862" i="11"/>
  <c r="E863" i="11"/>
  <c r="I863" i="11"/>
  <c r="F847" i="11"/>
  <c r="J847" i="11"/>
  <c r="F848" i="11"/>
  <c r="J848" i="11"/>
  <c r="F850" i="11"/>
  <c r="J850" i="11"/>
  <c r="F851" i="11"/>
  <c r="J851" i="11"/>
  <c r="F855" i="11"/>
  <c r="J855" i="11"/>
  <c r="F856" i="11"/>
  <c r="J856" i="11"/>
  <c r="F859" i="11"/>
  <c r="J859" i="11"/>
  <c r="F863" i="11"/>
  <c r="J863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E838" i="11"/>
  <c r="I838" i="11"/>
  <c r="E839" i="11"/>
  <c r="I839" i="11"/>
  <c r="E840" i="11"/>
  <c r="I840" i="11"/>
  <c r="E841" i="11"/>
  <c r="I841" i="11"/>
  <c r="E842" i="11"/>
  <c r="I842" i="11"/>
  <c r="E843" i="11"/>
  <c r="I843" i="11"/>
  <c r="E844" i="11"/>
  <c r="I844" i="11"/>
  <c r="E845" i="11"/>
  <c r="I845" i="11"/>
  <c r="E846" i="11"/>
  <c r="I846" i="11"/>
  <c r="F840" i="11"/>
  <c r="J840" i="11"/>
  <c r="I6" i="8"/>
  <c r="F841" i="11"/>
  <c r="J841" i="11"/>
  <c r="F842" i="11"/>
  <c r="J842" i="11"/>
  <c r="F846" i="11"/>
  <c r="J846" i="11"/>
  <c r="C838" i="11"/>
  <c r="C839" i="11"/>
  <c r="C840" i="11"/>
  <c r="C841" i="11"/>
  <c r="C842" i="11"/>
  <c r="C843" i="11"/>
  <c r="C844" i="11"/>
  <c r="C837" i="11"/>
  <c r="E837" i="11"/>
  <c r="I837" i="11"/>
  <c r="F837" i="11"/>
  <c r="J837" i="11"/>
  <c r="C836" i="11"/>
  <c r="E836" i="11"/>
  <c r="I836" i="11"/>
  <c r="F836" i="11"/>
  <c r="J836" i="11"/>
  <c r="C835" i="11"/>
  <c r="E835" i="11"/>
  <c r="I835" i="11"/>
  <c r="F835" i="11"/>
  <c r="J835" i="11"/>
  <c r="C834" i="11"/>
  <c r="E834" i="11"/>
  <c r="I834" i="11"/>
  <c r="C833" i="11"/>
  <c r="E833" i="11"/>
  <c r="I833" i="11"/>
  <c r="F833" i="11"/>
  <c r="J833" i="11"/>
  <c r="C832" i="11"/>
  <c r="E832" i="11"/>
  <c r="I832" i="11"/>
  <c r="D29" i="1"/>
  <c r="K28" i="1"/>
  <c r="M28" i="1"/>
  <c r="D28" i="1"/>
  <c r="C29" i="17"/>
  <c r="E70" i="1"/>
  <c r="R70" i="1"/>
  <c r="E71" i="2"/>
  <c r="R71" i="2"/>
  <c r="D70" i="1"/>
  <c r="C70" i="17"/>
  <c r="D71" i="2"/>
  <c r="O71" i="2"/>
  <c r="D8" i="15"/>
  <c r="Q8" i="15"/>
  <c r="E29" i="1"/>
  <c r="R29" i="1"/>
  <c r="E18" i="2"/>
  <c r="R18" i="2"/>
  <c r="D18" i="2"/>
  <c r="C8" i="15"/>
  <c r="C831" i="11"/>
  <c r="E831" i="11"/>
  <c r="I831" i="11"/>
  <c r="C830" i="11"/>
  <c r="E830" i="11"/>
  <c r="I830" i="11"/>
  <c r="F830" i="11"/>
  <c r="J830" i="11"/>
  <c r="C829" i="11"/>
  <c r="E829" i="11"/>
  <c r="I829" i="11"/>
  <c r="C828" i="11"/>
  <c r="E828" i="11"/>
  <c r="I828" i="11"/>
  <c r="F828" i="11"/>
  <c r="J828" i="11"/>
  <c r="C827" i="11"/>
  <c r="E827" i="11"/>
  <c r="I827" i="11"/>
  <c r="F827" i="11"/>
  <c r="J827" i="11"/>
  <c r="C826" i="11"/>
  <c r="E826" i="11"/>
  <c r="I826" i="11"/>
  <c r="C825" i="11"/>
  <c r="E825" i="11"/>
  <c r="I825" i="11"/>
  <c r="C824" i="11"/>
  <c r="E824" i="11"/>
  <c r="I824" i="11"/>
  <c r="C823" i="11"/>
  <c r="E823" i="11"/>
  <c r="I823" i="11"/>
  <c r="F823" i="11"/>
  <c r="J823" i="11"/>
  <c r="C822" i="11"/>
  <c r="E822" i="11"/>
  <c r="I822" i="11"/>
  <c r="F822" i="11"/>
  <c r="J822" i="11"/>
  <c r="C821" i="11"/>
  <c r="E821" i="11"/>
  <c r="I821" i="11"/>
  <c r="C820" i="11"/>
  <c r="E820" i="11"/>
  <c r="I820" i="11"/>
  <c r="F820" i="11"/>
  <c r="J820" i="11"/>
  <c r="C819" i="11"/>
  <c r="E819" i="11"/>
  <c r="I819" i="11"/>
  <c r="C818" i="11"/>
  <c r="E818" i="11"/>
  <c r="I818" i="11"/>
  <c r="C817" i="11"/>
  <c r="E817" i="11"/>
  <c r="I817" i="11"/>
  <c r="C816" i="11"/>
  <c r="E816" i="11"/>
  <c r="I816" i="11"/>
  <c r="F816" i="11"/>
  <c r="J816" i="11"/>
  <c r="C815" i="11"/>
  <c r="E815" i="11"/>
  <c r="I815" i="11"/>
  <c r="C814" i="11"/>
  <c r="E814" i="11"/>
  <c r="I814" i="11"/>
  <c r="F814" i="11"/>
  <c r="J814" i="11"/>
  <c r="C813" i="11"/>
  <c r="E813" i="11"/>
  <c r="I813" i="11"/>
  <c r="F813" i="11"/>
  <c r="J813" i="11"/>
  <c r="C812" i="11"/>
  <c r="E812" i="11"/>
  <c r="I812" i="11"/>
  <c r="C811" i="11"/>
  <c r="E811" i="11"/>
  <c r="I811" i="11"/>
  <c r="C810" i="11"/>
  <c r="E810" i="11"/>
  <c r="I810" i="11"/>
  <c r="C809" i="11"/>
  <c r="E809" i="11"/>
  <c r="I809" i="11"/>
  <c r="C808" i="11"/>
  <c r="E808" i="11"/>
  <c r="I808" i="11"/>
  <c r="F808" i="11"/>
  <c r="J808" i="11"/>
  <c r="C807" i="11"/>
  <c r="E807" i="11"/>
  <c r="I807" i="11"/>
  <c r="I9" i="8"/>
  <c r="F807" i="11"/>
  <c r="J807" i="11"/>
  <c r="C806" i="11"/>
  <c r="E806" i="11"/>
  <c r="I806" i="11"/>
  <c r="F806" i="11"/>
  <c r="J806" i="11"/>
  <c r="C805" i="11"/>
  <c r="E805" i="11"/>
  <c r="I805" i="11"/>
  <c r="F805" i="11"/>
  <c r="J805" i="11"/>
  <c r="C804" i="11"/>
  <c r="E804" i="11"/>
  <c r="I804" i="11"/>
  <c r="F804" i="11"/>
  <c r="J804" i="11"/>
  <c r="C803" i="11"/>
  <c r="E803" i="11"/>
  <c r="I803" i="11"/>
  <c r="F803" i="11"/>
  <c r="J803" i="11"/>
  <c r="Q29" i="1"/>
  <c r="Q71" i="2"/>
  <c r="P29" i="1"/>
  <c r="O29" i="1"/>
  <c r="Q70" i="1"/>
  <c r="P70" i="1"/>
  <c r="P8" i="15"/>
  <c r="O70" i="1"/>
  <c r="Q18" i="2"/>
  <c r="P71" i="2"/>
  <c r="O18" i="2"/>
  <c r="P18" i="2"/>
  <c r="N8" i="15"/>
  <c r="C136" i="17"/>
  <c r="O8" i="15"/>
  <c r="C802" i="11"/>
  <c r="E802" i="11"/>
  <c r="I802" i="11"/>
  <c r="C801" i="11"/>
  <c r="E801" i="11"/>
  <c r="I801" i="11"/>
  <c r="F801" i="11"/>
  <c r="J801" i="11"/>
  <c r="C800" i="11"/>
  <c r="E800" i="11"/>
  <c r="I800" i="11"/>
  <c r="C799" i="11"/>
  <c r="E799" i="11"/>
  <c r="I799" i="11"/>
  <c r="I18" i="10"/>
  <c r="F799" i="11"/>
  <c r="J799" i="11"/>
  <c r="C798" i="11"/>
  <c r="E798" i="11"/>
  <c r="I798" i="11"/>
  <c r="F798" i="11"/>
  <c r="J798" i="11"/>
  <c r="C797" i="11"/>
  <c r="E797" i="11"/>
  <c r="I797" i="11"/>
  <c r="F797" i="11"/>
  <c r="J797" i="11"/>
  <c r="C796" i="11"/>
  <c r="E796" i="11"/>
  <c r="I796" i="11"/>
  <c r="F796" i="11"/>
  <c r="J796" i="11"/>
  <c r="C795" i="11"/>
  <c r="E795" i="11"/>
  <c r="I795" i="11"/>
  <c r="F795" i="11"/>
  <c r="J795" i="11"/>
  <c r="C794" i="11"/>
  <c r="E794" i="11"/>
  <c r="I794" i="11"/>
  <c r="C793" i="11"/>
  <c r="E793" i="11"/>
  <c r="I793" i="11"/>
  <c r="F793" i="11"/>
  <c r="J793" i="11"/>
  <c r="C792" i="11"/>
  <c r="E792" i="11"/>
  <c r="I792" i="11"/>
  <c r="C791" i="11"/>
  <c r="E791" i="11"/>
  <c r="I791" i="11"/>
  <c r="C790" i="11"/>
  <c r="E790" i="11"/>
  <c r="I790" i="11"/>
  <c r="F790" i="11"/>
  <c r="J790" i="11"/>
  <c r="C789" i="11"/>
  <c r="E789" i="11"/>
  <c r="I789" i="11"/>
  <c r="F789" i="11"/>
  <c r="J789" i="11"/>
  <c r="C788" i="11"/>
  <c r="E788" i="11"/>
  <c r="I788" i="11"/>
  <c r="F788" i="11"/>
  <c r="J788" i="11"/>
  <c r="C787" i="11"/>
  <c r="E787" i="11"/>
  <c r="I787" i="11"/>
  <c r="F787" i="11"/>
  <c r="J787" i="11"/>
  <c r="C786" i="11"/>
  <c r="E786" i="11"/>
  <c r="I786" i="11"/>
  <c r="F786" i="11"/>
  <c r="J786" i="11"/>
  <c r="C785" i="11"/>
  <c r="E785" i="11"/>
  <c r="I785" i="11"/>
  <c r="C784" i="11"/>
  <c r="E784" i="11"/>
  <c r="I784" i="11"/>
  <c r="C783" i="11"/>
  <c r="E783" i="11"/>
  <c r="I783" i="11"/>
  <c r="F783" i="11"/>
  <c r="J783" i="11"/>
  <c r="C782" i="11"/>
  <c r="E782" i="11"/>
  <c r="I782" i="11"/>
  <c r="F782" i="11"/>
  <c r="J782" i="11"/>
  <c r="C781" i="11"/>
  <c r="E781" i="11"/>
  <c r="I781" i="11"/>
  <c r="C780" i="11"/>
  <c r="E780" i="11"/>
  <c r="I780" i="11"/>
  <c r="C779" i="11"/>
  <c r="E779" i="11"/>
  <c r="I779" i="11"/>
  <c r="F779" i="11"/>
  <c r="J779" i="11"/>
  <c r="C778" i="11"/>
  <c r="E778" i="11"/>
  <c r="I778" i="11"/>
  <c r="C777" i="11"/>
  <c r="E777" i="11"/>
  <c r="I777" i="11"/>
  <c r="C776" i="11"/>
  <c r="E776" i="11"/>
  <c r="I776" i="11"/>
  <c r="C775" i="11"/>
  <c r="E775" i="11"/>
  <c r="I775" i="11"/>
  <c r="F775" i="11"/>
  <c r="J775" i="11"/>
  <c r="C774" i="11"/>
  <c r="E774" i="11"/>
  <c r="I774" i="11"/>
  <c r="F774" i="11"/>
  <c r="J774" i="11"/>
  <c r="C773" i="11"/>
  <c r="E773" i="11"/>
  <c r="I773" i="11"/>
  <c r="G56" i="12"/>
  <c r="C772" i="11"/>
  <c r="E772" i="11"/>
  <c r="I772" i="11"/>
  <c r="C771" i="11"/>
  <c r="E771" i="11"/>
  <c r="I771" i="11"/>
  <c r="C770" i="11"/>
  <c r="E770" i="11"/>
  <c r="I770" i="11"/>
  <c r="C769" i="11"/>
  <c r="E769" i="11"/>
  <c r="I769" i="11"/>
  <c r="F769" i="11"/>
  <c r="J769" i="11"/>
  <c r="C768" i="11"/>
  <c r="E768" i="11"/>
  <c r="I768" i="11"/>
  <c r="C767" i="11"/>
  <c r="E767" i="11"/>
  <c r="I767" i="11"/>
  <c r="F767" i="11"/>
  <c r="J767" i="11"/>
  <c r="C766" i="11"/>
  <c r="E766" i="11"/>
  <c r="I766" i="11"/>
  <c r="C765" i="11"/>
  <c r="E765" i="11"/>
  <c r="I765" i="11"/>
  <c r="F765" i="11"/>
  <c r="J765" i="11"/>
  <c r="C764" i="11"/>
  <c r="E764" i="11"/>
  <c r="I764" i="11"/>
  <c r="C763" i="11"/>
  <c r="E763" i="11"/>
  <c r="I763" i="11"/>
  <c r="F763" i="11"/>
  <c r="J763" i="11"/>
  <c r="C762" i="11"/>
  <c r="E762" i="11"/>
  <c r="I762" i="11"/>
  <c r="C761" i="11"/>
  <c r="E761" i="11"/>
  <c r="I761" i="11"/>
  <c r="C760" i="11"/>
  <c r="E760" i="11"/>
  <c r="I760" i="11"/>
  <c r="C759" i="11"/>
  <c r="E759" i="11"/>
  <c r="I759" i="11"/>
  <c r="C758" i="11"/>
  <c r="E758" i="11"/>
  <c r="I758" i="11"/>
  <c r="F758" i="11"/>
  <c r="J758" i="11"/>
  <c r="C757" i="11"/>
  <c r="E757" i="11"/>
  <c r="I757" i="11"/>
  <c r="C756" i="11"/>
  <c r="E756" i="11"/>
  <c r="I756" i="11"/>
  <c r="C755" i="11"/>
  <c r="E755" i="11"/>
  <c r="I755" i="11"/>
  <c r="C754" i="11"/>
  <c r="E754" i="11"/>
  <c r="I754" i="11"/>
  <c r="C753" i="11"/>
  <c r="E753" i="11"/>
  <c r="I753" i="11"/>
  <c r="C752" i="11"/>
  <c r="E752" i="11"/>
  <c r="I752" i="11"/>
  <c r="C751" i="11"/>
  <c r="E751" i="11"/>
  <c r="I751" i="11"/>
  <c r="F751" i="11"/>
  <c r="J751" i="11"/>
  <c r="C750" i="11"/>
  <c r="E750" i="11"/>
  <c r="I750" i="11"/>
  <c r="F750" i="11"/>
  <c r="J750" i="11"/>
  <c r="C749" i="11"/>
  <c r="E749" i="11"/>
  <c r="I749" i="11"/>
  <c r="F749" i="11"/>
  <c r="J749" i="11"/>
  <c r="G55" i="12"/>
  <c r="C748" i="11"/>
  <c r="E748" i="11"/>
  <c r="I748" i="11"/>
  <c r="F748" i="11"/>
  <c r="J748" i="11"/>
  <c r="C747" i="11"/>
  <c r="E747" i="11"/>
  <c r="I747" i="11"/>
  <c r="C746" i="11"/>
  <c r="E746" i="11"/>
  <c r="I746" i="11"/>
  <c r="F746" i="11"/>
  <c r="J746" i="11"/>
  <c r="C745" i="11"/>
  <c r="E745" i="11"/>
  <c r="I745" i="11"/>
  <c r="F745" i="11"/>
  <c r="J745" i="11"/>
  <c r="C744" i="11"/>
  <c r="E744" i="11"/>
  <c r="I744" i="11"/>
  <c r="C743" i="11"/>
  <c r="E743" i="11"/>
  <c r="I743" i="11"/>
  <c r="F743" i="11"/>
  <c r="J743" i="11"/>
  <c r="C742" i="11"/>
  <c r="E742" i="11"/>
  <c r="I742" i="11"/>
  <c r="C741" i="11"/>
  <c r="E741" i="11"/>
  <c r="I741" i="11"/>
  <c r="F741" i="11"/>
  <c r="J741" i="11"/>
  <c r="C740" i="11"/>
  <c r="E740" i="11"/>
  <c r="I740" i="11"/>
  <c r="F740" i="11"/>
  <c r="J740" i="11"/>
  <c r="C739" i="11"/>
  <c r="E739" i="11"/>
  <c r="I739" i="11"/>
  <c r="C738" i="11"/>
  <c r="E738" i="11"/>
  <c r="I738" i="11"/>
  <c r="H4" i="13"/>
  <c r="F738" i="11"/>
  <c r="J738" i="11"/>
  <c r="C737" i="11"/>
  <c r="E737" i="11"/>
  <c r="I737" i="11"/>
  <c r="G38" i="12"/>
  <c r="C736" i="11"/>
  <c r="E736" i="11"/>
  <c r="I736" i="11"/>
  <c r="C735" i="11"/>
  <c r="E735" i="11"/>
  <c r="I735" i="11"/>
  <c r="C734" i="11"/>
  <c r="E734" i="11"/>
  <c r="I734" i="11"/>
  <c r="C733" i="11"/>
  <c r="E733" i="11"/>
  <c r="I733" i="11"/>
  <c r="C732" i="11"/>
  <c r="E732" i="11"/>
  <c r="I732" i="11"/>
  <c r="F732" i="11"/>
  <c r="J732" i="11"/>
  <c r="C731" i="11"/>
  <c r="E731" i="11"/>
  <c r="I731" i="11"/>
  <c r="F731" i="11"/>
  <c r="J731" i="11"/>
  <c r="C730" i="11"/>
  <c r="E730" i="11"/>
  <c r="I730" i="11"/>
  <c r="F730" i="11"/>
  <c r="J730" i="11"/>
  <c r="C729" i="11"/>
  <c r="E729" i="11"/>
  <c r="I729" i="11"/>
  <c r="C728" i="11"/>
  <c r="E728" i="11"/>
  <c r="I728" i="11"/>
  <c r="F728" i="11"/>
  <c r="J728" i="11"/>
  <c r="C727" i="11"/>
  <c r="E727" i="11"/>
  <c r="I727" i="11"/>
  <c r="C726" i="11"/>
  <c r="E726" i="11"/>
  <c r="I726" i="11"/>
  <c r="G52" i="12"/>
  <c r="G53" i="12"/>
  <c r="G54" i="12"/>
  <c r="G51" i="12"/>
  <c r="C725" i="11"/>
  <c r="E725" i="11"/>
  <c r="I725" i="11"/>
  <c r="F725" i="11"/>
  <c r="J725" i="11"/>
  <c r="C724" i="11"/>
  <c r="E724" i="11"/>
  <c r="I724" i="11"/>
  <c r="C723" i="11"/>
  <c r="E723" i="11"/>
  <c r="I723" i="11"/>
  <c r="C722" i="11"/>
  <c r="E722" i="11"/>
  <c r="I722" i="11"/>
  <c r="F722" i="11"/>
  <c r="J722" i="11"/>
  <c r="C721" i="11"/>
  <c r="E721" i="11"/>
  <c r="I721" i="11"/>
  <c r="F721" i="11"/>
  <c r="J721" i="11"/>
  <c r="C720" i="11"/>
  <c r="E720" i="11"/>
  <c r="I720" i="11"/>
  <c r="C719" i="11"/>
  <c r="E719" i="11"/>
  <c r="I719" i="11"/>
  <c r="C718" i="11"/>
  <c r="E718" i="11"/>
  <c r="I718" i="11"/>
  <c r="F718" i="11"/>
  <c r="J718" i="11"/>
  <c r="C717" i="11"/>
  <c r="E717" i="11"/>
  <c r="I717" i="11"/>
  <c r="F717" i="11"/>
  <c r="J717" i="11"/>
  <c r="C716" i="11"/>
  <c r="E716" i="11"/>
  <c r="I716" i="11"/>
  <c r="C715" i="11"/>
  <c r="E715" i="11"/>
  <c r="I715" i="11"/>
  <c r="C714" i="11"/>
  <c r="E714" i="11"/>
  <c r="I714" i="11"/>
  <c r="C713" i="11"/>
  <c r="E713" i="11"/>
  <c r="I713" i="11"/>
  <c r="C712" i="11"/>
  <c r="E712" i="11"/>
  <c r="I712" i="11"/>
  <c r="C711" i="11"/>
  <c r="E711" i="11"/>
  <c r="I711" i="11"/>
  <c r="F711" i="11"/>
  <c r="J711" i="11"/>
  <c r="C710" i="11"/>
  <c r="E710" i="11"/>
  <c r="I710" i="11"/>
  <c r="C709" i="11"/>
  <c r="E709" i="11"/>
  <c r="I709" i="11"/>
  <c r="F709" i="11"/>
  <c r="J709" i="11"/>
  <c r="C708" i="11"/>
  <c r="E708" i="11"/>
  <c r="I708" i="11"/>
  <c r="F708" i="11"/>
  <c r="J708" i="11"/>
  <c r="C707" i="11"/>
  <c r="E707" i="11"/>
  <c r="I707" i="11"/>
  <c r="C706" i="11"/>
  <c r="E706" i="11"/>
  <c r="I706" i="11"/>
  <c r="C705" i="11"/>
  <c r="E705" i="11"/>
  <c r="I705" i="11"/>
  <c r="C704" i="11"/>
  <c r="E704" i="11"/>
  <c r="I704" i="11"/>
  <c r="C703" i="11"/>
  <c r="E703" i="11"/>
  <c r="I703" i="11"/>
  <c r="C702" i="11"/>
  <c r="E702" i="11"/>
  <c r="I702" i="11"/>
  <c r="C701" i="11"/>
  <c r="E701" i="11"/>
  <c r="I701" i="11"/>
  <c r="C700" i="11"/>
  <c r="E700" i="11"/>
  <c r="I700" i="11"/>
  <c r="C699" i="11"/>
  <c r="E699" i="11"/>
  <c r="I699" i="11"/>
  <c r="F699" i="11"/>
  <c r="J699" i="11"/>
  <c r="C698" i="11"/>
  <c r="E698" i="11"/>
  <c r="I698" i="11"/>
  <c r="C697" i="11"/>
  <c r="E697" i="11"/>
  <c r="I697" i="11"/>
  <c r="C696" i="11"/>
  <c r="E696" i="11"/>
  <c r="I696" i="11"/>
  <c r="F696" i="11"/>
  <c r="J696" i="11"/>
  <c r="C695" i="11"/>
  <c r="E695" i="11"/>
  <c r="I695" i="11"/>
  <c r="F695" i="11"/>
  <c r="J695" i="11"/>
  <c r="C694" i="11"/>
  <c r="E694" i="11"/>
  <c r="I694" i="11"/>
  <c r="C693" i="11"/>
  <c r="E693" i="11"/>
  <c r="I693" i="11"/>
  <c r="F693" i="11"/>
  <c r="J693" i="11"/>
  <c r="C692" i="11"/>
  <c r="E692" i="11"/>
  <c r="I692" i="11"/>
  <c r="F692" i="11"/>
  <c r="J692" i="11"/>
  <c r="C691" i="11"/>
  <c r="E691" i="11"/>
  <c r="I691" i="11"/>
  <c r="C690" i="11"/>
  <c r="E690" i="11"/>
  <c r="I690" i="11"/>
  <c r="F690" i="11"/>
  <c r="J690" i="11"/>
  <c r="C689" i="11"/>
  <c r="E689" i="11"/>
  <c r="I689" i="11"/>
  <c r="C688" i="11"/>
  <c r="E688" i="11"/>
  <c r="I688" i="11"/>
  <c r="F688" i="11"/>
  <c r="J688" i="11"/>
  <c r="C687" i="11"/>
  <c r="E687" i="11"/>
  <c r="I687" i="11"/>
  <c r="C686" i="11"/>
  <c r="E686" i="11"/>
  <c r="I686" i="11"/>
  <c r="C685" i="11"/>
  <c r="E685" i="11"/>
  <c r="I685" i="11"/>
  <c r="F685" i="11"/>
  <c r="J685" i="11"/>
  <c r="C684" i="11"/>
  <c r="E684" i="11"/>
  <c r="I684" i="11"/>
  <c r="F684" i="11"/>
  <c r="J684" i="11"/>
  <c r="C683" i="11"/>
  <c r="E683" i="11"/>
  <c r="I683" i="11"/>
  <c r="C682" i="11"/>
  <c r="E682" i="11"/>
  <c r="I682" i="11"/>
  <c r="C681" i="11"/>
  <c r="E681" i="11"/>
  <c r="I681" i="11"/>
  <c r="F681" i="11"/>
  <c r="J681" i="11"/>
  <c r="C680" i="11"/>
  <c r="E680" i="11"/>
  <c r="I680" i="11"/>
  <c r="I32" i="8"/>
  <c r="F680" i="11"/>
  <c r="J680" i="11"/>
  <c r="C679" i="11"/>
  <c r="E679" i="11"/>
  <c r="I679" i="11"/>
  <c r="C678" i="11"/>
  <c r="E678" i="11"/>
  <c r="I678" i="11"/>
  <c r="I31" i="8"/>
  <c r="F678" i="11"/>
  <c r="J678" i="11"/>
  <c r="C677" i="11"/>
  <c r="E677" i="11"/>
  <c r="I677" i="11"/>
  <c r="C676" i="11"/>
  <c r="E676" i="11"/>
  <c r="I676" i="11"/>
  <c r="C675" i="11"/>
  <c r="E675" i="11"/>
  <c r="I675" i="11"/>
  <c r="C674" i="11"/>
  <c r="E674" i="11"/>
  <c r="I674" i="11"/>
  <c r="C673" i="11"/>
  <c r="E673" i="11"/>
  <c r="I673" i="11"/>
  <c r="F673" i="11"/>
  <c r="J673" i="11"/>
  <c r="C672" i="11"/>
  <c r="E672" i="11"/>
  <c r="I672" i="11"/>
  <c r="F672" i="11"/>
  <c r="J672" i="11"/>
  <c r="C671" i="11"/>
  <c r="E671" i="11"/>
  <c r="I671" i="11"/>
  <c r="C670" i="11"/>
  <c r="E670" i="11"/>
  <c r="I670" i="11"/>
  <c r="F670" i="11"/>
  <c r="J670" i="11"/>
  <c r="C669" i="11"/>
  <c r="E669" i="11"/>
  <c r="I669" i="11"/>
  <c r="F669" i="11"/>
  <c r="J669" i="11"/>
  <c r="C668" i="11"/>
  <c r="E668" i="11"/>
  <c r="I668" i="11"/>
  <c r="F668" i="11"/>
  <c r="J668" i="11"/>
  <c r="C667" i="11"/>
  <c r="E667" i="11"/>
  <c r="I667" i="11"/>
  <c r="C666" i="11"/>
  <c r="E666" i="11"/>
  <c r="I666" i="11"/>
  <c r="C665" i="11"/>
  <c r="E665" i="11"/>
  <c r="I665" i="11"/>
  <c r="C664" i="11"/>
  <c r="E664" i="11"/>
  <c r="I664" i="11"/>
  <c r="F664" i="11"/>
  <c r="J664" i="11"/>
  <c r="C663" i="11"/>
  <c r="E663" i="11"/>
  <c r="I663" i="11"/>
  <c r="C662" i="11"/>
  <c r="E662" i="11"/>
  <c r="I662" i="11"/>
  <c r="C661" i="11"/>
  <c r="E661" i="11"/>
  <c r="I661" i="11"/>
  <c r="F661" i="11"/>
  <c r="J661" i="11"/>
  <c r="C660" i="11"/>
  <c r="E660" i="11"/>
  <c r="I660" i="11"/>
  <c r="F660" i="11"/>
  <c r="J660" i="11"/>
  <c r="C659" i="11"/>
  <c r="E659" i="11"/>
  <c r="I659" i="11"/>
  <c r="F659" i="11"/>
  <c r="J659" i="11"/>
  <c r="C658" i="11"/>
  <c r="E658" i="11"/>
  <c r="I658" i="11"/>
  <c r="F658" i="11"/>
  <c r="J658" i="11"/>
  <c r="C657" i="11"/>
  <c r="E657" i="11"/>
  <c r="I657" i="11"/>
  <c r="F657" i="11"/>
  <c r="J657" i="11"/>
  <c r="C656" i="11"/>
  <c r="E656" i="11"/>
  <c r="I656" i="11"/>
  <c r="C655" i="11"/>
  <c r="E655" i="11"/>
  <c r="I655" i="11"/>
  <c r="F655" i="11"/>
  <c r="J655" i="11"/>
  <c r="C654" i="11"/>
  <c r="E654" i="11"/>
  <c r="I654" i="11"/>
  <c r="C653" i="11"/>
  <c r="E653" i="11"/>
  <c r="I653" i="11"/>
  <c r="F653" i="11"/>
  <c r="J653" i="11"/>
  <c r="C652" i="11"/>
  <c r="E652" i="11"/>
  <c r="I652" i="11"/>
  <c r="C651" i="11"/>
  <c r="E651" i="11"/>
  <c r="I651" i="11"/>
  <c r="F651" i="11"/>
  <c r="J651" i="11"/>
  <c r="C650" i="11"/>
  <c r="E650" i="11"/>
  <c r="I650" i="11"/>
  <c r="C649" i="11"/>
  <c r="E649" i="11"/>
  <c r="I649" i="11"/>
  <c r="C648" i="11"/>
  <c r="E648" i="11"/>
  <c r="I648" i="11"/>
  <c r="C647" i="11"/>
  <c r="E647" i="11"/>
  <c r="I647" i="11"/>
  <c r="F647" i="11"/>
  <c r="J647" i="11"/>
  <c r="C646" i="11"/>
  <c r="E646" i="11"/>
  <c r="I646" i="11"/>
  <c r="C645" i="11"/>
  <c r="E645" i="11"/>
  <c r="I645" i="11"/>
  <c r="F645" i="11"/>
  <c r="J645" i="11"/>
  <c r="C644" i="11"/>
  <c r="E644" i="11"/>
  <c r="I644" i="11"/>
  <c r="C643" i="11"/>
  <c r="E643" i="11"/>
  <c r="I643" i="11"/>
  <c r="F643" i="11"/>
  <c r="J643" i="11"/>
  <c r="C642" i="11"/>
  <c r="E642" i="11"/>
  <c r="I642" i="11"/>
  <c r="F642" i="11"/>
  <c r="J642" i="11"/>
  <c r="C641" i="11"/>
  <c r="E641" i="11"/>
  <c r="I641" i="11"/>
  <c r="F640" i="11"/>
  <c r="J640" i="11"/>
  <c r="C640" i="11"/>
  <c r="E640" i="11"/>
  <c r="I640" i="11"/>
  <c r="C639" i="11"/>
  <c r="E639" i="11"/>
  <c r="I639" i="11"/>
  <c r="F639" i="11"/>
  <c r="J639" i="11"/>
  <c r="C638" i="11"/>
  <c r="E638" i="11"/>
  <c r="I638" i="11"/>
  <c r="C637" i="11"/>
  <c r="E637" i="11"/>
  <c r="I637" i="11"/>
  <c r="C636" i="11"/>
  <c r="E636" i="11"/>
  <c r="I636" i="11"/>
  <c r="C635" i="11"/>
  <c r="E635" i="11"/>
  <c r="I635" i="11"/>
  <c r="F635" i="11"/>
  <c r="J635" i="11"/>
  <c r="C634" i="11"/>
  <c r="E634" i="11"/>
  <c r="I634" i="11"/>
  <c r="F634" i="11"/>
  <c r="J634" i="11"/>
  <c r="C633" i="11"/>
  <c r="E633" i="11"/>
  <c r="I633" i="11"/>
  <c r="F633" i="11"/>
  <c r="J633" i="11"/>
  <c r="C632" i="11"/>
  <c r="E632" i="11"/>
  <c r="I632" i="11"/>
  <c r="F632" i="11"/>
  <c r="J632" i="11"/>
  <c r="C631" i="11"/>
  <c r="E631" i="11"/>
  <c r="I631" i="11"/>
  <c r="C552" i="11"/>
  <c r="E552" i="11"/>
  <c r="I552" i="11"/>
  <c r="F552" i="11"/>
  <c r="J552" i="11"/>
  <c r="G50" i="12"/>
  <c r="J30" i="8"/>
  <c r="K30" i="8"/>
  <c r="L30" i="8"/>
  <c r="M30" i="8"/>
  <c r="N30" i="8"/>
  <c r="E30" i="8"/>
  <c r="R30" i="8"/>
  <c r="D30" i="8"/>
  <c r="C114" i="17"/>
  <c r="C630" i="11"/>
  <c r="E630" i="11"/>
  <c r="I630" i="11"/>
  <c r="C629" i="11"/>
  <c r="E629" i="11"/>
  <c r="I629" i="11"/>
  <c r="C628" i="11"/>
  <c r="E628" i="11"/>
  <c r="I628" i="11"/>
  <c r="F628" i="11"/>
  <c r="J628" i="11"/>
  <c r="C627" i="11"/>
  <c r="E627" i="11"/>
  <c r="I627" i="11"/>
  <c r="C626" i="11"/>
  <c r="E626" i="11"/>
  <c r="I626" i="11"/>
  <c r="F626" i="11"/>
  <c r="J626" i="11"/>
  <c r="C625" i="11"/>
  <c r="E625" i="11"/>
  <c r="I625" i="11"/>
  <c r="F625" i="11"/>
  <c r="J625" i="11"/>
  <c r="C624" i="11"/>
  <c r="E624" i="11"/>
  <c r="I624" i="11"/>
  <c r="C623" i="11"/>
  <c r="E623" i="11"/>
  <c r="I623" i="11"/>
  <c r="F623" i="11"/>
  <c r="J623" i="11"/>
  <c r="C622" i="11"/>
  <c r="E622" i="11"/>
  <c r="I622" i="11"/>
  <c r="C621" i="11"/>
  <c r="E621" i="11"/>
  <c r="I621" i="11"/>
  <c r="F621" i="11"/>
  <c r="J621" i="11"/>
  <c r="C620" i="11"/>
  <c r="E620" i="11"/>
  <c r="I620" i="11"/>
  <c r="F620" i="11"/>
  <c r="J620" i="11"/>
  <c r="C619" i="11"/>
  <c r="E619" i="11"/>
  <c r="I619" i="11"/>
  <c r="C618" i="11"/>
  <c r="E618" i="11"/>
  <c r="I618" i="11"/>
  <c r="C617" i="11"/>
  <c r="E617" i="11"/>
  <c r="I617" i="11"/>
  <c r="C616" i="11"/>
  <c r="E616" i="11"/>
  <c r="I616" i="11"/>
  <c r="C615" i="11"/>
  <c r="E615" i="11"/>
  <c r="I615" i="11"/>
  <c r="C614" i="11"/>
  <c r="E614" i="11"/>
  <c r="I614" i="11"/>
  <c r="F614" i="11"/>
  <c r="J614" i="11"/>
  <c r="C613" i="11"/>
  <c r="E613" i="11"/>
  <c r="I613" i="11"/>
  <c r="C612" i="11"/>
  <c r="E612" i="11"/>
  <c r="I612" i="11"/>
  <c r="O30" i="8"/>
  <c r="Q30" i="8"/>
  <c r="P30" i="8"/>
  <c r="C611" i="11"/>
  <c r="E611" i="11"/>
  <c r="I611" i="11"/>
  <c r="C610" i="11"/>
  <c r="E610" i="11"/>
  <c r="I610" i="11"/>
  <c r="C609" i="11"/>
  <c r="E609" i="11"/>
  <c r="I609" i="11"/>
  <c r="C608" i="11"/>
  <c r="E608" i="11"/>
  <c r="I608" i="11"/>
  <c r="F608" i="11"/>
  <c r="J608" i="11"/>
  <c r="C607" i="11"/>
  <c r="E607" i="11"/>
  <c r="I607" i="11"/>
  <c r="F607" i="11"/>
  <c r="J607" i="11"/>
  <c r="C606" i="11"/>
  <c r="E606" i="11"/>
  <c r="I606" i="11"/>
  <c r="C605" i="11"/>
  <c r="E605" i="11"/>
  <c r="I605" i="11"/>
  <c r="C604" i="11"/>
  <c r="E604" i="11"/>
  <c r="I604" i="11"/>
  <c r="F604" i="11"/>
  <c r="J604" i="11"/>
  <c r="G49" i="12"/>
  <c r="C603" i="11"/>
  <c r="E603" i="11"/>
  <c r="I603" i="11"/>
  <c r="C602" i="11"/>
  <c r="E602" i="11"/>
  <c r="I602" i="11"/>
  <c r="C601" i="11"/>
  <c r="E601" i="11"/>
  <c r="I601" i="11"/>
  <c r="C600" i="11"/>
  <c r="E600" i="11"/>
  <c r="I600" i="11"/>
  <c r="C599" i="11"/>
  <c r="E599" i="11"/>
  <c r="I599" i="11"/>
  <c r="C598" i="11"/>
  <c r="E598" i="11"/>
  <c r="I598" i="11"/>
  <c r="F598" i="11"/>
  <c r="J598" i="11"/>
  <c r="C597" i="11"/>
  <c r="E597" i="11"/>
  <c r="I597" i="11"/>
  <c r="F597" i="11"/>
  <c r="J597" i="11"/>
  <c r="C596" i="11"/>
  <c r="E596" i="11"/>
  <c r="I596" i="11"/>
  <c r="C595" i="11"/>
  <c r="E595" i="11"/>
  <c r="I595" i="11"/>
  <c r="F595" i="11"/>
  <c r="J595" i="11"/>
  <c r="C594" i="11"/>
  <c r="E594" i="11"/>
  <c r="I594" i="11"/>
  <c r="F594" i="11"/>
  <c r="J594" i="11"/>
  <c r="C593" i="11"/>
  <c r="E593" i="11"/>
  <c r="I593" i="11"/>
  <c r="F593" i="11"/>
  <c r="J593" i="11"/>
  <c r="C592" i="11"/>
  <c r="E592" i="11"/>
  <c r="I592" i="11"/>
  <c r="C591" i="11"/>
  <c r="E591" i="11"/>
  <c r="I591" i="11"/>
  <c r="C590" i="11"/>
  <c r="E590" i="11"/>
  <c r="I590" i="11"/>
  <c r="C589" i="11"/>
  <c r="E589" i="11"/>
  <c r="I589" i="11"/>
  <c r="C588" i="11"/>
  <c r="E588" i="11"/>
  <c r="I588" i="11"/>
  <c r="F588" i="11"/>
  <c r="J588" i="11"/>
  <c r="C587" i="11"/>
  <c r="E587" i="11"/>
  <c r="I587" i="11"/>
  <c r="F587" i="11"/>
  <c r="J587" i="11"/>
  <c r="C586" i="11"/>
  <c r="E586" i="11"/>
  <c r="I586" i="11"/>
  <c r="I8" i="10"/>
  <c r="F586" i="11"/>
  <c r="J586" i="11"/>
  <c r="C585" i="11"/>
  <c r="E585" i="11"/>
  <c r="I585" i="11"/>
  <c r="F585" i="11"/>
  <c r="J585" i="11"/>
  <c r="C584" i="11"/>
  <c r="E584" i="11"/>
  <c r="I584" i="11"/>
  <c r="F584" i="11"/>
  <c r="J584" i="11"/>
  <c r="C583" i="11"/>
  <c r="E583" i="11"/>
  <c r="I583" i="11"/>
  <c r="C582" i="11"/>
  <c r="E582" i="11"/>
  <c r="I582" i="11"/>
  <c r="C581" i="11"/>
  <c r="E581" i="11"/>
  <c r="I581" i="11"/>
  <c r="F581" i="11"/>
  <c r="J581" i="11"/>
  <c r="C580" i="11"/>
  <c r="E580" i="11"/>
  <c r="I580" i="11"/>
  <c r="C579" i="11"/>
  <c r="E579" i="11"/>
  <c r="I579" i="11"/>
  <c r="F579" i="11"/>
  <c r="J579" i="11"/>
  <c r="C578" i="11"/>
  <c r="E578" i="11"/>
  <c r="I578" i="11"/>
  <c r="C577" i="11"/>
  <c r="E577" i="11"/>
  <c r="I577" i="11"/>
  <c r="C576" i="11"/>
  <c r="E576" i="11"/>
  <c r="I576" i="11"/>
  <c r="C575" i="11"/>
  <c r="E575" i="11"/>
  <c r="I575" i="11"/>
  <c r="C574" i="11"/>
  <c r="E574" i="11"/>
  <c r="I574" i="11"/>
  <c r="C573" i="11"/>
  <c r="E573" i="11"/>
  <c r="I573" i="11"/>
  <c r="C572" i="11"/>
  <c r="E572" i="11"/>
  <c r="I572" i="11"/>
  <c r="C571" i="11"/>
  <c r="E571" i="11"/>
  <c r="I571" i="11"/>
  <c r="F571" i="11"/>
  <c r="J571" i="11"/>
  <c r="C570" i="11"/>
  <c r="E570" i="11"/>
  <c r="I570" i="11"/>
  <c r="C569" i="11"/>
  <c r="E569" i="11"/>
  <c r="I569" i="11"/>
  <c r="C568" i="11"/>
  <c r="E568" i="11"/>
  <c r="I568" i="11"/>
  <c r="C567" i="11"/>
  <c r="E567" i="11"/>
  <c r="I567" i="11"/>
  <c r="C566" i="11"/>
  <c r="E566" i="11"/>
  <c r="I566" i="11"/>
  <c r="F566" i="11"/>
  <c r="J566" i="11"/>
  <c r="C565" i="11"/>
  <c r="E565" i="11"/>
  <c r="I565" i="11"/>
  <c r="F565" i="11"/>
  <c r="J565" i="11"/>
  <c r="G48" i="12"/>
  <c r="C564" i="11"/>
  <c r="E564" i="11"/>
  <c r="I564" i="11"/>
  <c r="C563" i="11"/>
  <c r="E563" i="11"/>
  <c r="I563" i="11"/>
  <c r="C562" i="11"/>
  <c r="E562" i="11"/>
  <c r="I562" i="11"/>
  <c r="C561" i="11"/>
  <c r="E561" i="11"/>
  <c r="I561" i="11"/>
  <c r="F561" i="11"/>
  <c r="J561" i="11"/>
  <c r="C560" i="11"/>
  <c r="E560" i="11"/>
  <c r="I560" i="11"/>
  <c r="F560" i="11"/>
  <c r="J560" i="11"/>
  <c r="C559" i="11"/>
  <c r="E559" i="11"/>
  <c r="I559" i="11"/>
  <c r="C558" i="11"/>
  <c r="E558" i="11"/>
  <c r="I558" i="11"/>
  <c r="C557" i="11"/>
  <c r="E557" i="11"/>
  <c r="I557" i="11"/>
  <c r="C556" i="11"/>
  <c r="E556" i="11"/>
  <c r="I556" i="11"/>
  <c r="C555" i="11"/>
  <c r="E555" i="11"/>
  <c r="I555" i="11"/>
  <c r="C554" i="11"/>
  <c r="E554" i="11"/>
  <c r="I554" i="11"/>
  <c r="F554" i="11"/>
  <c r="J554" i="11"/>
  <c r="C553" i="11"/>
  <c r="E553" i="11"/>
  <c r="I553" i="11"/>
  <c r="F553" i="11"/>
  <c r="J553" i="11"/>
  <c r="C551" i="11"/>
  <c r="E551" i="11"/>
  <c r="I551" i="11"/>
  <c r="F551" i="11"/>
  <c r="J551" i="11"/>
  <c r="C550" i="11"/>
  <c r="E550" i="11"/>
  <c r="I550" i="11"/>
  <c r="F550" i="11"/>
  <c r="J550" i="11"/>
  <c r="C549" i="11"/>
  <c r="E549" i="11"/>
  <c r="I549" i="11"/>
  <c r="C548" i="11"/>
  <c r="E548" i="11"/>
  <c r="I548" i="11"/>
  <c r="C547" i="11"/>
  <c r="E547" i="11"/>
  <c r="I547" i="11"/>
  <c r="F547" i="11"/>
  <c r="J547" i="11"/>
  <c r="C546" i="11"/>
  <c r="E546" i="11"/>
  <c r="I546" i="11"/>
  <c r="C545" i="11"/>
  <c r="E545" i="11"/>
  <c r="I545" i="11"/>
  <c r="F545" i="11"/>
  <c r="J545" i="11"/>
  <c r="C544" i="11"/>
  <c r="E544" i="11"/>
  <c r="I544" i="11"/>
  <c r="C543" i="11"/>
  <c r="E543" i="11"/>
  <c r="I543" i="11"/>
  <c r="F543" i="11"/>
  <c r="J543" i="11"/>
  <c r="C542" i="11"/>
  <c r="E542" i="11"/>
  <c r="I542" i="11"/>
  <c r="C541" i="11"/>
  <c r="E541" i="11"/>
  <c r="I541" i="11"/>
  <c r="C540" i="11"/>
  <c r="E540" i="11"/>
  <c r="I540" i="11"/>
  <c r="C539" i="11"/>
  <c r="E539" i="11"/>
  <c r="I539" i="11"/>
  <c r="C538" i="11"/>
  <c r="E538" i="11"/>
  <c r="I538" i="11"/>
  <c r="C537" i="11"/>
  <c r="E537" i="11"/>
  <c r="I537" i="11"/>
  <c r="C536" i="11"/>
  <c r="E536" i="11"/>
  <c r="I536" i="11"/>
  <c r="C535" i="11"/>
  <c r="E535" i="11"/>
  <c r="I535" i="11"/>
  <c r="F535" i="11"/>
  <c r="J535" i="11"/>
  <c r="C534" i="11"/>
  <c r="E534" i="11"/>
  <c r="I534" i="11"/>
  <c r="G47" i="12"/>
  <c r="C533" i="11"/>
  <c r="E533" i="11"/>
  <c r="I533" i="11"/>
  <c r="F533" i="11"/>
  <c r="J533" i="11"/>
  <c r="C532" i="11"/>
  <c r="E532" i="11"/>
  <c r="I532" i="11"/>
  <c r="C531" i="11"/>
  <c r="E531" i="11"/>
  <c r="I531" i="11"/>
  <c r="C530" i="11"/>
  <c r="E530" i="11"/>
  <c r="I530" i="11"/>
  <c r="F530" i="11"/>
  <c r="J530" i="11"/>
  <c r="C529" i="11"/>
  <c r="E529" i="11"/>
  <c r="I529" i="11"/>
  <c r="F529" i="11"/>
  <c r="J529" i="11"/>
  <c r="G46" i="12"/>
  <c r="C528" i="11"/>
  <c r="E528" i="11"/>
  <c r="I528" i="11"/>
  <c r="F528" i="11"/>
  <c r="J528" i="11"/>
  <c r="C527" i="11"/>
  <c r="E527" i="11"/>
  <c r="I527" i="11"/>
  <c r="F527" i="11"/>
  <c r="J527" i="11"/>
  <c r="G45" i="12"/>
  <c r="C526" i="11"/>
  <c r="E526" i="11"/>
  <c r="I526" i="11"/>
  <c r="C525" i="11"/>
  <c r="E525" i="11"/>
  <c r="I525" i="11"/>
  <c r="C524" i="11"/>
  <c r="E524" i="11"/>
  <c r="I524" i="11"/>
  <c r="C523" i="11"/>
  <c r="E523" i="11"/>
  <c r="I523" i="11"/>
  <c r="C522" i="11"/>
  <c r="E522" i="11"/>
  <c r="I522" i="11"/>
  <c r="C521" i="11"/>
  <c r="E521" i="11"/>
  <c r="I521" i="11"/>
  <c r="F521" i="11"/>
  <c r="J521" i="11"/>
  <c r="C520" i="11"/>
  <c r="E520" i="11"/>
  <c r="I520" i="11"/>
  <c r="C519" i="11"/>
  <c r="E519" i="11"/>
  <c r="I519" i="11"/>
  <c r="F519" i="11"/>
  <c r="J519" i="11"/>
  <c r="C518" i="11"/>
  <c r="E518" i="11"/>
  <c r="I518" i="11"/>
  <c r="C517" i="11"/>
  <c r="E517" i="11"/>
  <c r="I517" i="11"/>
  <c r="F517" i="11"/>
  <c r="J517" i="11"/>
  <c r="C516" i="11"/>
  <c r="E516" i="11"/>
  <c r="I516" i="11"/>
  <c r="F516" i="11"/>
  <c r="J516" i="11"/>
  <c r="C515" i="11"/>
  <c r="E515" i="11"/>
  <c r="I515" i="11"/>
  <c r="F515" i="11"/>
  <c r="J515" i="11"/>
  <c r="C514" i="11"/>
  <c r="E514" i="11"/>
  <c r="I514" i="11"/>
  <c r="F514" i="11"/>
  <c r="J514" i="11"/>
  <c r="C513" i="11"/>
  <c r="E513" i="11"/>
  <c r="I513" i="11"/>
  <c r="F513" i="11"/>
  <c r="J513" i="11"/>
  <c r="C512" i="11"/>
  <c r="E512" i="11"/>
  <c r="I512" i="11"/>
  <c r="F512" i="11"/>
  <c r="J512" i="11"/>
  <c r="C511" i="11"/>
  <c r="E511" i="11"/>
  <c r="I511" i="11"/>
  <c r="F511" i="11"/>
  <c r="J511" i="11"/>
  <c r="C510" i="11"/>
  <c r="E510" i="11"/>
  <c r="I510" i="11"/>
  <c r="C509" i="11"/>
  <c r="E509" i="11"/>
  <c r="I509" i="11"/>
  <c r="F509" i="11"/>
  <c r="J509" i="11"/>
  <c r="C508" i="11"/>
  <c r="E508" i="11"/>
  <c r="I508" i="11"/>
  <c r="F508" i="11"/>
  <c r="J508" i="11"/>
  <c r="C507" i="11"/>
  <c r="E507" i="11"/>
  <c r="I507" i="11"/>
  <c r="F507" i="11"/>
  <c r="J507" i="11"/>
  <c r="C506" i="11"/>
  <c r="E506" i="11"/>
  <c r="I506" i="11"/>
  <c r="F506" i="11"/>
  <c r="J506" i="11"/>
  <c r="C505" i="11"/>
  <c r="E505" i="11"/>
  <c r="I505" i="11"/>
  <c r="C504" i="11"/>
  <c r="E504" i="11"/>
  <c r="I504" i="11"/>
  <c r="F504" i="11"/>
  <c r="J504" i="11"/>
  <c r="C503" i="11"/>
  <c r="E503" i="11"/>
  <c r="I503" i="11"/>
  <c r="C502" i="11"/>
  <c r="E502" i="11"/>
  <c r="I502" i="11"/>
  <c r="F502" i="11"/>
  <c r="J502" i="11"/>
  <c r="C501" i="11"/>
  <c r="E501" i="11"/>
  <c r="I501" i="11"/>
  <c r="C500" i="11"/>
  <c r="E500" i="11"/>
  <c r="I500" i="11"/>
  <c r="C499" i="11"/>
  <c r="E499" i="11"/>
  <c r="I499" i="11"/>
  <c r="C498" i="11"/>
  <c r="E498" i="11"/>
  <c r="I498" i="11"/>
  <c r="C497" i="11"/>
  <c r="E497" i="11"/>
  <c r="I497" i="11"/>
  <c r="F497" i="11"/>
  <c r="J497" i="11"/>
  <c r="C496" i="11"/>
  <c r="E496" i="11"/>
  <c r="I496" i="11"/>
  <c r="C495" i="11"/>
  <c r="E495" i="11"/>
  <c r="I495" i="11"/>
  <c r="F495" i="11"/>
  <c r="J495" i="11"/>
  <c r="F537" i="11"/>
  <c r="J537" i="11"/>
  <c r="J37" i="8"/>
  <c r="K37" i="8"/>
  <c r="L37" i="8"/>
  <c r="M37" i="8"/>
  <c r="N37" i="8"/>
  <c r="I10" i="8"/>
  <c r="I12" i="8"/>
  <c r="F630" i="11"/>
  <c r="J630" i="11"/>
  <c r="I15" i="8"/>
  <c r="I17" i="8"/>
  <c r="I19" i="8"/>
  <c r="I20" i="8"/>
  <c r="I22" i="8"/>
  <c r="I23" i="8"/>
  <c r="F576" i="11"/>
  <c r="J576" i="11"/>
  <c r="I25" i="8"/>
  <c r="I26" i="8"/>
  <c r="I27" i="8"/>
  <c r="I33" i="8"/>
  <c r="I36" i="8"/>
  <c r="I38" i="8"/>
  <c r="I39" i="8"/>
  <c r="I40" i="8"/>
  <c r="F539" i="11"/>
  <c r="J539" i="11"/>
  <c r="I42" i="8"/>
  <c r="F573" i="11"/>
  <c r="J573" i="11"/>
  <c r="I43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9" i="8"/>
  <c r="J20" i="8"/>
  <c r="J21" i="8"/>
  <c r="J22" i="8"/>
  <c r="J23" i="8"/>
  <c r="J24" i="8"/>
  <c r="J25" i="8"/>
  <c r="J26" i="8"/>
  <c r="J27" i="8"/>
  <c r="J28" i="8"/>
  <c r="J29" i="8"/>
  <c r="J31" i="8"/>
  <c r="J32" i="8"/>
  <c r="J33" i="8"/>
  <c r="J34" i="8"/>
  <c r="J35" i="8"/>
  <c r="J36" i="8"/>
  <c r="J38" i="8"/>
  <c r="J39" i="8"/>
  <c r="J40" i="8"/>
  <c r="J41" i="8"/>
  <c r="J42" i="8"/>
  <c r="J43" i="8"/>
  <c r="J44" i="8"/>
  <c r="J45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9" i="8"/>
  <c r="K20" i="8"/>
  <c r="K21" i="8"/>
  <c r="K22" i="8"/>
  <c r="K23" i="8"/>
  <c r="K24" i="8"/>
  <c r="K25" i="8"/>
  <c r="K26" i="8"/>
  <c r="K27" i="8"/>
  <c r="K28" i="8"/>
  <c r="K29" i="8"/>
  <c r="K31" i="8"/>
  <c r="K32" i="8"/>
  <c r="K33" i="8"/>
  <c r="K34" i="8"/>
  <c r="K35" i="8"/>
  <c r="K36" i="8"/>
  <c r="K38" i="8"/>
  <c r="K39" i="8"/>
  <c r="K40" i="8"/>
  <c r="K41" i="8"/>
  <c r="K42" i="8"/>
  <c r="K43" i="8"/>
  <c r="K44" i="8"/>
  <c r="K4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9" i="8"/>
  <c r="L20" i="8"/>
  <c r="L21" i="8"/>
  <c r="L22" i="8"/>
  <c r="L23" i="8"/>
  <c r="L24" i="8"/>
  <c r="L25" i="8"/>
  <c r="L26" i="8"/>
  <c r="L27" i="8"/>
  <c r="L28" i="8"/>
  <c r="L29" i="8"/>
  <c r="L31" i="8"/>
  <c r="L32" i="8"/>
  <c r="L33" i="8"/>
  <c r="L34" i="8"/>
  <c r="L35" i="8"/>
  <c r="L36" i="8"/>
  <c r="L38" i="8"/>
  <c r="L39" i="8"/>
  <c r="L40" i="8"/>
  <c r="L41" i="8"/>
  <c r="L42" i="8"/>
  <c r="L43" i="8"/>
  <c r="L44" i="8"/>
  <c r="L45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9" i="8"/>
  <c r="M20" i="8"/>
  <c r="M21" i="8"/>
  <c r="M22" i="8"/>
  <c r="M23" i="8"/>
  <c r="M24" i="8"/>
  <c r="M25" i="8"/>
  <c r="M26" i="8"/>
  <c r="M27" i="8"/>
  <c r="M28" i="8"/>
  <c r="M29" i="8"/>
  <c r="M31" i="8"/>
  <c r="M32" i="8"/>
  <c r="M33" i="8"/>
  <c r="M34" i="8"/>
  <c r="M35" i="8"/>
  <c r="M36" i="8"/>
  <c r="M38" i="8"/>
  <c r="M39" i="8"/>
  <c r="M40" i="8"/>
  <c r="M41" i="8"/>
  <c r="M42" i="8"/>
  <c r="M43" i="8"/>
  <c r="M44" i="8"/>
  <c r="M45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9" i="8"/>
  <c r="N20" i="8"/>
  <c r="N21" i="8"/>
  <c r="N22" i="8"/>
  <c r="N23" i="8"/>
  <c r="N24" i="8"/>
  <c r="N25" i="8"/>
  <c r="N26" i="8"/>
  <c r="N27" i="8"/>
  <c r="N28" i="8"/>
  <c r="N29" i="8"/>
  <c r="N31" i="8"/>
  <c r="N32" i="8"/>
  <c r="N33" i="8"/>
  <c r="N34" i="8"/>
  <c r="N35" i="8"/>
  <c r="N36" i="8"/>
  <c r="N38" i="8"/>
  <c r="N39" i="8"/>
  <c r="N40" i="8"/>
  <c r="N41" i="8"/>
  <c r="N42" i="8"/>
  <c r="N43" i="8"/>
  <c r="N44" i="8"/>
  <c r="N45" i="8"/>
  <c r="D36" i="8"/>
  <c r="P36" i="8"/>
  <c r="D32" i="8"/>
  <c r="P32" i="8"/>
  <c r="D27" i="8"/>
  <c r="P27" i="8"/>
  <c r="D23" i="8"/>
  <c r="D19" i="8"/>
  <c r="P19" i="8"/>
  <c r="D14" i="8"/>
  <c r="P14" i="8"/>
  <c r="D10" i="8"/>
  <c r="P10" i="8"/>
  <c r="D6" i="8"/>
  <c r="D40" i="8"/>
  <c r="P40" i="8"/>
  <c r="E33" i="8"/>
  <c r="R33" i="8"/>
  <c r="E28" i="8"/>
  <c r="Q28" i="8"/>
  <c r="E24" i="8"/>
  <c r="R24" i="8"/>
  <c r="E20" i="8"/>
  <c r="Q20" i="8"/>
  <c r="E15" i="8"/>
  <c r="R15" i="8"/>
  <c r="E11" i="8"/>
  <c r="Q11" i="8"/>
  <c r="E7" i="8"/>
  <c r="Q7" i="8"/>
  <c r="D44" i="8"/>
  <c r="P44" i="8"/>
  <c r="E44" i="8"/>
  <c r="C128" i="17"/>
  <c r="E40" i="8"/>
  <c r="C124" i="17"/>
  <c r="E36" i="8"/>
  <c r="E32" i="8"/>
  <c r="E27" i="8"/>
  <c r="E23" i="8"/>
  <c r="E19" i="8"/>
  <c r="E14" i="8"/>
  <c r="E10" i="8"/>
  <c r="E6" i="8"/>
  <c r="D43" i="8"/>
  <c r="D35" i="8"/>
  <c r="C119" i="17"/>
  <c r="D31" i="8"/>
  <c r="C115" i="17"/>
  <c r="D26" i="8"/>
  <c r="C110" i="17"/>
  <c r="D22" i="8"/>
  <c r="C106" i="17"/>
  <c r="D17" i="8"/>
  <c r="C101" i="17"/>
  <c r="D13" i="8"/>
  <c r="C97" i="17"/>
  <c r="D9" i="8"/>
  <c r="C93" i="17"/>
  <c r="D5" i="8"/>
  <c r="C89" i="17"/>
  <c r="E43" i="8"/>
  <c r="R43" i="8"/>
  <c r="D42" i="8"/>
  <c r="D34" i="8"/>
  <c r="C118" i="17"/>
  <c r="D29" i="8"/>
  <c r="C113" i="17"/>
  <c r="D25" i="8"/>
  <c r="C109" i="17"/>
  <c r="D21" i="8"/>
  <c r="C105" i="17"/>
  <c r="D16" i="8"/>
  <c r="C100" i="17"/>
  <c r="D12" i="8"/>
  <c r="C96" i="17"/>
  <c r="D8" i="8"/>
  <c r="E42" i="8"/>
  <c r="C126" i="17"/>
  <c r="E34" i="8"/>
  <c r="E29" i="8"/>
  <c r="Q29" i="8"/>
  <c r="E25" i="8"/>
  <c r="E21" i="8"/>
  <c r="Q21" i="8"/>
  <c r="E16" i="8"/>
  <c r="E12" i="8"/>
  <c r="Q12" i="8"/>
  <c r="E8" i="8"/>
  <c r="D45" i="8"/>
  <c r="P45" i="8"/>
  <c r="D41" i="8"/>
  <c r="O41" i="8"/>
  <c r="D33" i="8"/>
  <c r="C117" i="17"/>
  <c r="D28" i="8"/>
  <c r="C112" i="17"/>
  <c r="D24" i="8"/>
  <c r="C108" i="17"/>
  <c r="D20" i="8"/>
  <c r="C104" i="17"/>
  <c r="D15" i="8"/>
  <c r="C99" i="17"/>
  <c r="D11" i="8"/>
  <c r="C95" i="17"/>
  <c r="D7" i="8"/>
  <c r="C91" i="17"/>
  <c r="E39" i="8"/>
  <c r="Q39" i="8"/>
  <c r="E38" i="8"/>
  <c r="Q38" i="8"/>
  <c r="D39" i="8"/>
  <c r="C123" i="17"/>
  <c r="D38" i="8"/>
  <c r="C122" i="17"/>
  <c r="E37" i="8"/>
  <c r="R37" i="8"/>
  <c r="D37" i="8"/>
  <c r="C121" i="17"/>
  <c r="E45" i="8"/>
  <c r="C129" i="17"/>
  <c r="E41" i="8"/>
  <c r="C125" i="17"/>
  <c r="E35" i="8"/>
  <c r="E31" i="8"/>
  <c r="E26" i="8"/>
  <c r="E22" i="8"/>
  <c r="E17" i="8"/>
  <c r="E13" i="8"/>
  <c r="E9" i="8"/>
  <c r="E5" i="8"/>
  <c r="P5" i="8"/>
  <c r="P9" i="8"/>
  <c r="R20" i="8"/>
  <c r="O40" i="8"/>
  <c r="P26" i="8"/>
  <c r="O26" i="8"/>
  <c r="O16" i="8"/>
  <c r="R38" i="8"/>
  <c r="Q33" i="8"/>
  <c r="O9" i="8"/>
  <c r="O34" i="8"/>
  <c r="O25" i="8"/>
  <c r="O45" i="8"/>
  <c r="R11" i="8"/>
  <c r="O35" i="8"/>
  <c r="R28" i="8"/>
  <c r="O17" i="8"/>
  <c r="Q24" i="8"/>
  <c r="R7" i="8"/>
  <c r="O6" i="8"/>
  <c r="C90" i="17"/>
  <c r="O23" i="8"/>
  <c r="C107" i="17"/>
  <c r="O8" i="8"/>
  <c r="C92" i="17"/>
  <c r="Q43" i="8"/>
  <c r="C127" i="17"/>
  <c r="O10" i="8"/>
  <c r="C94" i="17"/>
  <c r="O27" i="8"/>
  <c r="C111" i="17"/>
  <c r="O14" i="8"/>
  <c r="C98" i="17"/>
  <c r="O32" i="8"/>
  <c r="C116" i="17"/>
  <c r="O19" i="8"/>
  <c r="C103" i="17"/>
  <c r="O36" i="8"/>
  <c r="C120" i="17"/>
  <c r="O5" i="8"/>
  <c r="P22" i="8"/>
  <c r="P23" i="8"/>
  <c r="O22" i="8"/>
  <c r="P41" i="8"/>
  <c r="P6" i="8"/>
  <c r="P15" i="8"/>
  <c r="O15" i="8"/>
  <c r="O33" i="8"/>
  <c r="P33" i="8"/>
  <c r="P25" i="8"/>
  <c r="R27" i="8"/>
  <c r="Q27" i="8"/>
  <c r="P20" i="8"/>
  <c r="O20" i="8"/>
  <c r="Q16" i="8"/>
  <c r="R16" i="8"/>
  <c r="P29" i="8"/>
  <c r="O29" i="8"/>
  <c r="R14" i="8"/>
  <c r="Q14" i="8"/>
  <c r="R12" i="8"/>
  <c r="O13" i="8"/>
  <c r="O31" i="8"/>
  <c r="O44" i="8"/>
  <c r="Q15" i="8"/>
  <c r="P7" i="8"/>
  <c r="O7" i="8"/>
  <c r="O24" i="8"/>
  <c r="P24" i="8"/>
  <c r="R42" i="8"/>
  <c r="Q42" i="8"/>
  <c r="P16" i="8"/>
  <c r="P34" i="8"/>
  <c r="P43" i="8"/>
  <c r="O43" i="8"/>
  <c r="R19" i="8"/>
  <c r="Q19" i="8"/>
  <c r="R36" i="8"/>
  <c r="Q36" i="8"/>
  <c r="R21" i="8"/>
  <c r="P8" i="8"/>
  <c r="O42" i="8"/>
  <c r="P42" i="8"/>
  <c r="R10" i="8"/>
  <c r="Q10" i="8"/>
  <c r="Q44" i="8"/>
  <c r="R44" i="8"/>
  <c r="P13" i="8"/>
  <c r="P31" i="8"/>
  <c r="Q34" i="8"/>
  <c r="R34" i="8"/>
  <c r="P12" i="8"/>
  <c r="O12" i="8"/>
  <c r="R32" i="8"/>
  <c r="Q32" i="8"/>
  <c r="P17" i="8"/>
  <c r="P35" i="8"/>
  <c r="Q37" i="8"/>
  <c r="O37" i="8"/>
  <c r="O11" i="8"/>
  <c r="P11" i="8"/>
  <c r="O28" i="8"/>
  <c r="P28" i="8"/>
  <c r="Q8" i="8"/>
  <c r="R8" i="8"/>
  <c r="Q25" i="8"/>
  <c r="R25" i="8"/>
  <c r="P21" i="8"/>
  <c r="O21" i="8"/>
  <c r="R6" i="8"/>
  <c r="Q6" i="8"/>
  <c r="R23" i="8"/>
  <c r="Q23" i="8"/>
  <c r="Q40" i="8"/>
  <c r="R40" i="8"/>
  <c r="R29" i="8"/>
  <c r="O39" i="8"/>
  <c r="P39" i="8"/>
  <c r="R39" i="8"/>
  <c r="O38" i="8"/>
  <c r="P38" i="8"/>
  <c r="P37" i="8"/>
  <c r="R9" i="8"/>
  <c r="Q9" i="8"/>
  <c r="R26" i="8"/>
  <c r="Q26" i="8"/>
  <c r="Q5" i="8"/>
  <c r="R5" i="8"/>
  <c r="Q13" i="8"/>
  <c r="R13" i="8"/>
  <c r="Q31" i="8"/>
  <c r="R31" i="8"/>
  <c r="Q41" i="8"/>
  <c r="R41" i="8"/>
  <c r="Q22" i="8"/>
  <c r="R22" i="8"/>
  <c r="R17" i="8"/>
  <c r="Q17" i="8"/>
  <c r="R35" i="8"/>
  <c r="Q35" i="8"/>
  <c r="R45" i="8"/>
  <c r="Q45" i="8"/>
  <c r="C67" i="16"/>
  <c r="C494" i="11"/>
  <c r="E494" i="11"/>
  <c r="I494" i="11"/>
  <c r="F494" i="11"/>
  <c r="J494" i="11"/>
  <c r="C493" i="11"/>
  <c r="E493" i="11"/>
  <c r="I493" i="11"/>
  <c r="F493" i="11"/>
  <c r="J493" i="11"/>
  <c r="C492" i="11"/>
  <c r="E492" i="11"/>
  <c r="I492" i="11"/>
  <c r="C491" i="11"/>
  <c r="E491" i="11"/>
  <c r="I491" i="11"/>
  <c r="F491" i="11"/>
  <c r="J491" i="11"/>
  <c r="C490" i="11"/>
  <c r="E490" i="11"/>
  <c r="I490" i="11"/>
  <c r="C489" i="11"/>
  <c r="E489" i="11"/>
  <c r="I489" i="11"/>
  <c r="C488" i="11"/>
  <c r="E488" i="11"/>
  <c r="I488" i="11"/>
  <c r="F488" i="11"/>
  <c r="J488" i="11"/>
  <c r="C487" i="11"/>
  <c r="E487" i="11"/>
  <c r="I487" i="11"/>
  <c r="C486" i="11"/>
  <c r="E486" i="11"/>
  <c r="I486" i="11"/>
  <c r="F486" i="11"/>
  <c r="J486" i="11"/>
  <c r="C485" i="11"/>
  <c r="E485" i="11"/>
  <c r="I485" i="11"/>
  <c r="F485" i="11"/>
  <c r="J485" i="11"/>
  <c r="C484" i="11"/>
  <c r="E484" i="11"/>
  <c r="I484" i="11"/>
  <c r="C483" i="11"/>
  <c r="E483" i="11"/>
  <c r="I483" i="11"/>
  <c r="F483" i="11"/>
  <c r="J483" i="11"/>
  <c r="C482" i="11"/>
  <c r="E482" i="11"/>
  <c r="I482" i="11"/>
  <c r="C481" i="11"/>
  <c r="E481" i="11"/>
  <c r="I481" i="11"/>
  <c r="C480" i="11"/>
  <c r="E480" i="11"/>
  <c r="I480" i="11"/>
  <c r="C479" i="11"/>
  <c r="E479" i="11"/>
  <c r="I479" i="11"/>
  <c r="C478" i="11"/>
  <c r="E478" i="11"/>
  <c r="I478" i="11"/>
  <c r="F478" i="11"/>
  <c r="J478" i="11"/>
  <c r="G44" i="12"/>
  <c r="C477" i="11"/>
  <c r="E477" i="11"/>
  <c r="I477" i="11"/>
  <c r="F477" i="11"/>
  <c r="J477" i="11"/>
  <c r="C476" i="11"/>
  <c r="E476" i="11"/>
  <c r="I476" i="11"/>
  <c r="F476" i="11"/>
  <c r="J476" i="11"/>
  <c r="C475" i="11"/>
  <c r="E475" i="11"/>
  <c r="I475" i="11"/>
  <c r="C474" i="11"/>
  <c r="E474" i="11"/>
  <c r="I474" i="11"/>
  <c r="C473" i="11"/>
  <c r="E473" i="11"/>
  <c r="I473" i="11"/>
  <c r="C472" i="11"/>
  <c r="E472" i="11"/>
  <c r="I472" i="11"/>
  <c r="C471" i="11"/>
  <c r="E471" i="11"/>
  <c r="I471" i="11"/>
  <c r="C470" i="11"/>
  <c r="E470" i="11"/>
  <c r="I470" i="11"/>
  <c r="C469" i="11"/>
  <c r="E469" i="11"/>
  <c r="I469" i="11"/>
  <c r="C468" i="11"/>
  <c r="E468" i="11"/>
  <c r="I468" i="11"/>
  <c r="F468" i="11"/>
  <c r="J468" i="11"/>
  <c r="C467" i="11"/>
  <c r="E467" i="11"/>
  <c r="I467" i="11"/>
  <c r="C466" i="11"/>
  <c r="E466" i="11"/>
  <c r="I466" i="11"/>
  <c r="C465" i="11"/>
  <c r="E465" i="11"/>
  <c r="I465" i="11"/>
  <c r="F465" i="11"/>
  <c r="J465" i="11"/>
  <c r="C464" i="11"/>
  <c r="E464" i="11"/>
  <c r="I464" i="11"/>
  <c r="F464" i="11"/>
  <c r="J464" i="11"/>
  <c r="C463" i="11"/>
  <c r="E463" i="11"/>
  <c r="I463" i="11"/>
  <c r="F463" i="11"/>
  <c r="J463" i="11"/>
  <c r="G43" i="12"/>
  <c r="C462" i="11"/>
  <c r="E462" i="11"/>
  <c r="I462" i="11"/>
  <c r="C461" i="11"/>
  <c r="E461" i="11"/>
  <c r="I461" i="11"/>
  <c r="C460" i="11"/>
  <c r="E460" i="11"/>
  <c r="I460" i="11"/>
  <c r="C459" i="11"/>
  <c r="E459" i="11"/>
  <c r="I459" i="11"/>
  <c r="C458" i="11"/>
  <c r="E458" i="11"/>
  <c r="I458" i="11"/>
  <c r="F458" i="11"/>
  <c r="J458" i="11"/>
  <c r="C457" i="11"/>
  <c r="E457" i="11"/>
  <c r="I457" i="11"/>
  <c r="C456" i="11"/>
  <c r="E456" i="11"/>
  <c r="I456" i="11"/>
  <c r="F456" i="11"/>
  <c r="J456" i="11"/>
  <c r="C455" i="11"/>
  <c r="E455" i="11"/>
  <c r="I455" i="11"/>
  <c r="C454" i="11"/>
  <c r="E454" i="11"/>
  <c r="I454" i="11"/>
  <c r="F454" i="11"/>
  <c r="J454" i="11"/>
  <c r="C453" i="11"/>
  <c r="E453" i="11"/>
  <c r="I453" i="11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64" i="16"/>
  <c r="I163" i="16"/>
  <c r="I162" i="16"/>
  <c r="I161" i="16"/>
  <c r="I160" i="16"/>
  <c r="I159" i="16"/>
  <c r="I158" i="16"/>
  <c r="I157" i="16"/>
  <c r="I156" i="16"/>
  <c r="I153" i="16"/>
  <c r="I152" i="16"/>
  <c r="I150" i="16"/>
  <c r="I149" i="16"/>
  <c r="I148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0" i="16"/>
  <c r="C147" i="16"/>
  <c r="C145" i="16"/>
  <c r="C144" i="16"/>
  <c r="C143" i="16"/>
  <c r="C142" i="16"/>
  <c r="C141" i="16"/>
  <c r="C139" i="16"/>
  <c r="C135" i="16"/>
  <c r="C134" i="16"/>
  <c r="C132" i="16"/>
  <c r="C130" i="16"/>
  <c r="I144" i="16"/>
  <c r="I143" i="16"/>
  <c r="I142" i="16"/>
  <c r="I141" i="16"/>
  <c r="I140" i="16"/>
  <c r="I139" i="16"/>
  <c r="I138" i="16"/>
  <c r="I137" i="16"/>
  <c r="I115" i="16"/>
  <c r="I114" i="16"/>
  <c r="I113" i="16"/>
  <c r="I112" i="16"/>
  <c r="I111" i="16"/>
  <c r="I110" i="16"/>
  <c r="I109" i="16"/>
  <c r="I108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C126" i="16"/>
  <c r="C125" i="16"/>
  <c r="C124" i="16"/>
  <c r="C123" i="16"/>
  <c r="C122" i="16"/>
  <c r="C121" i="16"/>
  <c r="C120" i="16"/>
  <c r="C119" i="16"/>
  <c r="C118" i="16"/>
  <c r="C116" i="16"/>
  <c r="C115" i="16"/>
  <c r="C114" i="16"/>
  <c r="C113" i="16"/>
  <c r="C112" i="16"/>
  <c r="C110" i="16"/>
  <c r="C109" i="16"/>
  <c r="C108" i="16"/>
  <c r="C107" i="16"/>
  <c r="C106" i="16"/>
  <c r="C105" i="16"/>
  <c r="C104" i="16"/>
  <c r="C103" i="16"/>
  <c r="C102" i="16"/>
  <c r="C101" i="16"/>
  <c r="C100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I83" i="16"/>
  <c r="I82" i="16"/>
  <c r="I81" i="16"/>
  <c r="I80" i="16"/>
  <c r="I79" i="16"/>
  <c r="I78" i="16"/>
  <c r="I77" i="16"/>
  <c r="I76" i="16"/>
  <c r="I75" i="16"/>
  <c r="C83" i="16"/>
  <c r="C82" i="16"/>
  <c r="C81" i="16"/>
  <c r="C80" i="16"/>
  <c r="C79" i="16"/>
  <c r="C78" i="16"/>
  <c r="C77" i="16"/>
  <c r="C76" i="16"/>
  <c r="C75" i="16"/>
  <c r="C74" i="16"/>
  <c r="I71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5" i="16"/>
  <c r="I44" i="16"/>
  <c r="I43" i="16"/>
  <c r="I42" i="16"/>
  <c r="I41" i="16"/>
  <c r="I40" i="16"/>
  <c r="I39" i="16"/>
  <c r="I38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6" i="16"/>
  <c r="I15" i="16"/>
  <c r="I13" i="16"/>
  <c r="I12" i="16"/>
  <c r="I11" i="16"/>
  <c r="I10" i="16"/>
  <c r="I8" i="16"/>
  <c r="I7" i="16"/>
  <c r="I6" i="16"/>
  <c r="I5" i="16"/>
  <c r="I4" i="16"/>
  <c r="C68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4" i="16"/>
  <c r="C33" i="16"/>
  <c r="C32" i="16"/>
  <c r="C31" i="16"/>
  <c r="C30" i="16"/>
  <c r="C28" i="16"/>
  <c r="C27" i="16"/>
  <c r="C26" i="16"/>
  <c r="C25" i="16"/>
  <c r="C24" i="16"/>
  <c r="C23" i="16"/>
  <c r="C22" i="16"/>
  <c r="C21" i="16"/>
  <c r="C20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G42" i="12"/>
  <c r="C451" i="11"/>
  <c r="E451" i="11"/>
  <c r="I451" i="11"/>
  <c r="C452" i="11"/>
  <c r="E452" i="11"/>
  <c r="I452" i="11"/>
  <c r="C450" i="11"/>
  <c r="E450" i="11"/>
  <c r="I450" i="11"/>
  <c r="C449" i="11"/>
  <c r="E449" i="11"/>
  <c r="I449" i="11"/>
  <c r="C436" i="11"/>
  <c r="E436" i="11"/>
  <c r="I436" i="11"/>
  <c r="C437" i="11"/>
  <c r="E437" i="11"/>
  <c r="I437" i="11"/>
  <c r="C448" i="11"/>
  <c r="E448" i="11"/>
  <c r="I448" i="11"/>
  <c r="C442" i="11"/>
  <c r="C443" i="11"/>
  <c r="C444" i="11"/>
  <c r="C445" i="11"/>
  <c r="C446" i="11"/>
  <c r="C447" i="11"/>
  <c r="E442" i="11"/>
  <c r="I442" i="11"/>
  <c r="E443" i="11"/>
  <c r="I443" i="11"/>
  <c r="E444" i="11"/>
  <c r="I444" i="11"/>
  <c r="E445" i="11"/>
  <c r="I445" i="11"/>
  <c r="E446" i="11"/>
  <c r="I446" i="11"/>
  <c r="E447" i="11"/>
  <c r="I447" i="11"/>
  <c r="C441" i="11"/>
  <c r="E441" i="11"/>
  <c r="I441" i="11"/>
  <c r="G41" i="12"/>
  <c r="G40" i="12"/>
  <c r="F924" i="11"/>
  <c r="J924" i="11"/>
  <c r="J61" i="2"/>
  <c r="K61" i="2"/>
  <c r="L61" i="2"/>
  <c r="M61" i="2"/>
  <c r="N61" i="2"/>
  <c r="I62" i="2"/>
  <c r="J62" i="2"/>
  <c r="K62" i="2"/>
  <c r="L62" i="2"/>
  <c r="M62" i="2"/>
  <c r="N62" i="2"/>
  <c r="G39" i="12"/>
  <c r="G37" i="12"/>
  <c r="G36" i="12"/>
  <c r="I12" i="2"/>
  <c r="J12" i="2"/>
  <c r="K12" i="2"/>
  <c r="L12" i="2"/>
  <c r="M12" i="2"/>
  <c r="N12" i="2"/>
  <c r="G35" i="12"/>
  <c r="H6" i="7"/>
  <c r="I6" i="7"/>
  <c r="J6" i="7"/>
  <c r="K6" i="7"/>
  <c r="L6" i="7"/>
  <c r="M6" i="7"/>
  <c r="G34" i="12"/>
  <c r="G33" i="12"/>
  <c r="G32" i="12"/>
  <c r="G31" i="12"/>
  <c r="G30" i="12"/>
  <c r="G29" i="12"/>
  <c r="G28" i="12"/>
  <c r="G27" i="12"/>
  <c r="G26" i="12"/>
  <c r="G25" i="12"/>
  <c r="I9" i="10"/>
  <c r="J9" i="10"/>
  <c r="K9" i="10"/>
  <c r="L9" i="10"/>
  <c r="M9" i="10"/>
  <c r="N9" i="10"/>
  <c r="C330" i="11"/>
  <c r="E61" i="2"/>
  <c r="D61" i="2"/>
  <c r="E62" i="2"/>
  <c r="D62" i="2"/>
  <c r="E12" i="2"/>
  <c r="D12" i="2"/>
  <c r="D6" i="7"/>
  <c r="C6" i="7"/>
  <c r="G76" i="17"/>
  <c r="E9" i="10"/>
  <c r="R9" i="10"/>
  <c r="D9" i="10"/>
  <c r="G24" i="12"/>
  <c r="H9" i="7"/>
  <c r="I9" i="7"/>
  <c r="J9" i="7"/>
  <c r="K9" i="7"/>
  <c r="L9" i="7"/>
  <c r="M9" i="7"/>
  <c r="K60" i="2"/>
  <c r="M60" i="2"/>
  <c r="D60" i="2"/>
  <c r="K59" i="2"/>
  <c r="M59" i="2"/>
  <c r="D59" i="2"/>
  <c r="G61" i="17"/>
  <c r="O9" i="10"/>
  <c r="C158" i="17"/>
  <c r="Q9" i="10"/>
  <c r="O61" i="2"/>
  <c r="P61" i="2"/>
  <c r="Q61" i="2"/>
  <c r="R61" i="2"/>
  <c r="O62" i="2"/>
  <c r="P62" i="2"/>
  <c r="Q62" i="2"/>
  <c r="R62" i="2"/>
  <c r="O12" i="2"/>
  <c r="P12" i="2"/>
  <c r="Q12" i="2"/>
  <c r="R12" i="2"/>
  <c r="N6" i="7"/>
  <c r="O6" i="7"/>
  <c r="P6" i="7"/>
  <c r="Q6" i="7"/>
  <c r="P9" i="10"/>
  <c r="D9" i="7"/>
  <c r="C9" i="7"/>
  <c r="G79" i="17"/>
  <c r="G23" i="12"/>
  <c r="P9" i="7"/>
  <c r="N9" i="7"/>
  <c r="Q9" i="7"/>
  <c r="O9" i="7"/>
  <c r="G15" i="12"/>
  <c r="I21" i="5"/>
  <c r="J21" i="5"/>
  <c r="K21" i="5"/>
  <c r="L21" i="5"/>
  <c r="M21" i="5"/>
  <c r="N21" i="5"/>
  <c r="I14" i="4"/>
  <c r="J14" i="4"/>
  <c r="K14" i="4"/>
  <c r="L14" i="4"/>
  <c r="M14" i="4"/>
  <c r="N14" i="4"/>
  <c r="H12" i="7"/>
  <c r="I12" i="7"/>
  <c r="J12" i="7"/>
  <c r="K12" i="7"/>
  <c r="L12" i="7"/>
  <c r="M12" i="7"/>
  <c r="F459" i="11"/>
  <c r="J459" i="11"/>
  <c r="J20" i="10"/>
  <c r="K20" i="10"/>
  <c r="L20" i="10"/>
  <c r="M20" i="10"/>
  <c r="N20" i="10"/>
  <c r="I13" i="9"/>
  <c r="J13" i="9"/>
  <c r="K13" i="9"/>
  <c r="L13" i="9"/>
  <c r="M13" i="9"/>
  <c r="N13" i="9"/>
  <c r="E14" i="4"/>
  <c r="R14" i="4"/>
  <c r="D14" i="4"/>
  <c r="E20" i="10"/>
  <c r="R20" i="10"/>
  <c r="D21" i="5"/>
  <c r="G105" i="17"/>
  <c r="E21" i="5"/>
  <c r="D12" i="7"/>
  <c r="C12" i="7"/>
  <c r="G82" i="17"/>
  <c r="D20" i="10"/>
  <c r="E13" i="9"/>
  <c r="D13" i="9"/>
  <c r="G166" i="17"/>
  <c r="O20" i="10"/>
  <c r="C169" i="17"/>
  <c r="O14" i="4"/>
  <c r="C83" i="17"/>
  <c r="Q13" i="9"/>
  <c r="Q12" i="7"/>
  <c r="R21" i="5"/>
  <c r="Q14" i="4"/>
  <c r="Q20" i="10"/>
  <c r="P14" i="4"/>
  <c r="N12" i="7"/>
  <c r="O13" i="9"/>
  <c r="O21" i="5"/>
  <c r="P20" i="10"/>
  <c r="P21" i="5"/>
  <c r="Q21" i="5"/>
  <c r="R13" i="9"/>
  <c r="P13" i="9"/>
  <c r="O12" i="7"/>
  <c r="P12" i="7"/>
  <c r="C324" i="11"/>
  <c r="C325" i="11"/>
  <c r="C326" i="11"/>
  <c r="C327" i="11"/>
  <c r="C328" i="11"/>
  <c r="C329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8" i="11"/>
  <c r="C439" i="11"/>
  <c r="C440" i="11"/>
  <c r="E324" i="11"/>
  <c r="I324" i="11"/>
  <c r="E325" i="11"/>
  <c r="I325" i="11"/>
  <c r="E326" i="11"/>
  <c r="I326" i="11"/>
  <c r="E327" i="11"/>
  <c r="I327" i="11"/>
  <c r="E328" i="11"/>
  <c r="I328" i="11"/>
  <c r="E329" i="11"/>
  <c r="I329" i="11"/>
  <c r="E330" i="11"/>
  <c r="I330" i="11"/>
  <c r="E331" i="11"/>
  <c r="I331" i="11"/>
  <c r="E332" i="11"/>
  <c r="I332" i="11"/>
  <c r="E333" i="11"/>
  <c r="I333" i="11"/>
  <c r="E334" i="11"/>
  <c r="I334" i="11"/>
  <c r="E335" i="11"/>
  <c r="I335" i="11"/>
  <c r="E336" i="11"/>
  <c r="I336" i="11"/>
  <c r="E337" i="11"/>
  <c r="I337" i="11"/>
  <c r="E338" i="11"/>
  <c r="I338" i="11"/>
  <c r="E339" i="11"/>
  <c r="I339" i="11"/>
  <c r="E340" i="11"/>
  <c r="I340" i="11"/>
  <c r="E341" i="11"/>
  <c r="I341" i="11"/>
  <c r="E342" i="11"/>
  <c r="I342" i="11"/>
  <c r="E343" i="11"/>
  <c r="I343" i="11"/>
  <c r="E344" i="11"/>
  <c r="I344" i="11"/>
  <c r="E345" i="11"/>
  <c r="I345" i="11"/>
  <c r="E346" i="11"/>
  <c r="I346" i="11"/>
  <c r="E347" i="11"/>
  <c r="I347" i="11"/>
  <c r="E348" i="11"/>
  <c r="I348" i="11"/>
  <c r="E349" i="11"/>
  <c r="I349" i="11"/>
  <c r="E350" i="11"/>
  <c r="I350" i="11"/>
  <c r="E351" i="11"/>
  <c r="I351" i="11"/>
  <c r="E352" i="11"/>
  <c r="I352" i="11"/>
  <c r="E353" i="11"/>
  <c r="I353" i="11"/>
  <c r="E354" i="11"/>
  <c r="I354" i="11"/>
  <c r="E355" i="11"/>
  <c r="I355" i="11"/>
  <c r="E356" i="11"/>
  <c r="I356" i="11"/>
  <c r="E357" i="11"/>
  <c r="I357" i="11"/>
  <c r="E358" i="11"/>
  <c r="I358" i="11"/>
  <c r="E359" i="11"/>
  <c r="I359" i="11"/>
  <c r="E360" i="11"/>
  <c r="I360" i="11"/>
  <c r="E361" i="11"/>
  <c r="I361" i="11"/>
  <c r="E362" i="11"/>
  <c r="I362" i="11"/>
  <c r="E363" i="11"/>
  <c r="I363" i="11"/>
  <c r="E364" i="11"/>
  <c r="I364" i="11"/>
  <c r="E365" i="11"/>
  <c r="I365" i="11"/>
  <c r="E366" i="11"/>
  <c r="I366" i="11"/>
  <c r="E367" i="11"/>
  <c r="I367" i="11"/>
  <c r="E368" i="11"/>
  <c r="I368" i="11"/>
  <c r="E369" i="11"/>
  <c r="I369" i="11"/>
  <c r="E370" i="11"/>
  <c r="I370" i="11"/>
  <c r="E371" i="11"/>
  <c r="I371" i="11"/>
  <c r="E372" i="11"/>
  <c r="I372" i="11"/>
  <c r="E373" i="11"/>
  <c r="I373" i="11"/>
  <c r="E374" i="11"/>
  <c r="I374" i="11"/>
  <c r="E375" i="11"/>
  <c r="I375" i="11"/>
  <c r="E376" i="11"/>
  <c r="I376" i="11"/>
  <c r="E377" i="11"/>
  <c r="I377" i="11"/>
  <c r="E378" i="11"/>
  <c r="I378" i="11"/>
  <c r="E379" i="11"/>
  <c r="I379" i="11"/>
  <c r="E380" i="11"/>
  <c r="I380" i="11"/>
  <c r="E381" i="11"/>
  <c r="I381" i="11"/>
  <c r="E382" i="11"/>
  <c r="I382" i="11"/>
  <c r="E383" i="11"/>
  <c r="I383" i="11"/>
  <c r="E384" i="11"/>
  <c r="I384" i="11"/>
  <c r="E385" i="11"/>
  <c r="I385" i="11"/>
  <c r="E386" i="11"/>
  <c r="I386" i="11"/>
  <c r="E387" i="11"/>
  <c r="I387" i="11"/>
  <c r="E388" i="11"/>
  <c r="I388" i="11"/>
  <c r="E389" i="11"/>
  <c r="I389" i="11"/>
  <c r="E390" i="11"/>
  <c r="I390" i="11"/>
  <c r="E391" i="11"/>
  <c r="I391" i="11"/>
  <c r="E392" i="11"/>
  <c r="I392" i="11"/>
  <c r="E393" i="11"/>
  <c r="I393" i="11"/>
  <c r="E394" i="11"/>
  <c r="I394" i="11"/>
  <c r="E395" i="11"/>
  <c r="I395" i="11"/>
  <c r="E396" i="11"/>
  <c r="I396" i="11"/>
  <c r="E397" i="11"/>
  <c r="I397" i="11"/>
  <c r="E398" i="11"/>
  <c r="I398" i="11"/>
  <c r="E399" i="11"/>
  <c r="I399" i="11"/>
  <c r="E400" i="11"/>
  <c r="I400" i="11"/>
  <c r="E401" i="11"/>
  <c r="I401" i="11"/>
  <c r="E402" i="11"/>
  <c r="I402" i="11"/>
  <c r="E403" i="11"/>
  <c r="I403" i="11"/>
  <c r="E404" i="11"/>
  <c r="I404" i="11"/>
  <c r="E405" i="11"/>
  <c r="I405" i="11"/>
  <c r="E406" i="11"/>
  <c r="I406" i="11"/>
  <c r="E407" i="11"/>
  <c r="I407" i="11"/>
  <c r="E408" i="11"/>
  <c r="I408" i="11"/>
  <c r="E409" i="11"/>
  <c r="I409" i="11"/>
  <c r="E410" i="11"/>
  <c r="I410" i="11"/>
  <c r="E411" i="11"/>
  <c r="I411" i="11"/>
  <c r="E412" i="11"/>
  <c r="I412" i="11"/>
  <c r="E413" i="11"/>
  <c r="I413" i="11"/>
  <c r="E414" i="11"/>
  <c r="I414" i="11"/>
  <c r="E415" i="11"/>
  <c r="I415" i="11"/>
  <c r="E416" i="11"/>
  <c r="I416" i="11"/>
  <c r="E417" i="11"/>
  <c r="I417" i="11"/>
  <c r="E418" i="11"/>
  <c r="I418" i="11"/>
  <c r="E419" i="11"/>
  <c r="I419" i="11"/>
  <c r="E420" i="11"/>
  <c r="I420" i="11"/>
  <c r="E421" i="11"/>
  <c r="I421" i="11"/>
  <c r="E422" i="11"/>
  <c r="I422" i="11"/>
  <c r="E423" i="11"/>
  <c r="I423" i="11"/>
  <c r="E424" i="11"/>
  <c r="I424" i="11"/>
  <c r="E425" i="11"/>
  <c r="I425" i="11"/>
  <c r="E426" i="11"/>
  <c r="I426" i="11"/>
  <c r="E427" i="11"/>
  <c r="I427" i="11"/>
  <c r="E428" i="11"/>
  <c r="I428" i="11"/>
  <c r="E429" i="11"/>
  <c r="I429" i="11"/>
  <c r="E430" i="11"/>
  <c r="I430" i="11"/>
  <c r="E431" i="11"/>
  <c r="I431" i="11"/>
  <c r="E432" i="11"/>
  <c r="I432" i="11"/>
  <c r="E433" i="11"/>
  <c r="I433" i="11"/>
  <c r="E434" i="11"/>
  <c r="I434" i="11"/>
  <c r="E435" i="11"/>
  <c r="I435" i="11"/>
  <c r="E438" i="11"/>
  <c r="I438" i="11"/>
  <c r="E439" i="11"/>
  <c r="I439" i="11"/>
  <c r="E440" i="11"/>
  <c r="I440" i="11"/>
  <c r="F366" i="11"/>
  <c r="J366" i="11"/>
  <c r="F371" i="11"/>
  <c r="J371" i="11"/>
  <c r="F384" i="11"/>
  <c r="J384" i="11"/>
  <c r="F396" i="11"/>
  <c r="J396" i="11"/>
  <c r="C322" i="11"/>
  <c r="C323" i="11"/>
  <c r="E322" i="11"/>
  <c r="I322" i="11"/>
  <c r="E323" i="11"/>
  <c r="I323" i="11"/>
  <c r="C315" i="11"/>
  <c r="C316" i="11"/>
  <c r="C317" i="11"/>
  <c r="C318" i="11"/>
  <c r="C319" i="11"/>
  <c r="C320" i="11"/>
  <c r="C321" i="11"/>
  <c r="E315" i="11"/>
  <c r="I315" i="11"/>
  <c r="E316" i="11"/>
  <c r="I316" i="11"/>
  <c r="E317" i="11"/>
  <c r="I317" i="11"/>
  <c r="E318" i="11"/>
  <c r="I318" i="11"/>
  <c r="E319" i="11"/>
  <c r="I319" i="11"/>
  <c r="E320" i="11"/>
  <c r="I320" i="11"/>
  <c r="E321" i="11"/>
  <c r="I321" i="11"/>
  <c r="C304" i="11"/>
  <c r="C305" i="11"/>
  <c r="C306" i="11"/>
  <c r="C307" i="11"/>
  <c r="C308" i="11"/>
  <c r="C309" i="11"/>
  <c r="C310" i="11"/>
  <c r="C311" i="11"/>
  <c r="C312" i="11"/>
  <c r="C313" i="11"/>
  <c r="C314" i="11"/>
  <c r="E304" i="11"/>
  <c r="I304" i="11"/>
  <c r="E305" i="11"/>
  <c r="I305" i="11"/>
  <c r="E306" i="11"/>
  <c r="I306" i="11"/>
  <c r="E307" i="11"/>
  <c r="I307" i="11"/>
  <c r="E308" i="11"/>
  <c r="I308" i="11"/>
  <c r="E309" i="11"/>
  <c r="I309" i="11"/>
  <c r="E310" i="11"/>
  <c r="I310" i="11"/>
  <c r="E311" i="11"/>
  <c r="I311" i="11"/>
  <c r="E312" i="11"/>
  <c r="I312" i="11"/>
  <c r="E313" i="11"/>
  <c r="I313" i="11"/>
  <c r="E314" i="11"/>
  <c r="I314" i="11"/>
  <c r="C301" i="11"/>
  <c r="C302" i="11"/>
  <c r="C303" i="11"/>
  <c r="E301" i="11"/>
  <c r="I301" i="11"/>
  <c r="E302" i="11"/>
  <c r="I302" i="11"/>
  <c r="E303" i="11"/>
  <c r="I303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E289" i="11"/>
  <c r="I289" i="11"/>
  <c r="E290" i="11"/>
  <c r="I290" i="11"/>
  <c r="E291" i="11"/>
  <c r="I291" i="11"/>
  <c r="E292" i="11"/>
  <c r="I292" i="11"/>
  <c r="E293" i="11"/>
  <c r="I293" i="11"/>
  <c r="E294" i="11"/>
  <c r="I294" i="11"/>
  <c r="E295" i="11"/>
  <c r="I295" i="11"/>
  <c r="E296" i="11"/>
  <c r="I296" i="11"/>
  <c r="E297" i="11"/>
  <c r="I297" i="11"/>
  <c r="E298" i="11"/>
  <c r="I298" i="11"/>
  <c r="E299" i="11"/>
  <c r="I299" i="11"/>
  <c r="E300" i="11"/>
  <c r="I300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E275" i="11"/>
  <c r="I275" i="11"/>
  <c r="E276" i="11"/>
  <c r="I276" i="11"/>
  <c r="E277" i="11"/>
  <c r="I277" i="11"/>
  <c r="E278" i="11"/>
  <c r="I278" i="11"/>
  <c r="E279" i="11"/>
  <c r="I279" i="11"/>
  <c r="E280" i="11"/>
  <c r="I280" i="11"/>
  <c r="E281" i="11"/>
  <c r="I281" i="11"/>
  <c r="E282" i="11"/>
  <c r="I282" i="11"/>
  <c r="E283" i="11"/>
  <c r="I283" i="11"/>
  <c r="E284" i="11"/>
  <c r="I284" i="11"/>
  <c r="E285" i="11"/>
  <c r="I285" i="11"/>
  <c r="E286" i="11"/>
  <c r="I286" i="11"/>
  <c r="E287" i="11"/>
  <c r="I287" i="11"/>
  <c r="E288" i="11"/>
  <c r="I288" i="11"/>
  <c r="C268" i="11"/>
  <c r="C269" i="11"/>
  <c r="C270" i="11"/>
  <c r="C271" i="11"/>
  <c r="C272" i="11"/>
  <c r="C273" i="11"/>
  <c r="C274" i="11"/>
  <c r="E268" i="11"/>
  <c r="I268" i="11"/>
  <c r="E269" i="11"/>
  <c r="I269" i="11"/>
  <c r="E270" i="11"/>
  <c r="I270" i="11"/>
  <c r="E271" i="11"/>
  <c r="I271" i="11"/>
  <c r="E272" i="11"/>
  <c r="I272" i="11"/>
  <c r="E273" i="11"/>
  <c r="I273" i="11"/>
  <c r="E274" i="11"/>
  <c r="I274" i="11"/>
  <c r="C259" i="11"/>
  <c r="C260" i="11"/>
  <c r="C261" i="11"/>
  <c r="C262" i="11"/>
  <c r="C263" i="11"/>
  <c r="C264" i="11"/>
  <c r="C265" i="11"/>
  <c r="C266" i="11"/>
  <c r="C267" i="11"/>
  <c r="E259" i="11"/>
  <c r="I259" i="11"/>
  <c r="E260" i="11"/>
  <c r="I260" i="11"/>
  <c r="E261" i="11"/>
  <c r="I261" i="11"/>
  <c r="E262" i="11"/>
  <c r="I262" i="11"/>
  <c r="E263" i="11"/>
  <c r="I263" i="11"/>
  <c r="E264" i="11"/>
  <c r="I264" i="11"/>
  <c r="E265" i="11"/>
  <c r="I265" i="11"/>
  <c r="E266" i="11"/>
  <c r="I266" i="11"/>
  <c r="E267" i="11"/>
  <c r="I267" i="11"/>
  <c r="C250" i="11"/>
  <c r="C251" i="11"/>
  <c r="C252" i="11"/>
  <c r="C253" i="11"/>
  <c r="C254" i="11"/>
  <c r="C255" i="11"/>
  <c r="C256" i="11"/>
  <c r="C257" i="11"/>
  <c r="C258" i="11"/>
  <c r="E250" i="11"/>
  <c r="I250" i="11"/>
  <c r="E251" i="11"/>
  <c r="I251" i="11"/>
  <c r="E252" i="11"/>
  <c r="I252" i="11"/>
  <c r="E253" i="11"/>
  <c r="I253" i="11"/>
  <c r="E254" i="11"/>
  <c r="I254" i="11"/>
  <c r="E255" i="11"/>
  <c r="I255" i="11"/>
  <c r="E256" i="11"/>
  <c r="I256" i="11"/>
  <c r="E257" i="11"/>
  <c r="I257" i="11"/>
  <c r="E258" i="11"/>
  <c r="I258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E235" i="11"/>
  <c r="I235" i="11"/>
  <c r="E236" i="11"/>
  <c r="I236" i="11"/>
  <c r="E237" i="11"/>
  <c r="I237" i="11"/>
  <c r="E238" i="11"/>
  <c r="I238" i="11"/>
  <c r="E239" i="11"/>
  <c r="I239" i="11"/>
  <c r="E240" i="11"/>
  <c r="I240" i="11"/>
  <c r="E241" i="11"/>
  <c r="I241" i="11"/>
  <c r="E242" i="11"/>
  <c r="I242" i="11"/>
  <c r="E243" i="11"/>
  <c r="I243" i="11"/>
  <c r="E244" i="11"/>
  <c r="I244" i="11"/>
  <c r="E245" i="11"/>
  <c r="I245" i="11"/>
  <c r="E246" i="11"/>
  <c r="I246" i="11"/>
  <c r="E247" i="11"/>
  <c r="I247" i="11"/>
  <c r="E248" i="11"/>
  <c r="I248" i="11"/>
  <c r="E249" i="11"/>
  <c r="I249" i="11"/>
  <c r="G14" i="12"/>
  <c r="G16" i="12"/>
  <c r="G17" i="12"/>
  <c r="G18" i="12"/>
  <c r="G19" i="12"/>
  <c r="G20" i="12"/>
  <c r="G21" i="12"/>
  <c r="G22" i="12"/>
  <c r="G12" i="12"/>
  <c r="G13" i="12"/>
  <c r="G10" i="12"/>
  <c r="G11" i="12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E220" i="11"/>
  <c r="I220" i="11"/>
  <c r="E221" i="11"/>
  <c r="I221" i="11"/>
  <c r="E222" i="11"/>
  <c r="I222" i="11"/>
  <c r="E223" i="11"/>
  <c r="I223" i="11"/>
  <c r="E224" i="11"/>
  <c r="I224" i="11"/>
  <c r="E225" i="11"/>
  <c r="I225" i="11"/>
  <c r="E226" i="11"/>
  <c r="I226" i="11"/>
  <c r="E227" i="11"/>
  <c r="I227" i="11"/>
  <c r="E228" i="11"/>
  <c r="I228" i="11"/>
  <c r="E229" i="11"/>
  <c r="I229" i="11"/>
  <c r="E230" i="11"/>
  <c r="I230" i="11"/>
  <c r="E231" i="11"/>
  <c r="I231" i="11"/>
  <c r="E232" i="11"/>
  <c r="I232" i="11"/>
  <c r="E233" i="11"/>
  <c r="I233" i="11"/>
  <c r="E234" i="11"/>
  <c r="I234" i="11"/>
  <c r="G9" i="12"/>
  <c r="C139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E119" i="11"/>
  <c r="I119" i="11"/>
  <c r="E120" i="11"/>
  <c r="I120" i="11"/>
  <c r="E121" i="11"/>
  <c r="I121" i="11"/>
  <c r="E122" i="11"/>
  <c r="I122" i="11"/>
  <c r="E123" i="11"/>
  <c r="I123" i="11"/>
  <c r="E124" i="11"/>
  <c r="I124" i="11"/>
  <c r="E125" i="11"/>
  <c r="I125" i="11"/>
  <c r="E126" i="11"/>
  <c r="I126" i="11"/>
  <c r="E127" i="11"/>
  <c r="I127" i="11"/>
  <c r="E128" i="11"/>
  <c r="I128" i="11"/>
  <c r="E129" i="11"/>
  <c r="I129" i="11"/>
  <c r="E130" i="11"/>
  <c r="I130" i="11"/>
  <c r="E131" i="11"/>
  <c r="I131" i="11"/>
  <c r="E132" i="11"/>
  <c r="I132" i="11"/>
  <c r="E133" i="11"/>
  <c r="I133" i="11"/>
  <c r="E134" i="11"/>
  <c r="I134" i="11"/>
  <c r="E135" i="11"/>
  <c r="I135" i="11"/>
  <c r="E136" i="11"/>
  <c r="I136" i="11"/>
  <c r="E137" i="11"/>
  <c r="I137" i="11"/>
  <c r="E138" i="11"/>
  <c r="I138" i="11"/>
  <c r="E139" i="11"/>
  <c r="I139" i="11"/>
  <c r="E140" i="11"/>
  <c r="I140" i="11"/>
  <c r="E141" i="11"/>
  <c r="I141" i="11"/>
  <c r="E142" i="11"/>
  <c r="I142" i="11"/>
  <c r="E143" i="11"/>
  <c r="I143" i="11"/>
  <c r="E144" i="11"/>
  <c r="I144" i="11"/>
  <c r="E145" i="11"/>
  <c r="I145" i="11"/>
  <c r="E146" i="11"/>
  <c r="I146" i="11"/>
  <c r="E147" i="11"/>
  <c r="I147" i="11"/>
  <c r="E148" i="11"/>
  <c r="I148" i="11"/>
  <c r="E149" i="11"/>
  <c r="I149" i="11"/>
  <c r="E150" i="11"/>
  <c r="I150" i="11"/>
  <c r="E151" i="11"/>
  <c r="I151" i="11"/>
  <c r="E152" i="11"/>
  <c r="I152" i="11"/>
  <c r="E153" i="11"/>
  <c r="I153" i="11"/>
  <c r="E154" i="11"/>
  <c r="I154" i="11"/>
  <c r="E155" i="11"/>
  <c r="I155" i="11"/>
  <c r="E156" i="11"/>
  <c r="I156" i="11"/>
  <c r="E157" i="11"/>
  <c r="I157" i="11"/>
  <c r="E158" i="11"/>
  <c r="I158" i="11"/>
  <c r="E159" i="11"/>
  <c r="I159" i="11"/>
  <c r="E160" i="11"/>
  <c r="I160" i="11"/>
  <c r="E161" i="11"/>
  <c r="I161" i="11"/>
  <c r="E162" i="11"/>
  <c r="I162" i="11"/>
  <c r="E163" i="11"/>
  <c r="I163" i="11"/>
  <c r="E164" i="11"/>
  <c r="I164" i="11"/>
  <c r="E165" i="11"/>
  <c r="I165" i="11"/>
  <c r="E166" i="11"/>
  <c r="I166" i="11"/>
  <c r="E167" i="11"/>
  <c r="I167" i="11"/>
  <c r="E168" i="11"/>
  <c r="I168" i="11"/>
  <c r="E169" i="11"/>
  <c r="I169" i="11"/>
  <c r="E170" i="11"/>
  <c r="I170" i="11"/>
  <c r="E171" i="11"/>
  <c r="I171" i="11"/>
  <c r="E172" i="11"/>
  <c r="I172" i="11"/>
  <c r="E173" i="11"/>
  <c r="I173" i="11"/>
  <c r="E174" i="11"/>
  <c r="I174" i="11"/>
  <c r="E175" i="11"/>
  <c r="I175" i="11"/>
  <c r="E176" i="11"/>
  <c r="I176" i="11"/>
  <c r="E177" i="11"/>
  <c r="I177" i="11"/>
  <c r="E178" i="11"/>
  <c r="I178" i="11"/>
  <c r="E179" i="11"/>
  <c r="I179" i="11"/>
  <c r="E180" i="11"/>
  <c r="I180" i="11"/>
  <c r="E181" i="11"/>
  <c r="I181" i="11"/>
  <c r="E182" i="11"/>
  <c r="I182" i="11"/>
  <c r="E183" i="11"/>
  <c r="I183" i="11"/>
  <c r="E184" i="11"/>
  <c r="I184" i="11"/>
  <c r="E185" i="11"/>
  <c r="I185" i="11"/>
  <c r="E186" i="11"/>
  <c r="I186" i="11"/>
  <c r="E187" i="11"/>
  <c r="I187" i="11"/>
  <c r="E188" i="11"/>
  <c r="I188" i="11"/>
  <c r="E189" i="11"/>
  <c r="I189" i="11"/>
  <c r="E190" i="11"/>
  <c r="I190" i="11"/>
  <c r="E191" i="11"/>
  <c r="I191" i="11"/>
  <c r="E192" i="11"/>
  <c r="I192" i="11"/>
  <c r="E193" i="11"/>
  <c r="I193" i="11"/>
  <c r="E194" i="11"/>
  <c r="I194" i="11"/>
  <c r="E195" i="11"/>
  <c r="I195" i="11"/>
  <c r="E196" i="11"/>
  <c r="I196" i="11"/>
  <c r="E197" i="11"/>
  <c r="I197" i="11"/>
  <c r="E198" i="11"/>
  <c r="I198" i="11"/>
  <c r="E199" i="11"/>
  <c r="I199" i="11"/>
  <c r="E200" i="11"/>
  <c r="I200" i="11"/>
  <c r="E201" i="11"/>
  <c r="I201" i="11"/>
  <c r="E202" i="11"/>
  <c r="I202" i="11"/>
  <c r="E203" i="11"/>
  <c r="I203" i="11"/>
  <c r="E204" i="11"/>
  <c r="I204" i="11"/>
  <c r="E205" i="11"/>
  <c r="I205" i="11"/>
  <c r="E206" i="11"/>
  <c r="I206" i="11"/>
  <c r="E207" i="11"/>
  <c r="I207" i="11"/>
  <c r="E208" i="11"/>
  <c r="I208" i="11"/>
  <c r="E209" i="11"/>
  <c r="I209" i="11"/>
  <c r="E210" i="11"/>
  <c r="I210" i="11"/>
  <c r="E211" i="11"/>
  <c r="I211" i="11"/>
  <c r="E212" i="11"/>
  <c r="I212" i="11"/>
  <c r="E213" i="11"/>
  <c r="I213" i="11"/>
  <c r="E214" i="11"/>
  <c r="I214" i="11"/>
  <c r="E215" i="11"/>
  <c r="I215" i="11"/>
  <c r="E216" i="11"/>
  <c r="I216" i="11"/>
  <c r="E217" i="11"/>
  <c r="I217" i="11"/>
  <c r="E218" i="11"/>
  <c r="I218" i="11"/>
  <c r="E219" i="11"/>
  <c r="I219" i="11"/>
  <c r="G8" i="12"/>
  <c r="C77" i="11"/>
  <c r="E77" i="11"/>
  <c r="I77" i="11"/>
  <c r="C107" i="11"/>
  <c r="C108" i="11"/>
  <c r="C109" i="11"/>
  <c r="C110" i="11"/>
  <c r="C111" i="11"/>
  <c r="C112" i="11"/>
  <c r="C113" i="11"/>
  <c r="C114" i="11"/>
  <c r="C115" i="11"/>
  <c r="C117" i="11"/>
  <c r="C118" i="11"/>
  <c r="E107" i="11"/>
  <c r="I107" i="11"/>
  <c r="E108" i="11"/>
  <c r="I108" i="11"/>
  <c r="E109" i="11"/>
  <c r="I109" i="11"/>
  <c r="E110" i="11"/>
  <c r="I110" i="11"/>
  <c r="E111" i="11"/>
  <c r="I111" i="11"/>
  <c r="E112" i="11"/>
  <c r="I112" i="11"/>
  <c r="E113" i="11"/>
  <c r="I113" i="11"/>
  <c r="E114" i="11"/>
  <c r="I114" i="11"/>
  <c r="E115" i="11"/>
  <c r="I115" i="11"/>
  <c r="E116" i="11"/>
  <c r="I116" i="11"/>
  <c r="E117" i="11"/>
  <c r="I117" i="11"/>
  <c r="E118" i="11"/>
  <c r="I118" i="11"/>
  <c r="F116" i="11"/>
  <c r="J116" i="11"/>
  <c r="C97" i="11"/>
  <c r="E97" i="11"/>
  <c r="I97" i="11"/>
  <c r="C96" i="11"/>
  <c r="E96" i="11"/>
  <c r="I96" i="11"/>
  <c r="C81" i="11"/>
  <c r="E81" i="11"/>
  <c r="I81" i="11"/>
  <c r="C87" i="11"/>
  <c r="C88" i="11"/>
  <c r="C89" i="11"/>
  <c r="C90" i="11"/>
  <c r="C91" i="11"/>
  <c r="C92" i="11"/>
  <c r="C93" i="11"/>
  <c r="C94" i="11"/>
  <c r="C95" i="11"/>
  <c r="C98" i="11"/>
  <c r="C99" i="11"/>
  <c r="C100" i="11"/>
  <c r="C101" i="11"/>
  <c r="C102" i="11"/>
  <c r="C104" i="11"/>
  <c r="C105" i="11"/>
  <c r="C106" i="11"/>
  <c r="E87" i="11"/>
  <c r="I87" i="11"/>
  <c r="E88" i="11"/>
  <c r="I88" i="11"/>
  <c r="E89" i="11"/>
  <c r="I89" i="11"/>
  <c r="E90" i="11"/>
  <c r="I90" i="11"/>
  <c r="E91" i="11"/>
  <c r="I91" i="11"/>
  <c r="E92" i="11"/>
  <c r="I92" i="11"/>
  <c r="E93" i="11"/>
  <c r="I93" i="11"/>
  <c r="E94" i="11"/>
  <c r="I94" i="11"/>
  <c r="E95" i="11"/>
  <c r="I95" i="11"/>
  <c r="E98" i="11"/>
  <c r="I98" i="11"/>
  <c r="E99" i="11"/>
  <c r="I99" i="11"/>
  <c r="E100" i="11"/>
  <c r="I100" i="11"/>
  <c r="E101" i="11"/>
  <c r="I101" i="11"/>
  <c r="E102" i="11"/>
  <c r="I102" i="11"/>
  <c r="E103" i="11"/>
  <c r="I103" i="11"/>
  <c r="E104" i="11"/>
  <c r="I104" i="11"/>
  <c r="E105" i="11"/>
  <c r="I105" i="11"/>
  <c r="E106" i="11"/>
  <c r="I106" i="11"/>
  <c r="F103" i="11"/>
  <c r="J103" i="11"/>
  <c r="C73" i="11"/>
  <c r="C74" i="11"/>
  <c r="C75" i="11"/>
  <c r="C76" i="11"/>
  <c r="C78" i="11"/>
  <c r="C79" i="11"/>
  <c r="C80" i="11"/>
  <c r="C82" i="11"/>
  <c r="C83" i="11"/>
  <c r="C84" i="11"/>
  <c r="C85" i="11"/>
  <c r="C86" i="11"/>
  <c r="E73" i="11"/>
  <c r="I73" i="11"/>
  <c r="E74" i="11"/>
  <c r="I74" i="11"/>
  <c r="E75" i="11"/>
  <c r="I75" i="11"/>
  <c r="E76" i="11"/>
  <c r="I76" i="11"/>
  <c r="E78" i="11"/>
  <c r="I78" i="11"/>
  <c r="E79" i="11"/>
  <c r="I79" i="11"/>
  <c r="E80" i="11"/>
  <c r="I80" i="11"/>
  <c r="E82" i="11"/>
  <c r="I82" i="11"/>
  <c r="E83" i="11"/>
  <c r="I83" i="11"/>
  <c r="E84" i="11"/>
  <c r="I84" i="11"/>
  <c r="E85" i="11"/>
  <c r="I85" i="11"/>
  <c r="E86" i="11"/>
  <c r="I8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M7" i="15"/>
  <c r="M9" i="15"/>
  <c r="M10" i="15"/>
  <c r="M5" i="15"/>
  <c r="L7" i="15"/>
  <c r="L9" i="15"/>
  <c r="L10" i="15"/>
  <c r="L5" i="15"/>
  <c r="K7" i="15"/>
  <c r="K9" i="15"/>
  <c r="K10" i="15"/>
  <c r="K5" i="15"/>
  <c r="J7" i="15"/>
  <c r="J9" i="15"/>
  <c r="J10" i="15"/>
  <c r="J5" i="15"/>
  <c r="I7" i="15"/>
  <c r="I9" i="15"/>
  <c r="I10" i="15"/>
  <c r="I5" i="15"/>
  <c r="H7" i="15"/>
  <c r="F549" i="11"/>
  <c r="J549" i="11"/>
  <c r="H9" i="15"/>
  <c r="H10" i="15"/>
  <c r="H5" i="15"/>
  <c r="F460" i="11"/>
  <c r="J460" i="11"/>
  <c r="I10" i="14"/>
  <c r="J10" i="14"/>
  <c r="K10" i="14"/>
  <c r="L10" i="14"/>
  <c r="M10" i="14"/>
  <c r="H8" i="13"/>
  <c r="I8" i="13"/>
  <c r="I9" i="13"/>
  <c r="J8" i="13"/>
  <c r="J9" i="13"/>
  <c r="K8" i="13"/>
  <c r="K9" i="13"/>
  <c r="L8" i="13"/>
  <c r="L9" i="13"/>
  <c r="M8" i="13"/>
  <c r="M9" i="13"/>
  <c r="H6" i="13"/>
  <c r="I6" i="13"/>
  <c r="J6" i="13"/>
  <c r="L6" i="13"/>
  <c r="J5" i="13"/>
  <c r="L5" i="13"/>
  <c r="F612" i="11"/>
  <c r="J612" i="11"/>
  <c r="I11" i="14"/>
  <c r="I13" i="14"/>
  <c r="J11" i="14"/>
  <c r="J13" i="14"/>
  <c r="K11" i="14"/>
  <c r="K13" i="14"/>
  <c r="L11" i="14"/>
  <c r="L13" i="14"/>
  <c r="M11" i="14"/>
  <c r="M13" i="14"/>
  <c r="H8" i="14"/>
  <c r="I7" i="14"/>
  <c r="I8" i="14"/>
  <c r="I9" i="14"/>
  <c r="J7" i="14"/>
  <c r="J8" i="14"/>
  <c r="J9" i="14"/>
  <c r="K7" i="14"/>
  <c r="K8" i="14"/>
  <c r="K9" i="14"/>
  <c r="L7" i="14"/>
  <c r="L8" i="14"/>
  <c r="L9" i="14"/>
  <c r="M7" i="14"/>
  <c r="M8" i="14"/>
  <c r="M9" i="14"/>
  <c r="I5" i="14"/>
  <c r="J5" i="14"/>
  <c r="K5" i="14"/>
  <c r="L5" i="14"/>
  <c r="M5" i="14"/>
  <c r="M4" i="13"/>
  <c r="L4" i="13"/>
  <c r="K4" i="13"/>
  <c r="J4" i="13"/>
  <c r="I4" i="13"/>
  <c r="F715" i="11"/>
  <c r="J715" i="11"/>
  <c r="F557" i="11"/>
  <c r="J557" i="11"/>
  <c r="F428" i="11"/>
  <c r="J428" i="11"/>
  <c r="F853" i="11"/>
  <c r="J853" i="11"/>
  <c r="F817" i="11"/>
  <c r="J817" i="11"/>
  <c r="F812" i="11"/>
  <c r="J812" i="11"/>
  <c r="F777" i="11"/>
  <c r="J777" i="11"/>
  <c r="F733" i="11"/>
  <c r="J733" i="11"/>
  <c r="F729" i="11"/>
  <c r="J729" i="11"/>
  <c r="F689" i="11"/>
  <c r="J689" i="11"/>
  <c r="F615" i="11"/>
  <c r="J615" i="11"/>
  <c r="F613" i="11"/>
  <c r="J613" i="11"/>
  <c r="F610" i="11"/>
  <c r="J610" i="11"/>
  <c r="F592" i="11"/>
  <c r="J592" i="11"/>
  <c r="F580" i="11"/>
  <c r="J580" i="11"/>
  <c r="F484" i="11"/>
  <c r="J484" i="11"/>
  <c r="F44" i="11"/>
  <c r="F885" i="11"/>
  <c r="J885" i="11"/>
  <c r="F883" i="11"/>
  <c r="J883" i="11"/>
  <c r="F697" i="11"/>
  <c r="J697" i="11"/>
  <c r="F682" i="11"/>
  <c r="J682" i="11"/>
  <c r="F534" i="11"/>
  <c r="J534" i="11"/>
  <c r="F499" i="11"/>
  <c r="J499" i="11"/>
  <c r="F538" i="11"/>
  <c r="J538" i="11"/>
  <c r="F479" i="11"/>
  <c r="J479" i="11"/>
  <c r="F154" i="11"/>
  <c r="J154" i="11"/>
  <c r="F770" i="11"/>
  <c r="J770" i="11"/>
  <c r="F737" i="11"/>
  <c r="J737" i="11"/>
  <c r="F702" i="11"/>
  <c r="J702" i="11"/>
  <c r="F248" i="11"/>
  <c r="J248" i="11"/>
  <c r="F627" i="11"/>
  <c r="J627" i="11"/>
  <c r="F424" i="11"/>
  <c r="J424" i="11"/>
  <c r="F878" i="11"/>
  <c r="J878" i="11"/>
  <c r="F773" i="11"/>
  <c r="J773" i="11"/>
  <c r="F652" i="11"/>
  <c r="J652" i="11"/>
  <c r="F641" i="11"/>
  <c r="J641" i="11"/>
  <c r="F544" i="11"/>
  <c r="J544" i="11"/>
  <c r="F536" i="11"/>
  <c r="J536" i="11"/>
  <c r="F397" i="11"/>
  <c r="J397" i="11"/>
  <c r="F415" i="11"/>
  <c r="J415" i="11"/>
  <c r="F17" i="11"/>
  <c r="F392" i="11"/>
  <c r="J392" i="11"/>
  <c r="F130" i="11"/>
  <c r="J130" i="11"/>
  <c r="F259" i="11"/>
  <c r="J259" i="11"/>
  <c r="F55" i="11"/>
  <c r="F72" i="11"/>
  <c r="F155" i="11"/>
  <c r="J155" i="11"/>
  <c r="F360" i="11"/>
  <c r="J360" i="11"/>
  <c r="F159" i="11"/>
  <c r="J159" i="11"/>
  <c r="F88" i="11"/>
  <c r="J88" i="11"/>
  <c r="F132" i="11"/>
  <c r="J132" i="11"/>
  <c r="F151" i="11"/>
  <c r="J151" i="11"/>
  <c r="F86" i="11"/>
  <c r="J86" i="11"/>
  <c r="F58" i="11"/>
  <c r="F26" i="11"/>
  <c r="F171" i="11"/>
  <c r="J171" i="11"/>
  <c r="F213" i="11"/>
  <c r="J213" i="11"/>
  <c r="C4" i="13"/>
  <c r="G150" i="17"/>
  <c r="D7" i="15"/>
  <c r="Q7" i="15"/>
  <c r="D9" i="14"/>
  <c r="P9" i="14"/>
  <c r="C9" i="15"/>
  <c r="C137" i="17"/>
  <c r="D5" i="15"/>
  <c r="Q5" i="15"/>
  <c r="D10" i="14"/>
  <c r="Q10" i="14"/>
  <c r="C5" i="15"/>
  <c r="C133" i="17"/>
  <c r="C7" i="15"/>
  <c r="C135" i="17"/>
  <c r="D9" i="15"/>
  <c r="Q9" i="15"/>
  <c r="C10" i="14"/>
  <c r="C147" i="17"/>
  <c r="F62" i="11"/>
  <c r="C9" i="13"/>
  <c r="G155" i="17"/>
  <c r="D9" i="13"/>
  <c r="C8" i="13"/>
  <c r="G154" i="17"/>
  <c r="D8" i="13"/>
  <c r="D10" i="15"/>
  <c r="C10" i="15"/>
  <c r="C138" i="17"/>
  <c r="D5" i="14"/>
  <c r="P5" i="14"/>
  <c r="D7" i="14"/>
  <c r="Q7" i="14"/>
  <c r="C9" i="14"/>
  <c r="C146" i="17"/>
  <c r="C11" i="14"/>
  <c r="C8" i="14"/>
  <c r="C145" i="17"/>
  <c r="D13" i="14"/>
  <c r="Q13" i="14"/>
  <c r="C13" i="14"/>
  <c r="C150" i="17"/>
  <c r="D8" i="14"/>
  <c r="P8" i="14"/>
  <c r="C7" i="14"/>
  <c r="C144" i="17"/>
  <c r="D11" i="14"/>
  <c r="C6" i="13"/>
  <c r="G152" i="17"/>
  <c r="D4" i="13"/>
  <c r="C5" i="13"/>
  <c r="G151" i="17"/>
  <c r="C5" i="14"/>
  <c r="C142" i="17"/>
  <c r="O11" i="14"/>
  <c r="C148" i="17"/>
  <c r="P4" i="13"/>
  <c r="Q5" i="13"/>
  <c r="Q9" i="13"/>
  <c r="P8" i="13"/>
  <c r="N5" i="14"/>
  <c r="O13" i="14"/>
  <c r="O9" i="14"/>
  <c r="N9" i="13"/>
  <c r="N5" i="13"/>
  <c r="O7" i="15"/>
  <c r="N7" i="14"/>
  <c r="O8" i="14"/>
  <c r="O8" i="13"/>
  <c r="N5" i="15"/>
  <c r="O9" i="15"/>
  <c r="O4" i="13"/>
  <c r="O6" i="13"/>
  <c r="N10" i="14"/>
  <c r="P11" i="14"/>
  <c r="N4" i="13"/>
  <c r="P7" i="15"/>
  <c r="Q9" i="14"/>
  <c r="N9" i="14"/>
  <c r="P10" i="14"/>
  <c r="N9" i="15"/>
  <c r="P7" i="14"/>
  <c r="N13" i="14"/>
  <c r="Q5" i="14"/>
  <c r="O5" i="15"/>
  <c r="P5" i="15"/>
  <c r="P9" i="15"/>
  <c r="N7" i="15"/>
  <c r="N8" i="13"/>
  <c r="O7" i="14"/>
  <c r="O10" i="14"/>
  <c r="N8" i="14"/>
  <c r="N11" i="14"/>
  <c r="O10" i="15"/>
  <c r="N10" i="15"/>
  <c r="P13" i="14"/>
  <c r="Q8" i="14"/>
  <c r="P9" i="13"/>
  <c r="Q10" i="15"/>
  <c r="P10" i="15"/>
  <c r="Q8" i="13"/>
  <c r="O9" i="13"/>
  <c r="Q6" i="13"/>
  <c r="Q4" i="13"/>
  <c r="Q11" i="14"/>
  <c r="N6" i="13"/>
  <c r="O5" i="13"/>
  <c r="O5" i="14"/>
  <c r="I21" i="11"/>
  <c r="J5" i="1"/>
  <c r="K5" i="1"/>
  <c r="L5" i="1"/>
  <c r="M5" i="1"/>
  <c r="N5" i="1"/>
  <c r="J6" i="1"/>
  <c r="K6" i="1"/>
  <c r="L6" i="1"/>
  <c r="M6" i="1"/>
  <c r="N6" i="1"/>
  <c r="F437" i="11"/>
  <c r="J437" i="1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I12" i="1"/>
  <c r="J12" i="1"/>
  <c r="K12" i="1"/>
  <c r="L12" i="1"/>
  <c r="M12" i="1"/>
  <c r="N12" i="1"/>
  <c r="J13" i="1"/>
  <c r="K13" i="1"/>
  <c r="L13" i="1"/>
  <c r="M13" i="1"/>
  <c r="N13" i="1"/>
  <c r="F311" i="11"/>
  <c r="J311" i="11"/>
  <c r="J14" i="1"/>
  <c r="K14" i="1"/>
  <c r="L14" i="1"/>
  <c r="M14" i="1"/>
  <c r="N14" i="1"/>
  <c r="I15" i="1"/>
  <c r="J15" i="1"/>
  <c r="K15" i="1"/>
  <c r="L15" i="1"/>
  <c r="M15" i="1"/>
  <c r="N15" i="1"/>
  <c r="I16" i="1"/>
  <c r="J16" i="1"/>
  <c r="K16" i="1"/>
  <c r="L16" i="1"/>
  <c r="M16" i="1"/>
  <c r="N16" i="1"/>
  <c r="J17" i="1"/>
  <c r="K17" i="1"/>
  <c r="L17" i="1"/>
  <c r="M17" i="1"/>
  <c r="N17" i="1"/>
  <c r="J19" i="1"/>
  <c r="K19" i="1"/>
  <c r="L19" i="1"/>
  <c r="M19" i="1"/>
  <c r="N19" i="1"/>
  <c r="I20" i="1"/>
  <c r="J20" i="1"/>
  <c r="K20" i="1"/>
  <c r="L20" i="1"/>
  <c r="M20" i="1"/>
  <c r="N20" i="1"/>
  <c r="F735" i="11"/>
  <c r="J735" i="11"/>
  <c r="J21" i="1"/>
  <c r="K21" i="1"/>
  <c r="L21" i="1"/>
  <c r="M21" i="1"/>
  <c r="N21" i="1"/>
  <c r="J22" i="1"/>
  <c r="K22" i="1"/>
  <c r="L22" i="1"/>
  <c r="M22" i="1"/>
  <c r="N22" i="1"/>
  <c r="I23" i="1"/>
  <c r="J23" i="1"/>
  <c r="K23" i="1"/>
  <c r="L23" i="1"/>
  <c r="M23" i="1"/>
  <c r="N23" i="1"/>
  <c r="F261" i="11"/>
  <c r="J261" i="1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I28" i="1"/>
  <c r="J28" i="1"/>
  <c r="L28" i="1"/>
  <c r="N28" i="1"/>
  <c r="F826" i="11"/>
  <c r="J826" i="11"/>
  <c r="J30" i="1"/>
  <c r="K30" i="1"/>
  <c r="L30" i="1"/>
  <c r="M30" i="1"/>
  <c r="N30" i="1"/>
  <c r="I31" i="1"/>
  <c r="F288" i="11"/>
  <c r="J288" i="11"/>
  <c r="J31" i="1"/>
  <c r="K31" i="1"/>
  <c r="L31" i="1"/>
  <c r="M31" i="1"/>
  <c r="N31" i="1"/>
  <c r="J32" i="1"/>
  <c r="K32" i="1"/>
  <c r="L32" i="1"/>
  <c r="M32" i="1"/>
  <c r="N32" i="1"/>
  <c r="J33" i="1"/>
  <c r="K33" i="1"/>
  <c r="L33" i="1"/>
  <c r="M33" i="1"/>
  <c r="N33" i="1"/>
  <c r="I34" i="1"/>
  <c r="J34" i="1"/>
  <c r="L34" i="1"/>
  <c r="N34" i="1"/>
  <c r="J36" i="1"/>
  <c r="K36" i="1"/>
  <c r="L36" i="1"/>
  <c r="M36" i="1"/>
  <c r="N36" i="1"/>
  <c r="I37" i="1"/>
  <c r="F377" i="11"/>
  <c r="J377" i="11"/>
  <c r="J37" i="1"/>
  <c r="K37" i="1"/>
  <c r="L37" i="1"/>
  <c r="M37" i="1"/>
  <c r="N37" i="1"/>
  <c r="J38" i="1"/>
  <c r="K38" i="1"/>
  <c r="L38" i="1"/>
  <c r="M38" i="1"/>
  <c r="N38" i="1"/>
  <c r="F236" i="11"/>
  <c r="J236" i="11"/>
  <c r="J39" i="1"/>
  <c r="K39" i="1"/>
  <c r="L39" i="1"/>
  <c r="M39" i="1"/>
  <c r="N39" i="1"/>
  <c r="I40" i="1"/>
  <c r="F401" i="11"/>
  <c r="J401" i="11"/>
  <c r="J40" i="1"/>
  <c r="K40" i="1"/>
  <c r="L40" i="1"/>
  <c r="M40" i="1"/>
  <c r="N40" i="1"/>
  <c r="J41" i="1"/>
  <c r="K41" i="1"/>
  <c r="L41" i="1"/>
  <c r="M41" i="1"/>
  <c r="N41" i="1"/>
  <c r="I42" i="1"/>
  <c r="J42" i="1"/>
  <c r="K42" i="1"/>
  <c r="L42" i="1"/>
  <c r="M42" i="1"/>
  <c r="N42" i="1"/>
  <c r="I43" i="1"/>
  <c r="F95" i="11"/>
  <c r="J95" i="11"/>
  <c r="J43" i="1"/>
  <c r="K43" i="1"/>
  <c r="L43" i="1"/>
  <c r="M43" i="1"/>
  <c r="N43" i="1"/>
  <c r="F123" i="11"/>
  <c r="J123" i="11"/>
  <c r="J44" i="1"/>
  <c r="K44" i="1"/>
  <c r="L44" i="1"/>
  <c r="M44" i="1"/>
  <c r="N44" i="1"/>
  <c r="J45" i="1"/>
  <c r="K45" i="1"/>
  <c r="L45" i="1"/>
  <c r="M45" i="1"/>
  <c r="N45" i="1"/>
  <c r="F601" i="11"/>
  <c r="J601" i="11"/>
  <c r="J46" i="1"/>
  <c r="K46" i="1"/>
  <c r="L46" i="1"/>
  <c r="M46" i="1"/>
  <c r="N46" i="1"/>
  <c r="J47" i="1"/>
  <c r="K47" i="1"/>
  <c r="L47" i="1"/>
  <c r="M47" i="1"/>
  <c r="N47" i="1"/>
  <c r="J48" i="1"/>
  <c r="K48" i="1"/>
  <c r="L48" i="1"/>
  <c r="M48" i="1"/>
  <c r="N48" i="1"/>
  <c r="F666" i="11"/>
  <c r="J666" i="11"/>
  <c r="J49" i="1"/>
  <c r="K49" i="1"/>
  <c r="L49" i="1"/>
  <c r="M49" i="1"/>
  <c r="N49" i="1"/>
  <c r="I50" i="1"/>
  <c r="J50" i="1"/>
  <c r="K50" i="1"/>
  <c r="L50" i="1"/>
  <c r="M50" i="1"/>
  <c r="N50" i="1"/>
  <c r="J51" i="1"/>
  <c r="K51" i="1"/>
  <c r="L51" i="1"/>
  <c r="M51" i="1"/>
  <c r="N51" i="1"/>
  <c r="F785" i="11"/>
  <c r="J785" i="11"/>
  <c r="J52" i="1"/>
  <c r="K52" i="1"/>
  <c r="L52" i="1"/>
  <c r="M52" i="1"/>
  <c r="N52" i="1"/>
  <c r="J53" i="1"/>
  <c r="K53" i="1"/>
  <c r="L53" i="1"/>
  <c r="M53" i="1"/>
  <c r="N53" i="1"/>
  <c r="I54" i="1"/>
  <c r="J54" i="1"/>
  <c r="K54" i="1"/>
  <c r="L54" i="1"/>
  <c r="M54" i="1"/>
  <c r="N54" i="1"/>
  <c r="I55" i="1"/>
  <c r="J55" i="1"/>
  <c r="K55" i="1"/>
  <c r="L55" i="1"/>
  <c r="M55" i="1"/>
  <c r="N55" i="1"/>
  <c r="I56" i="1"/>
  <c r="J56" i="1"/>
  <c r="K56" i="1"/>
  <c r="L56" i="1"/>
  <c r="M56" i="1"/>
  <c r="N56" i="1"/>
  <c r="J57" i="1"/>
  <c r="K57" i="1"/>
  <c r="L57" i="1"/>
  <c r="M57" i="1"/>
  <c r="N57" i="1"/>
  <c r="J58" i="1"/>
  <c r="K58" i="1"/>
  <c r="L58" i="1"/>
  <c r="M58" i="1"/>
  <c r="N58" i="1"/>
  <c r="I59" i="1"/>
  <c r="J59" i="1"/>
  <c r="K59" i="1"/>
  <c r="L59" i="1"/>
  <c r="M59" i="1"/>
  <c r="N59" i="1"/>
  <c r="J60" i="1"/>
  <c r="K60" i="1"/>
  <c r="L60" i="1"/>
  <c r="M60" i="1"/>
  <c r="N60" i="1"/>
  <c r="I61" i="1"/>
  <c r="J61" i="1"/>
  <c r="K61" i="1"/>
  <c r="L61" i="1"/>
  <c r="M61" i="1"/>
  <c r="N61" i="1"/>
  <c r="J62" i="1"/>
  <c r="K62" i="1"/>
  <c r="L62" i="1"/>
  <c r="M62" i="1"/>
  <c r="N62" i="1"/>
  <c r="F894" i="11"/>
  <c r="J894" i="11"/>
  <c r="F895" i="11"/>
  <c r="J895" i="11"/>
  <c r="F27" i="11"/>
  <c r="F619" i="11"/>
  <c r="J619" i="11"/>
  <c r="F361" i="11"/>
  <c r="J361" i="11"/>
  <c r="F650" i="11"/>
  <c r="J650" i="11"/>
  <c r="F761" i="11"/>
  <c r="J761" i="11"/>
  <c r="F736" i="11"/>
  <c r="J736" i="11"/>
  <c r="F838" i="11"/>
  <c r="J838" i="11"/>
  <c r="F875" i="11"/>
  <c r="J875" i="11"/>
  <c r="F825" i="11"/>
  <c r="J825" i="11"/>
  <c r="F802" i="11"/>
  <c r="J802" i="11"/>
  <c r="F713" i="11"/>
  <c r="J713" i="11"/>
  <c r="F599" i="11"/>
  <c r="J599" i="11"/>
  <c r="F617" i="11"/>
  <c r="J617" i="11"/>
  <c r="F575" i="11"/>
  <c r="J575" i="11"/>
  <c r="F861" i="11"/>
  <c r="J861" i="11"/>
  <c r="F884" i="11"/>
  <c r="J884" i="11"/>
  <c r="F747" i="11"/>
  <c r="J747" i="11"/>
  <c r="F734" i="11"/>
  <c r="J734" i="11"/>
  <c r="F687" i="11"/>
  <c r="J687" i="11"/>
  <c r="F600" i="11"/>
  <c r="J600" i="11"/>
  <c r="F531" i="11"/>
  <c r="J531" i="11"/>
  <c r="F860" i="11"/>
  <c r="J860" i="11"/>
  <c r="F886" i="11"/>
  <c r="J886" i="11"/>
  <c r="F791" i="11"/>
  <c r="J791" i="11"/>
  <c r="F800" i="11"/>
  <c r="J800" i="11"/>
  <c r="F784" i="11"/>
  <c r="J784" i="11"/>
  <c r="F700" i="11"/>
  <c r="J700" i="11"/>
  <c r="F629" i="11"/>
  <c r="J629" i="11"/>
  <c r="F781" i="11"/>
  <c r="J781" i="11"/>
  <c r="F744" i="11"/>
  <c r="J744" i="11"/>
  <c r="F759" i="11"/>
  <c r="J759" i="11"/>
  <c r="F742" i="11"/>
  <c r="J742" i="11"/>
  <c r="F727" i="11"/>
  <c r="J727" i="11"/>
  <c r="F636" i="11"/>
  <c r="J636" i="11"/>
  <c r="F590" i="11"/>
  <c r="J590" i="11"/>
  <c r="F455" i="11"/>
  <c r="J455" i="11"/>
  <c r="F707" i="11"/>
  <c r="J707" i="11"/>
  <c r="F568" i="11"/>
  <c r="J568" i="11"/>
  <c r="F569" i="11"/>
  <c r="J569" i="11"/>
  <c r="F555" i="11"/>
  <c r="J555" i="11"/>
  <c r="F492" i="11"/>
  <c r="J492" i="11"/>
  <c r="F809" i="11"/>
  <c r="J809" i="11"/>
  <c r="F648" i="11"/>
  <c r="J648" i="11"/>
  <c r="F724" i="11"/>
  <c r="J724" i="11"/>
  <c r="F567" i="11"/>
  <c r="J567" i="11"/>
  <c r="F845" i="11"/>
  <c r="J845" i="11"/>
  <c r="F810" i="11"/>
  <c r="J810" i="11"/>
  <c r="F831" i="11"/>
  <c r="J831" i="11"/>
  <c r="F754" i="11"/>
  <c r="J754" i="11"/>
  <c r="F698" i="11"/>
  <c r="J698" i="11"/>
  <c r="F226" i="11"/>
  <c r="J226" i="11"/>
  <c r="F671" i="11"/>
  <c r="J671" i="11"/>
  <c r="F48" i="11"/>
  <c r="F605" i="11"/>
  <c r="J605" i="11"/>
  <c r="F866" i="11"/>
  <c r="J866" i="11"/>
  <c r="F772" i="11"/>
  <c r="J772" i="11"/>
  <c r="F714" i="11"/>
  <c r="J714" i="11"/>
  <c r="F524" i="11"/>
  <c r="J524" i="11"/>
  <c r="F522" i="11"/>
  <c r="J522" i="11"/>
  <c r="F500" i="11"/>
  <c r="J500" i="11"/>
  <c r="F523" i="11"/>
  <c r="J523" i="11"/>
  <c r="F818" i="11"/>
  <c r="J818" i="11"/>
  <c r="F677" i="11"/>
  <c r="J677" i="11"/>
  <c r="F376" i="11"/>
  <c r="J376" i="11"/>
  <c r="F570" i="11"/>
  <c r="J570" i="11"/>
  <c r="F871" i="11"/>
  <c r="J871" i="11"/>
  <c r="F683" i="11"/>
  <c r="J683" i="11"/>
  <c r="F663" i="11"/>
  <c r="J663" i="11"/>
  <c r="F602" i="11"/>
  <c r="J602" i="11"/>
  <c r="F582" i="11"/>
  <c r="J582" i="11"/>
  <c r="F540" i="11"/>
  <c r="J540" i="11"/>
  <c r="F518" i="11"/>
  <c r="J518" i="11"/>
  <c r="F481" i="11"/>
  <c r="J481" i="11"/>
  <c r="F870" i="11"/>
  <c r="J870" i="11"/>
  <c r="F756" i="11"/>
  <c r="J756" i="11"/>
  <c r="F444" i="11"/>
  <c r="J444" i="11"/>
  <c r="F876" i="11"/>
  <c r="J876" i="11"/>
  <c r="F792" i="11"/>
  <c r="J792" i="11"/>
  <c r="F188" i="11"/>
  <c r="J188" i="11"/>
  <c r="F662" i="11"/>
  <c r="J662" i="11"/>
  <c r="F578" i="11"/>
  <c r="J578" i="11"/>
  <c r="F297" i="11"/>
  <c r="J297" i="11"/>
  <c r="F156" i="11"/>
  <c r="J156" i="11"/>
  <c r="F881" i="11"/>
  <c r="J881" i="11"/>
  <c r="D40" i="1"/>
  <c r="F439" i="11"/>
  <c r="J439" i="11"/>
  <c r="F469" i="11"/>
  <c r="J469" i="11"/>
  <c r="F457" i="11"/>
  <c r="J457" i="11"/>
  <c r="F487" i="11"/>
  <c r="J487" i="11"/>
  <c r="F489" i="11"/>
  <c r="J489" i="11"/>
  <c r="F418" i="11"/>
  <c r="J418" i="11"/>
  <c r="F474" i="11"/>
  <c r="J474" i="11"/>
  <c r="F399" i="11"/>
  <c r="J399" i="11"/>
  <c r="F462" i="11"/>
  <c r="J462" i="11"/>
  <c r="F107" i="11"/>
  <c r="J107" i="11"/>
  <c r="F436" i="11"/>
  <c r="J436" i="11"/>
  <c r="F369" i="11"/>
  <c r="J369" i="11"/>
  <c r="F435" i="11"/>
  <c r="J435" i="11"/>
  <c r="F410" i="11"/>
  <c r="J410" i="11"/>
  <c r="F430" i="11"/>
  <c r="J430" i="11"/>
  <c r="F214" i="11"/>
  <c r="J214" i="11"/>
  <c r="F416" i="11"/>
  <c r="J416" i="11"/>
  <c r="F391" i="11"/>
  <c r="J391" i="11"/>
  <c r="F400" i="11"/>
  <c r="J400" i="11"/>
  <c r="D13" i="1"/>
  <c r="C13" i="17"/>
  <c r="F355" i="11"/>
  <c r="J355" i="11"/>
  <c r="F385" i="11"/>
  <c r="J385" i="11"/>
  <c r="F255" i="11"/>
  <c r="J255" i="11"/>
  <c r="F217" i="11"/>
  <c r="J217" i="11"/>
  <c r="F93" i="11"/>
  <c r="J93" i="11"/>
  <c r="F60" i="11"/>
  <c r="J60" i="11"/>
  <c r="F278" i="11"/>
  <c r="J278" i="11"/>
  <c r="F279" i="11"/>
  <c r="J279" i="11"/>
  <c r="F347" i="11"/>
  <c r="J347" i="11"/>
  <c r="F354" i="11"/>
  <c r="J354" i="11"/>
  <c r="F266" i="11"/>
  <c r="J266" i="11"/>
  <c r="F203" i="11"/>
  <c r="J203" i="11"/>
  <c r="F19" i="11"/>
  <c r="F32" i="11"/>
  <c r="F340" i="11"/>
  <c r="J340" i="11"/>
  <c r="F99" i="11"/>
  <c r="J99" i="11"/>
  <c r="F128" i="11"/>
  <c r="J128" i="11"/>
  <c r="F176" i="11"/>
  <c r="J176" i="11"/>
  <c r="F364" i="11"/>
  <c r="J364" i="11"/>
  <c r="F310" i="11"/>
  <c r="J310" i="11"/>
  <c r="F282" i="11"/>
  <c r="J282" i="11"/>
  <c r="F267" i="11"/>
  <c r="J267" i="11"/>
  <c r="F250" i="11"/>
  <c r="J250" i="11"/>
  <c r="F254" i="11"/>
  <c r="J254" i="11"/>
  <c r="F327" i="11"/>
  <c r="J327" i="11"/>
  <c r="F265" i="11"/>
  <c r="J265" i="11"/>
  <c r="F353" i="11"/>
  <c r="J353" i="11"/>
  <c r="F242" i="11"/>
  <c r="J242" i="11"/>
  <c r="F177" i="11"/>
  <c r="J177" i="11"/>
  <c r="F336" i="11"/>
  <c r="J336" i="11"/>
  <c r="F207" i="11"/>
  <c r="J207" i="11"/>
  <c r="F36" i="11"/>
  <c r="F8" i="11"/>
  <c r="F63" i="11"/>
  <c r="J63" i="11"/>
  <c r="F136" i="11"/>
  <c r="J136" i="11"/>
  <c r="F104" i="11"/>
  <c r="J104" i="11"/>
  <c r="F148" i="11"/>
  <c r="J148" i="11"/>
  <c r="F165" i="11"/>
  <c r="J165" i="11"/>
  <c r="F134" i="11"/>
  <c r="J134" i="11"/>
  <c r="F146" i="11"/>
  <c r="J146" i="11"/>
  <c r="F162" i="11"/>
  <c r="J162" i="11"/>
  <c r="F109" i="11"/>
  <c r="J109" i="11"/>
  <c r="F34" i="11"/>
  <c r="F74" i="11"/>
  <c r="J74" i="11"/>
  <c r="F14" i="11"/>
  <c r="F215" i="11"/>
  <c r="J215" i="11"/>
  <c r="F51" i="11"/>
  <c r="J51" i="11"/>
  <c r="F173" i="11"/>
  <c r="J173" i="11"/>
  <c r="F23" i="11"/>
  <c r="F59" i="11"/>
  <c r="J59" i="11"/>
  <c r="F233" i="11"/>
  <c r="J233" i="11"/>
  <c r="F147" i="11"/>
  <c r="J147" i="11"/>
  <c r="F209" i="11"/>
  <c r="J209" i="11"/>
  <c r="F22" i="11"/>
  <c r="F7" i="11"/>
  <c r="D49" i="1"/>
  <c r="D47" i="1"/>
  <c r="D45" i="1"/>
  <c r="D43" i="1"/>
  <c r="D41" i="1"/>
  <c r="C41" i="17"/>
  <c r="D39" i="1"/>
  <c r="D37" i="1"/>
  <c r="D30" i="1"/>
  <c r="C30" i="17"/>
  <c r="D25" i="1"/>
  <c r="D24" i="1"/>
  <c r="C25" i="17"/>
  <c r="D21" i="1"/>
  <c r="D20" i="1"/>
  <c r="C21" i="17"/>
  <c r="D48" i="1"/>
  <c r="C48" i="17"/>
  <c r="D46" i="1"/>
  <c r="D44" i="1"/>
  <c r="C44" i="17"/>
  <c r="D42" i="1"/>
  <c r="D38" i="1"/>
  <c r="C38" i="17"/>
  <c r="D36" i="1"/>
  <c r="D33" i="1"/>
  <c r="D27" i="1"/>
  <c r="C28" i="17"/>
  <c r="D23" i="1"/>
  <c r="C24" i="17"/>
  <c r="D19" i="1"/>
  <c r="C20" i="17"/>
  <c r="E38" i="1"/>
  <c r="R38" i="1"/>
  <c r="E49" i="1"/>
  <c r="R49" i="1"/>
  <c r="D59" i="1"/>
  <c r="D57" i="1"/>
  <c r="E60" i="1"/>
  <c r="R60" i="1"/>
  <c r="E58" i="1"/>
  <c r="R58" i="1"/>
  <c r="E52" i="1"/>
  <c r="R52" i="1"/>
  <c r="D51" i="1"/>
  <c r="E9" i="1"/>
  <c r="Q9" i="1"/>
  <c r="E46" i="1"/>
  <c r="R46" i="1"/>
  <c r="E32" i="1"/>
  <c r="Q32" i="1"/>
  <c r="D22" i="1"/>
  <c r="C22" i="17"/>
  <c r="E12" i="1"/>
  <c r="Q12" i="1"/>
  <c r="D11" i="1"/>
  <c r="C11" i="17"/>
  <c r="E6" i="1"/>
  <c r="Q6" i="1"/>
  <c r="E50" i="1"/>
  <c r="R50" i="1"/>
  <c r="E42" i="1"/>
  <c r="R42" i="1"/>
  <c r="E33" i="1"/>
  <c r="R33" i="1"/>
  <c r="E30" i="1"/>
  <c r="Q30" i="1"/>
  <c r="E24" i="1"/>
  <c r="Q24" i="1"/>
  <c r="E19" i="1"/>
  <c r="Q19" i="1"/>
  <c r="E17" i="1"/>
  <c r="Q17" i="1"/>
  <c r="E15" i="1"/>
  <c r="Q15" i="1"/>
  <c r="D14" i="1"/>
  <c r="C14" i="17"/>
  <c r="D12" i="1"/>
  <c r="C12" i="17"/>
  <c r="E8" i="1"/>
  <c r="Q8" i="1"/>
  <c r="E7" i="1"/>
  <c r="Q7" i="1"/>
  <c r="D6" i="1"/>
  <c r="C6" i="17"/>
  <c r="E57" i="1"/>
  <c r="R57" i="1"/>
  <c r="E55" i="1"/>
  <c r="R55" i="1"/>
  <c r="E31" i="1"/>
  <c r="Q31" i="1"/>
  <c r="E25" i="1"/>
  <c r="Q25" i="1"/>
  <c r="E20" i="1"/>
  <c r="Q20" i="1"/>
  <c r="D17" i="1"/>
  <c r="C17" i="17"/>
  <c r="D15" i="1"/>
  <c r="C15" i="17"/>
  <c r="D8" i="1"/>
  <c r="C8" i="17"/>
  <c r="E61" i="1"/>
  <c r="R61" i="1"/>
  <c r="E56" i="1"/>
  <c r="R56" i="1"/>
  <c r="D55" i="1"/>
  <c r="E53" i="1"/>
  <c r="R53" i="1"/>
  <c r="D31" i="1"/>
  <c r="C31" i="17"/>
  <c r="E27" i="1"/>
  <c r="Q27" i="1"/>
  <c r="E26" i="1"/>
  <c r="Q26" i="1"/>
  <c r="E21" i="1"/>
  <c r="Q21" i="1"/>
  <c r="E16" i="1"/>
  <c r="Q16" i="1"/>
  <c r="E13" i="1"/>
  <c r="Q13" i="1"/>
  <c r="E10" i="1"/>
  <c r="Q10" i="1"/>
  <c r="D9" i="1"/>
  <c r="C9" i="17"/>
  <c r="D7" i="1"/>
  <c r="C7" i="17"/>
  <c r="E5" i="1"/>
  <c r="Q5" i="1"/>
  <c r="E62" i="1"/>
  <c r="R62" i="1"/>
  <c r="D61" i="1"/>
  <c r="E59" i="1"/>
  <c r="R59" i="1"/>
  <c r="E54" i="1"/>
  <c r="R54" i="1"/>
  <c r="D53" i="1"/>
  <c r="E51" i="1"/>
  <c r="R51" i="1"/>
  <c r="E48" i="1"/>
  <c r="E44" i="1"/>
  <c r="E40" i="1"/>
  <c r="E36" i="1"/>
  <c r="C34" i="17"/>
  <c r="E28" i="1"/>
  <c r="Q28" i="1"/>
  <c r="D26" i="1"/>
  <c r="C26" i="17"/>
  <c r="E23" i="1"/>
  <c r="Q23" i="1"/>
  <c r="E22" i="1"/>
  <c r="Q22" i="1"/>
  <c r="D16" i="1"/>
  <c r="C16" i="17"/>
  <c r="E14" i="1"/>
  <c r="Q14" i="1"/>
  <c r="E11" i="1"/>
  <c r="Q11" i="1"/>
  <c r="D10" i="1"/>
  <c r="C10" i="17"/>
  <c r="D5" i="1"/>
  <c r="C5" i="17"/>
  <c r="D32" i="1"/>
  <c r="C27" i="17"/>
  <c r="C23" i="17"/>
  <c r="C19" i="17"/>
  <c r="D62" i="1"/>
  <c r="C62" i="17"/>
  <c r="D60" i="1"/>
  <c r="D58" i="1"/>
  <c r="C58" i="17"/>
  <c r="D56" i="1"/>
  <c r="D54" i="1"/>
  <c r="C54" i="17"/>
  <c r="D52" i="1"/>
  <c r="C52" i="17"/>
  <c r="D50" i="1"/>
  <c r="C50" i="17"/>
  <c r="E34" i="1"/>
  <c r="R34" i="1"/>
  <c r="E47" i="1"/>
  <c r="R47" i="1"/>
  <c r="E45" i="1"/>
  <c r="R45" i="1"/>
  <c r="E43" i="1"/>
  <c r="R43" i="1"/>
  <c r="E41" i="1"/>
  <c r="R41" i="1"/>
  <c r="E39" i="1"/>
  <c r="R39" i="1"/>
  <c r="E37" i="1"/>
  <c r="R37" i="1"/>
  <c r="I72" i="11"/>
  <c r="J72" i="11"/>
  <c r="I71" i="11"/>
  <c r="I68" i="11"/>
  <c r="I69" i="11"/>
  <c r="I70" i="11"/>
  <c r="I62" i="11"/>
  <c r="I63" i="11"/>
  <c r="I64" i="11"/>
  <c r="I65" i="11"/>
  <c r="I66" i="11"/>
  <c r="I67" i="11"/>
  <c r="J62" i="11"/>
  <c r="I61" i="11"/>
  <c r="I60" i="11"/>
  <c r="I59" i="11"/>
  <c r="I58" i="11"/>
  <c r="I57" i="11"/>
  <c r="I56" i="11"/>
  <c r="I55" i="11"/>
  <c r="J55" i="11"/>
  <c r="I54" i="11"/>
  <c r="I53" i="11"/>
  <c r="I52" i="11"/>
  <c r="I51" i="11"/>
  <c r="I50" i="11"/>
  <c r="C32" i="17"/>
  <c r="C53" i="17"/>
  <c r="C59" i="17"/>
  <c r="C37" i="17"/>
  <c r="C45" i="17"/>
  <c r="C42" i="17"/>
  <c r="C47" i="17"/>
  <c r="C55" i="17"/>
  <c r="C56" i="17"/>
  <c r="C39" i="17"/>
  <c r="C33" i="17"/>
  <c r="C49" i="17"/>
  <c r="C40" i="17"/>
  <c r="C60" i="17"/>
  <c r="C61" i="17"/>
  <c r="C51" i="17"/>
  <c r="C57" i="17"/>
  <c r="C36" i="17"/>
  <c r="C46" i="17"/>
  <c r="C43" i="17"/>
  <c r="P12" i="1"/>
  <c r="O21" i="1"/>
  <c r="P5" i="1"/>
  <c r="P8" i="1"/>
  <c r="P15" i="1"/>
  <c r="P34" i="1"/>
  <c r="P40" i="1"/>
  <c r="P48" i="1"/>
  <c r="O37" i="1"/>
  <c r="P45" i="1"/>
  <c r="P42" i="1"/>
  <c r="O39" i="1"/>
  <c r="P47" i="1"/>
  <c r="O57" i="1"/>
  <c r="P36" i="1"/>
  <c r="P44" i="1"/>
  <c r="O41" i="1"/>
  <c r="O49" i="1"/>
  <c r="O59" i="1"/>
  <c r="P38" i="1"/>
  <c r="P46" i="1"/>
  <c r="P43" i="1"/>
  <c r="P28" i="1"/>
  <c r="P33" i="1"/>
  <c r="P21" i="1"/>
  <c r="P20" i="1"/>
  <c r="P25" i="1"/>
  <c r="P16" i="1"/>
  <c r="O24" i="1"/>
  <c r="P30" i="1"/>
  <c r="O47" i="1"/>
  <c r="P41" i="1"/>
  <c r="P39" i="1"/>
  <c r="P37" i="1"/>
  <c r="O43" i="1"/>
  <c r="O45" i="1"/>
  <c r="Q46" i="1"/>
  <c r="O30" i="1"/>
  <c r="O25" i="1"/>
  <c r="P49" i="1"/>
  <c r="O48" i="1"/>
  <c r="O28" i="1"/>
  <c r="O46" i="1"/>
  <c r="O38" i="1"/>
  <c r="P24" i="1"/>
  <c r="O20" i="1"/>
  <c r="O36" i="1"/>
  <c r="Q58" i="1"/>
  <c r="O40" i="1"/>
  <c r="R24" i="1"/>
  <c r="Q38" i="1"/>
  <c r="O42" i="1"/>
  <c r="O33" i="1"/>
  <c r="O44" i="1"/>
  <c r="Q49" i="1"/>
  <c r="O8" i="1"/>
  <c r="P59" i="1"/>
  <c r="O12" i="1"/>
  <c r="Q57" i="1"/>
  <c r="R26" i="1"/>
  <c r="R20" i="1"/>
  <c r="R6" i="1"/>
  <c r="Q42" i="1"/>
  <c r="Q51" i="1"/>
  <c r="R9" i="1"/>
  <c r="R31" i="1"/>
  <c r="Q61" i="1"/>
  <c r="R21" i="1"/>
  <c r="R12" i="1"/>
  <c r="O34" i="1"/>
  <c r="Q54" i="1"/>
  <c r="Q50" i="1"/>
  <c r="P57" i="1"/>
  <c r="R30" i="1"/>
  <c r="R7" i="1"/>
  <c r="R15" i="1"/>
  <c r="O15" i="1"/>
  <c r="Q62" i="1"/>
  <c r="R32" i="1"/>
  <c r="R19" i="1"/>
  <c r="Q60" i="1"/>
  <c r="O51" i="1"/>
  <c r="P51" i="1"/>
  <c r="R10" i="1"/>
  <c r="O16" i="1"/>
  <c r="Q52" i="1"/>
  <c r="P22" i="1"/>
  <c r="O22" i="1"/>
  <c r="R25" i="1"/>
  <c r="R5" i="1"/>
  <c r="R8" i="1"/>
  <c r="Q56" i="1"/>
  <c r="R13" i="1"/>
  <c r="Q34" i="1"/>
  <c r="P17" i="1"/>
  <c r="O17" i="1"/>
  <c r="Q45" i="1"/>
  <c r="Q55" i="1"/>
  <c r="Q59" i="1"/>
  <c r="Q33" i="1"/>
  <c r="P6" i="1"/>
  <c r="O6" i="1"/>
  <c r="P14" i="1"/>
  <c r="O14" i="1"/>
  <c r="P11" i="1"/>
  <c r="O11" i="1"/>
  <c r="R11" i="1"/>
  <c r="R17" i="1"/>
  <c r="P13" i="1"/>
  <c r="O13" i="1"/>
  <c r="R44" i="1"/>
  <c r="Q44" i="1"/>
  <c r="O53" i="1"/>
  <c r="P53" i="1"/>
  <c r="O61" i="1"/>
  <c r="P61" i="1"/>
  <c r="R16" i="1"/>
  <c r="O5" i="1"/>
  <c r="R48" i="1"/>
  <c r="Q48" i="1"/>
  <c r="P9" i="1"/>
  <c r="O9" i="1"/>
  <c r="R28" i="1"/>
  <c r="O55" i="1"/>
  <c r="P55" i="1"/>
  <c r="Q37" i="1"/>
  <c r="Q53" i="1"/>
  <c r="P10" i="1"/>
  <c r="O10" i="1"/>
  <c r="R36" i="1"/>
  <c r="Q36" i="1"/>
  <c r="R23" i="1"/>
  <c r="P31" i="1"/>
  <c r="O31" i="1"/>
  <c r="R27" i="1"/>
  <c r="R14" i="1"/>
  <c r="R22" i="1"/>
  <c r="Q43" i="1"/>
  <c r="P26" i="1"/>
  <c r="O26" i="1"/>
  <c r="R40" i="1"/>
  <c r="Q40" i="1"/>
  <c r="P7" i="1"/>
  <c r="O7" i="1"/>
  <c r="O54" i="1"/>
  <c r="P54" i="1"/>
  <c r="O56" i="1"/>
  <c r="P56" i="1"/>
  <c r="P19" i="1"/>
  <c r="O19" i="1"/>
  <c r="P27" i="1"/>
  <c r="O27" i="1"/>
  <c r="O50" i="1"/>
  <c r="P50" i="1"/>
  <c r="O58" i="1"/>
  <c r="P58" i="1"/>
  <c r="Q39" i="1"/>
  <c r="Q47" i="1"/>
  <c r="O62" i="1"/>
  <c r="P62" i="1"/>
  <c r="O52" i="1"/>
  <c r="P52" i="1"/>
  <c r="O60" i="1"/>
  <c r="P60" i="1"/>
  <c r="P23" i="1"/>
  <c r="O23" i="1"/>
  <c r="P32" i="1"/>
  <c r="O32" i="1"/>
  <c r="Q41" i="1"/>
  <c r="N12" i="9"/>
  <c r="M12" i="9"/>
  <c r="L12" i="9"/>
  <c r="K12" i="9"/>
  <c r="J12" i="9"/>
  <c r="I12" i="9"/>
  <c r="F270" i="11"/>
  <c r="J270" i="11"/>
  <c r="F269" i="11"/>
  <c r="J269" i="11"/>
  <c r="E12" i="9"/>
  <c r="D12" i="9"/>
  <c r="G165" i="17"/>
  <c r="R12" i="9"/>
  <c r="Q12" i="9"/>
  <c r="P12" i="9"/>
  <c r="O12" i="9"/>
  <c r="I49" i="11"/>
  <c r="I47" i="11"/>
  <c r="I45" i="11"/>
  <c r="I46" i="11"/>
  <c r="I48" i="11"/>
  <c r="J48" i="11"/>
  <c r="I44" i="11"/>
  <c r="I43" i="11"/>
  <c r="I41" i="11"/>
  <c r="I42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J32" i="11"/>
  <c r="J34" i="11"/>
  <c r="J36" i="11"/>
  <c r="I28" i="11"/>
  <c r="F411" i="11"/>
  <c r="J411" i="11"/>
  <c r="I23" i="11"/>
  <c r="I24" i="11"/>
  <c r="I25" i="11"/>
  <c r="I26" i="11"/>
  <c r="I27" i="11"/>
  <c r="J23" i="11"/>
  <c r="J27" i="11"/>
  <c r="I15" i="11"/>
  <c r="I16" i="11"/>
  <c r="I17" i="11"/>
  <c r="I18" i="11"/>
  <c r="I19" i="11"/>
  <c r="I20" i="11"/>
  <c r="I22" i="11"/>
  <c r="J19" i="11"/>
  <c r="J22" i="11"/>
  <c r="I14" i="11"/>
  <c r="J14" i="11"/>
  <c r="I13" i="11"/>
  <c r="I12" i="11"/>
  <c r="I11" i="11"/>
  <c r="I10" i="11"/>
  <c r="I9" i="9"/>
  <c r="J9" i="9"/>
  <c r="K9" i="9"/>
  <c r="L9" i="9"/>
  <c r="M9" i="9"/>
  <c r="N9" i="9"/>
  <c r="F211" i="11"/>
  <c r="J211" i="11"/>
  <c r="F101" i="11"/>
  <c r="J101" i="11"/>
  <c r="D9" i="9"/>
  <c r="G162" i="17"/>
  <c r="E9" i="9"/>
  <c r="R9" i="9"/>
  <c r="P9" i="9"/>
  <c r="O9" i="9"/>
  <c r="Q9" i="9"/>
  <c r="I7" i="9"/>
  <c r="J7" i="9"/>
  <c r="K7" i="9"/>
  <c r="L7" i="9"/>
  <c r="M7" i="9"/>
  <c r="N7" i="9"/>
  <c r="F441" i="11"/>
  <c r="J441" i="11"/>
  <c r="F440" i="11"/>
  <c r="J440" i="11"/>
  <c r="I19" i="10"/>
  <c r="J7" i="10"/>
  <c r="J8" i="10"/>
  <c r="J10" i="10"/>
  <c r="J11" i="10"/>
  <c r="J13" i="10"/>
  <c r="J14" i="10"/>
  <c r="J15" i="10"/>
  <c r="J16" i="10"/>
  <c r="J17" i="10"/>
  <c r="J18" i="10"/>
  <c r="J12" i="10"/>
  <c r="J19" i="10"/>
  <c r="K7" i="10"/>
  <c r="K8" i="10"/>
  <c r="K10" i="10"/>
  <c r="K11" i="10"/>
  <c r="K13" i="10"/>
  <c r="K14" i="10"/>
  <c r="K15" i="10"/>
  <c r="K16" i="10"/>
  <c r="K17" i="10"/>
  <c r="K18" i="10"/>
  <c r="K12" i="10"/>
  <c r="K19" i="10"/>
  <c r="L7" i="10"/>
  <c r="L8" i="10"/>
  <c r="L10" i="10"/>
  <c r="L11" i="10"/>
  <c r="L13" i="10"/>
  <c r="L14" i="10"/>
  <c r="L15" i="10"/>
  <c r="L16" i="10"/>
  <c r="L17" i="10"/>
  <c r="L18" i="10"/>
  <c r="L12" i="10"/>
  <c r="L19" i="10"/>
  <c r="M7" i="10"/>
  <c r="M8" i="10"/>
  <c r="M10" i="10"/>
  <c r="M11" i="10"/>
  <c r="M13" i="10"/>
  <c r="M14" i="10"/>
  <c r="M15" i="10"/>
  <c r="M16" i="10"/>
  <c r="M17" i="10"/>
  <c r="M18" i="10"/>
  <c r="M12" i="10"/>
  <c r="M19" i="10"/>
  <c r="N7" i="10"/>
  <c r="N8" i="10"/>
  <c r="N10" i="10"/>
  <c r="N11" i="10"/>
  <c r="N13" i="10"/>
  <c r="N14" i="10"/>
  <c r="N15" i="10"/>
  <c r="N16" i="10"/>
  <c r="N17" i="10"/>
  <c r="N18" i="10"/>
  <c r="N12" i="10"/>
  <c r="N19" i="10"/>
  <c r="F202" i="11"/>
  <c r="J202" i="11"/>
  <c r="F422" i="11"/>
  <c r="J422" i="11"/>
  <c r="F244" i="11"/>
  <c r="J244" i="11"/>
  <c r="F386" i="11"/>
  <c r="J386" i="11"/>
  <c r="F490" i="11"/>
  <c r="J490" i="11"/>
  <c r="I6" i="6"/>
  <c r="I7" i="6"/>
  <c r="I8" i="6"/>
  <c r="I9" i="6"/>
  <c r="I10" i="6"/>
  <c r="I11" i="6"/>
  <c r="I12" i="6"/>
  <c r="J6" i="6"/>
  <c r="J7" i="6"/>
  <c r="J8" i="6"/>
  <c r="J9" i="6"/>
  <c r="J10" i="6"/>
  <c r="J11" i="6"/>
  <c r="J12" i="6"/>
  <c r="K6" i="6"/>
  <c r="K7" i="6"/>
  <c r="K8" i="6"/>
  <c r="K9" i="6"/>
  <c r="K10" i="6"/>
  <c r="K11" i="6"/>
  <c r="K12" i="6"/>
  <c r="L6" i="6"/>
  <c r="L7" i="6"/>
  <c r="L8" i="6"/>
  <c r="L9" i="6"/>
  <c r="L10" i="6"/>
  <c r="L11" i="6"/>
  <c r="L12" i="6"/>
  <c r="M6" i="6"/>
  <c r="M7" i="6"/>
  <c r="M8" i="6"/>
  <c r="M9" i="6"/>
  <c r="M10" i="6"/>
  <c r="M11" i="6"/>
  <c r="M12" i="6"/>
  <c r="N6" i="6"/>
  <c r="N7" i="6"/>
  <c r="N8" i="6"/>
  <c r="N9" i="6"/>
  <c r="N10" i="6"/>
  <c r="N11" i="6"/>
  <c r="N12" i="6"/>
  <c r="I6" i="9"/>
  <c r="I8" i="9"/>
  <c r="I10" i="9"/>
  <c r="F349" i="11"/>
  <c r="J349" i="11"/>
  <c r="I11" i="9"/>
  <c r="J6" i="9"/>
  <c r="J8" i="9"/>
  <c r="J10" i="9"/>
  <c r="J11" i="9"/>
  <c r="K6" i="9"/>
  <c r="K8" i="9"/>
  <c r="K10" i="9"/>
  <c r="K11" i="9"/>
  <c r="L6" i="9"/>
  <c r="L8" i="9"/>
  <c r="L10" i="9"/>
  <c r="L11" i="9"/>
  <c r="M6" i="9"/>
  <c r="M8" i="9"/>
  <c r="M10" i="9"/>
  <c r="M11" i="9"/>
  <c r="N6" i="9"/>
  <c r="N8" i="9"/>
  <c r="N10" i="9"/>
  <c r="N11" i="9"/>
  <c r="F563" i="11"/>
  <c r="J563" i="11"/>
  <c r="F503" i="11"/>
  <c r="J503" i="11"/>
  <c r="F906" i="11"/>
  <c r="J906" i="11"/>
  <c r="F908" i="11"/>
  <c r="J908" i="11"/>
  <c r="F920" i="11"/>
  <c r="J920" i="11"/>
  <c r="F821" i="11"/>
  <c r="J821" i="11"/>
  <c r="F780" i="11"/>
  <c r="J780" i="11"/>
  <c r="F739" i="11"/>
  <c r="J739" i="11"/>
  <c r="F591" i="11"/>
  <c r="J591" i="11"/>
  <c r="F572" i="11"/>
  <c r="J572" i="11"/>
  <c r="F882" i="11"/>
  <c r="J882" i="11"/>
  <c r="F667" i="11"/>
  <c r="J667" i="11"/>
  <c r="F862" i="11"/>
  <c r="J862" i="11"/>
  <c r="F903" i="11"/>
  <c r="J903" i="11"/>
  <c r="F815" i="11"/>
  <c r="J815" i="11"/>
  <c r="F819" i="11"/>
  <c r="J819" i="11"/>
  <c r="F752" i="11"/>
  <c r="J752" i="11"/>
  <c r="F760" i="11"/>
  <c r="J760" i="11"/>
  <c r="F723" i="11"/>
  <c r="J723" i="11"/>
  <c r="F603" i="11"/>
  <c r="J603" i="11"/>
  <c r="F649" i="11"/>
  <c r="J649" i="11"/>
  <c r="F541" i="11"/>
  <c r="J541" i="11"/>
  <c r="F548" i="11"/>
  <c r="J548" i="11"/>
  <c r="F121" i="11"/>
  <c r="J121" i="11"/>
  <c r="F467" i="11"/>
  <c r="J467" i="11"/>
  <c r="F293" i="11"/>
  <c r="J293" i="11"/>
  <c r="F461" i="11"/>
  <c r="J461" i="11"/>
  <c r="F346" i="11"/>
  <c r="J346" i="11"/>
  <c r="F449" i="11"/>
  <c r="J449" i="11"/>
  <c r="F405" i="11"/>
  <c r="J405" i="11"/>
  <c r="F442" i="11"/>
  <c r="J442" i="11"/>
  <c r="F394" i="11"/>
  <c r="J394" i="11"/>
  <c r="F432" i="11"/>
  <c r="J432" i="11"/>
  <c r="F417" i="11"/>
  <c r="J417" i="11"/>
  <c r="F429" i="11"/>
  <c r="J429" i="11"/>
  <c r="F389" i="11"/>
  <c r="J389" i="11"/>
  <c r="F421" i="11"/>
  <c r="J421" i="11"/>
  <c r="F374" i="11"/>
  <c r="J374" i="11"/>
  <c r="F420" i="11"/>
  <c r="J420" i="11"/>
  <c r="F358" i="11"/>
  <c r="J358" i="11"/>
  <c r="F407" i="11"/>
  <c r="J407" i="11"/>
  <c r="F317" i="11"/>
  <c r="J317" i="11"/>
  <c r="F398" i="11"/>
  <c r="J398" i="11"/>
  <c r="F370" i="11"/>
  <c r="J370" i="11"/>
  <c r="F382" i="11"/>
  <c r="J382" i="11"/>
  <c r="F324" i="11"/>
  <c r="J324" i="11"/>
  <c r="F372" i="11"/>
  <c r="J372" i="11"/>
  <c r="F344" i="11"/>
  <c r="J344" i="11"/>
  <c r="F348" i="11"/>
  <c r="J348" i="11"/>
  <c r="F368" i="11"/>
  <c r="J368" i="11"/>
  <c r="F343" i="11"/>
  <c r="J343" i="11"/>
  <c r="F350" i="11"/>
  <c r="J350" i="11"/>
  <c r="F326" i="11"/>
  <c r="J326" i="11"/>
  <c r="F341" i="11"/>
  <c r="J341" i="11"/>
  <c r="F335" i="11"/>
  <c r="J335" i="11"/>
  <c r="F329" i="11"/>
  <c r="J329" i="11"/>
  <c r="F274" i="11"/>
  <c r="J274" i="11"/>
  <c r="F264" i="11"/>
  <c r="J264" i="11"/>
  <c r="F313" i="11"/>
  <c r="J313" i="11"/>
  <c r="F312" i="11"/>
  <c r="J312" i="11"/>
  <c r="F287" i="11"/>
  <c r="J287" i="11"/>
  <c r="F272" i="11"/>
  <c r="J272" i="11"/>
  <c r="F258" i="11"/>
  <c r="J258" i="11"/>
  <c r="F256" i="11"/>
  <c r="J256" i="11"/>
  <c r="F33" i="11"/>
  <c r="J33" i="11"/>
  <c r="F308" i="11"/>
  <c r="J308" i="11"/>
  <c r="F283" i="11"/>
  <c r="J283" i="11"/>
  <c r="F175" i="11"/>
  <c r="J175" i="11"/>
  <c r="F13" i="11"/>
  <c r="J13" i="11"/>
  <c r="F35" i="11"/>
  <c r="J35" i="11"/>
  <c r="F322" i="11"/>
  <c r="J322" i="11"/>
  <c r="F321" i="11"/>
  <c r="J321" i="11"/>
  <c r="F304" i="11"/>
  <c r="J304" i="11"/>
  <c r="F295" i="11"/>
  <c r="J295" i="11"/>
  <c r="F268" i="11"/>
  <c r="J268" i="11"/>
  <c r="F257" i="11"/>
  <c r="J257" i="11"/>
  <c r="F247" i="11"/>
  <c r="J247" i="11"/>
  <c r="F285" i="11"/>
  <c r="J285" i="11"/>
  <c r="F243" i="11"/>
  <c r="J243" i="11"/>
  <c r="F69" i="11"/>
  <c r="J69" i="11"/>
  <c r="F223" i="11"/>
  <c r="J223" i="11"/>
  <c r="F238" i="11"/>
  <c r="J238" i="11"/>
  <c r="F139" i="11"/>
  <c r="J139" i="11"/>
  <c r="F131" i="11"/>
  <c r="J131" i="11"/>
  <c r="F117" i="11"/>
  <c r="J117" i="11"/>
  <c r="F96" i="11"/>
  <c r="J96" i="11"/>
  <c r="F84" i="11"/>
  <c r="J84" i="11"/>
  <c r="F98" i="11"/>
  <c r="J98" i="11"/>
  <c r="F53" i="11"/>
  <c r="J53" i="11"/>
  <c r="F66" i="11"/>
  <c r="J66" i="11"/>
  <c r="F46" i="11"/>
  <c r="J46" i="11"/>
  <c r="F182" i="11"/>
  <c r="J182" i="11"/>
  <c r="F145" i="11"/>
  <c r="J145" i="11"/>
  <c r="F100" i="11"/>
  <c r="J100" i="11"/>
  <c r="F126" i="11"/>
  <c r="J126" i="11"/>
  <c r="F174" i="11"/>
  <c r="J174" i="11"/>
  <c r="F52" i="11"/>
  <c r="J52" i="11"/>
  <c r="F180" i="11"/>
  <c r="J180" i="11"/>
  <c r="F112" i="11"/>
  <c r="J112" i="11"/>
  <c r="F111" i="11"/>
  <c r="J111" i="11"/>
  <c r="F83" i="11"/>
  <c r="J83" i="11"/>
  <c r="F50" i="11"/>
  <c r="J50" i="11"/>
  <c r="F124" i="11"/>
  <c r="J124" i="11"/>
  <c r="F85" i="11"/>
  <c r="J85" i="11"/>
  <c r="F61" i="11"/>
  <c r="J61" i="11"/>
  <c r="F12" i="11"/>
  <c r="J12" i="11"/>
  <c r="F158" i="11"/>
  <c r="J158" i="11"/>
  <c r="F125" i="11"/>
  <c r="J125" i="11"/>
  <c r="F166" i="11"/>
  <c r="J166" i="11"/>
  <c r="F149" i="11"/>
  <c r="J149" i="11"/>
  <c r="F82" i="11"/>
  <c r="J82" i="11"/>
  <c r="F79" i="11"/>
  <c r="J79" i="11"/>
  <c r="F184" i="11"/>
  <c r="J184" i="11"/>
  <c r="F118" i="11"/>
  <c r="J118" i="11"/>
  <c r="F212" i="11"/>
  <c r="J212" i="11"/>
  <c r="F205" i="11"/>
  <c r="J205" i="11"/>
  <c r="F114" i="11"/>
  <c r="J114" i="11"/>
  <c r="F234" i="11"/>
  <c r="J234" i="11"/>
  <c r="F235" i="11"/>
  <c r="J235" i="11"/>
  <c r="F206" i="11"/>
  <c r="J206" i="11"/>
  <c r="F218" i="11"/>
  <c r="J218" i="11"/>
  <c r="F172" i="11"/>
  <c r="J172" i="11"/>
  <c r="F102" i="11"/>
  <c r="J102" i="11"/>
  <c r="F39" i="11"/>
  <c r="J39" i="11"/>
  <c r="F24" i="11"/>
  <c r="J24" i="11"/>
  <c r="F38" i="11"/>
  <c r="J38" i="11"/>
  <c r="F56" i="11"/>
  <c r="J56" i="11"/>
  <c r="E10" i="6"/>
  <c r="E7" i="6"/>
  <c r="D11" i="6"/>
  <c r="G145" i="17"/>
  <c r="D8" i="6"/>
  <c r="G142" i="17"/>
  <c r="E7" i="9"/>
  <c r="E9" i="6"/>
  <c r="E6" i="6"/>
  <c r="D10" i="6"/>
  <c r="G144" i="17"/>
  <c r="D7" i="6"/>
  <c r="G141" i="17"/>
  <c r="D7" i="9"/>
  <c r="G160" i="17"/>
  <c r="E12" i="6"/>
  <c r="D9" i="6"/>
  <c r="G143" i="17"/>
  <c r="D6" i="6"/>
  <c r="G140" i="17"/>
  <c r="E11" i="6"/>
  <c r="E8" i="6"/>
  <c r="D12" i="6"/>
  <c r="G146" i="17"/>
  <c r="E18" i="10"/>
  <c r="Q18" i="10"/>
  <c r="D18" i="10"/>
  <c r="C167" i="17"/>
  <c r="D8" i="10"/>
  <c r="E17" i="10"/>
  <c r="R17" i="10"/>
  <c r="E7" i="10"/>
  <c r="R7" i="10"/>
  <c r="D13" i="10"/>
  <c r="E16" i="10"/>
  <c r="R16" i="10"/>
  <c r="E11" i="10"/>
  <c r="R11" i="10"/>
  <c r="D16" i="10"/>
  <c r="D11" i="10"/>
  <c r="E14" i="10"/>
  <c r="Q14" i="10"/>
  <c r="E8" i="10"/>
  <c r="R8" i="10"/>
  <c r="D14" i="10"/>
  <c r="E13" i="10"/>
  <c r="Q13" i="10"/>
  <c r="D17" i="10"/>
  <c r="D7" i="10"/>
  <c r="E12" i="10"/>
  <c r="R12" i="10"/>
  <c r="E15" i="10"/>
  <c r="Q15" i="10"/>
  <c r="E10" i="10"/>
  <c r="R10" i="10"/>
  <c r="D12" i="10"/>
  <c r="D15" i="10"/>
  <c r="D10" i="10"/>
  <c r="D19" i="10"/>
  <c r="E19" i="10"/>
  <c r="R19" i="10"/>
  <c r="D11" i="9"/>
  <c r="G164" i="17"/>
  <c r="D6" i="9"/>
  <c r="G159" i="17"/>
  <c r="E11" i="9"/>
  <c r="E6" i="9"/>
  <c r="D10" i="9"/>
  <c r="G163" i="17"/>
  <c r="E10" i="9"/>
  <c r="D8" i="9"/>
  <c r="G161" i="17"/>
  <c r="E8" i="9"/>
  <c r="P12" i="10"/>
  <c r="C161" i="17"/>
  <c r="O7" i="10"/>
  <c r="C156" i="17"/>
  <c r="P19" i="10"/>
  <c r="C168" i="17"/>
  <c r="O8" i="10"/>
  <c r="C157" i="17"/>
  <c r="O10" i="10"/>
  <c r="C159" i="17"/>
  <c r="P13" i="10"/>
  <c r="C162" i="17"/>
  <c r="O17" i="10"/>
  <c r="C166" i="17"/>
  <c r="O11" i="10"/>
  <c r="C160" i="17"/>
  <c r="O15" i="10"/>
  <c r="C164" i="17"/>
  <c r="P14" i="10"/>
  <c r="C163" i="17"/>
  <c r="P16" i="10"/>
  <c r="C165" i="17"/>
  <c r="Q8" i="6"/>
  <c r="R12" i="6"/>
  <c r="R6" i="6"/>
  <c r="R10" i="9"/>
  <c r="R8" i="9"/>
  <c r="Q6" i="9"/>
  <c r="R11" i="6"/>
  <c r="Q9" i="6"/>
  <c r="R7" i="6"/>
  <c r="Q11" i="9"/>
  <c r="R7" i="9"/>
  <c r="Q10" i="6"/>
  <c r="P8" i="9"/>
  <c r="P6" i="9"/>
  <c r="O7" i="9"/>
  <c r="P10" i="9"/>
  <c r="O11" i="9"/>
  <c r="P11" i="6"/>
  <c r="P6" i="6"/>
  <c r="O7" i="6"/>
  <c r="O12" i="6"/>
  <c r="O9" i="6"/>
  <c r="P10" i="6"/>
  <c r="P8" i="6"/>
  <c r="Q7" i="9"/>
  <c r="R10" i="6"/>
  <c r="P7" i="6"/>
  <c r="O18" i="10"/>
  <c r="Q7" i="10"/>
  <c r="R9" i="6"/>
  <c r="Q12" i="10"/>
  <c r="O6" i="6"/>
  <c r="Q7" i="6"/>
  <c r="Q19" i="10"/>
  <c r="Q11" i="6"/>
  <c r="P8" i="10"/>
  <c r="P7" i="9"/>
  <c r="O8" i="6"/>
  <c r="R14" i="10"/>
  <c r="O10" i="9"/>
  <c r="P17" i="10"/>
  <c r="O11" i="6"/>
  <c r="Q6" i="6"/>
  <c r="Q17" i="10"/>
  <c r="Q10" i="10"/>
  <c r="O10" i="6"/>
  <c r="Q12" i="6"/>
  <c r="Q16" i="10"/>
  <c r="O19" i="10"/>
  <c r="O6" i="9"/>
  <c r="O16" i="10"/>
  <c r="R18" i="10"/>
  <c r="P12" i="6"/>
  <c r="O14" i="10"/>
  <c r="P9" i="6"/>
  <c r="P10" i="10"/>
  <c r="Q10" i="9"/>
  <c r="R15" i="10"/>
  <c r="R13" i="10"/>
  <c r="P18" i="10"/>
  <c r="R6" i="9"/>
  <c r="R8" i="6"/>
  <c r="P15" i="10"/>
  <c r="R11" i="9"/>
  <c r="Q8" i="10"/>
  <c r="Q11" i="10"/>
  <c r="O8" i="9"/>
  <c r="P11" i="9"/>
  <c r="P11" i="10"/>
  <c r="O13" i="10"/>
  <c r="P7" i="10"/>
  <c r="O12" i="10"/>
  <c r="Q8" i="9"/>
  <c r="F262" i="11"/>
  <c r="J262" i="11"/>
  <c r="I8" i="5"/>
  <c r="F161" i="11"/>
  <c r="J161" i="11"/>
  <c r="F289" i="11"/>
  <c r="J289" i="11"/>
  <c r="F332" i="11"/>
  <c r="J332" i="11"/>
  <c r="F345" i="11"/>
  <c r="J345" i="11"/>
  <c r="F330" i="11"/>
  <c r="J330" i="11"/>
  <c r="I16" i="5"/>
  <c r="F227" i="11"/>
  <c r="J227" i="11"/>
  <c r="I17" i="5"/>
  <c r="I19" i="5"/>
  <c r="F138" i="11"/>
  <c r="J138" i="11"/>
  <c r="I26" i="5"/>
  <c r="I27" i="5"/>
  <c r="I28" i="5"/>
  <c r="I29" i="5"/>
  <c r="F314" i="11"/>
  <c r="J314" i="11"/>
  <c r="I33" i="5"/>
  <c r="I34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2" i="5"/>
  <c r="J23" i="5"/>
  <c r="J24" i="5"/>
  <c r="J26" i="5"/>
  <c r="J27" i="5"/>
  <c r="J28" i="5"/>
  <c r="J29" i="5"/>
  <c r="J30" i="5"/>
  <c r="J31" i="5"/>
  <c r="J32" i="5"/>
  <c r="J33" i="5"/>
  <c r="J34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2" i="5"/>
  <c r="K23" i="5"/>
  <c r="K24" i="5"/>
  <c r="K26" i="5"/>
  <c r="K27" i="5"/>
  <c r="K28" i="5"/>
  <c r="K29" i="5"/>
  <c r="K30" i="5"/>
  <c r="K31" i="5"/>
  <c r="K32" i="5"/>
  <c r="K33" i="5"/>
  <c r="K34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2" i="5"/>
  <c r="L23" i="5"/>
  <c r="L24" i="5"/>
  <c r="L26" i="5"/>
  <c r="L27" i="5"/>
  <c r="L28" i="5"/>
  <c r="L29" i="5"/>
  <c r="L30" i="5"/>
  <c r="L31" i="5"/>
  <c r="L32" i="5"/>
  <c r="L33" i="5"/>
  <c r="L34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2" i="5"/>
  <c r="M23" i="5"/>
  <c r="M24" i="5"/>
  <c r="M26" i="5"/>
  <c r="M27" i="5"/>
  <c r="M28" i="5"/>
  <c r="M29" i="5"/>
  <c r="M30" i="5"/>
  <c r="M31" i="5"/>
  <c r="M32" i="5"/>
  <c r="M33" i="5"/>
  <c r="M34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2" i="5"/>
  <c r="N23" i="5"/>
  <c r="N24" i="5"/>
  <c r="N26" i="5"/>
  <c r="N27" i="5"/>
  <c r="N28" i="5"/>
  <c r="N29" i="5"/>
  <c r="N30" i="5"/>
  <c r="N31" i="5"/>
  <c r="N32" i="5"/>
  <c r="N33" i="5"/>
  <c r="N34" i="5"/>
  <c r="F328" i="11"/>
  <c r="J328" i="11"/>
  <c r="I6" i="4"/>
  <c r="I7" i="4"/>
  <c r="F438" i="11"/>
  <c r="J438" i="11"/>
  <c r="I8" i="4"/>
  <c r="F252" i="11"/>
  <c r="J252" i="11"/>
  <c r="I9" i="4"/>
  <c r="I10" i="4"/>
  <c r="F448" i="11"/>
  <c r="J448" i="11"/>
  <c r="I11" i="4"/>
  <c r="F298" i="11"/>
  <c r="J298" i="11"/>
  <c r="I12" i="4"/>
  <c r="I13" i="4"/>
  <c r="J6" i="4"/>
  <c r="J7" i="4"/>
  <c r="J8" i="4"/>
  <c r="J9" i="4"/>
  <c r="J10" i="4"/>
  <c r="J11" i="4"/>
  <c r="J12" i="4"/>
  <c r="J13" i="4"/>
  <c r="K6" i="4"/>
  <c r="K7" i="4"/>
  <c r="K8" i="4"/>
  <c r="K9" i="4"/>
  <c r="K10" i="4"/>
  <c r="K11" i="4"/>
  <c r="K12" i="4"/>
  <c r="K13" i="4"/>
  <c r="L6" i="4"/>
  <c r="L7" i="4"/>
  <c r="L8" i="4"/>
  <c r="L9" i="4"/>
  <c r="L10" i="4"/>
  <c r="L11" i="4"/>
  <c r="L12" i="4"/>
  <c r="L13" i="4"/>
  <c r="M6" i="4"/>
  <c r="M7" i="4"/>
  <c r="M8" i="4"/>
  <c r="M9" i="4"/>
  <c r="M10" i="4"/>
  <c r="M11" i="4"/>
  <c r="M12" i="4"/>
  <c r="M13" i="4"/>
  <c r="N6" i="4"/>
  <c r="N7" i="4"/>
  <c r="N8" i="4"/>
  <c r="N9" i="4"/>
  <c r="N10" i="4"/>
  <c r="N11" i="4"/>
  <c r="N12" i="4"/>
  <c r="N13" i="4"/>
  <c r="J58" i="11"/>
  <c r="J44" i="11"/>
  <c r="H5" i="7"/>
  <c r="H7" i="7"/>
  <c r="H8" i="7"/>
  <c r="F359" i="11"/>
  <c r="J359" i="11"/>
  <c r="H10" i="7"/>
  <c r="F408" i="11"/>
  <c r="J408" i="11"/>
  <c r="H11" i="7"/>
  <c r="H13" i="7"/>
  <c r="I5" i="7"/>
  <c r="I7" i="7"/>
  <c r="I8" i="7"/>
  <c r="I10" i="7"/>
  <c r="I11" i="7"/>
  <c r="I13" i="7"/>
  <c r="J5" i="7"/>
  <c r="J7" i="7"/>
  <c r="J8" i="7"/>
  <c r="J10" i="7"/>
  <c r="J11" i="7"/>
  <c r="J13" i="7"/>
  <c r="K5" i="7"/>
  <c r="K7" i="7"/>
  <c r="K8" i="7"/>
  <c r="K10" i="7"/>
  <c r="K11" i="7"/>
  <c r="K13" i="7"/>
  <c r="L5" i="7"/>
  <c r="L7" i="7"/>
  <c r="L8" i="7"/>
  <c r="L10" i="7"/>
  <c r="L11" i="7"/>
  <c r="L13" i="7"/>
  <c r="M5" i="7"/>
  <c r="M7" i="7"/>
  <c r="M8" i="7"/>
  <c r="M10" i="7"/>
  <c r="M11" i="7"/>
  <c r="M13" i="7"/>
  <c r="I6" i="3"/>
  <c r="I7" i="3"/>
  <c r="F106" i="11"/>
  <c r="J106" i="11"/>
  <c r="I8" i="3"/>
  <c r="F277" i="11"/>
  <c r="J277" i="11"/>
  <c r="I9" i="3"/>
  <c r="I10" i="3"/>
  <c r="F388" i="11"/>
  <c r="J388" i="11"/>
  <c r="I11" i="3"/>
  <c r="I12" i="3"/>
  <c r="I13" i="3"/>
  <c r="I14" i="3"/>
  <c r="I15" i="3"/>
  <c r="I16" i="3"/>
  <c r="F296" i="11"/>
  <c r="J296" i="11"/>
  <c r="I17" i="3"/>
  <c r="I18" i="3"/>
  <c r="F110" i="11"/>
  <c r="J110" i="11"/>
  <c r="I19" i="3"/>
  <c r="F178" i="11"/>
  <c r="J178" i="11"/>
  <c r="I20" i="3"/>
  <c r="F306" i="11"/>
  <c r="J306" i="1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I6" i="2"/>
  <c r="F922" i="11"/>
  <c r="J922" i="11"/>
  <c r="I14" i="2"/>
  <c r="F301" i="11"/>
  <c r="J301" i="11"/>
  <c r="F893" i="11"/>
  <c r="J893" i="11"/>
  <c r="F631" i="11"/>
  <c r="J631" i="11"/>
  <c r="I20" i="2"/>
  <c r="F546" i="11"/>
  <c r="J546" i="11"/>
  <c r="I21" i="2"/>
  <c r="I22" i="2"/>
  <c r="I24" i="2"/>
  <c r="F913" i="11"/>
  <c r="J913" i="11"/>
  <c r="I25" i="2"/>
  <c r="F654" i="11"/>
  <c r="J654" i="11"/>
  <c r="F426" i="11"/>
  <c r="J426" i="11"/>
  <c r="I28" i="2"/>
  <c r="I30" i="2"/>
  <c r="I31" i="2"/>
  <c r="F794" i="11"/>
  <c r="J794" i="11"/>
  <c r="I32" i="2"/>
  <c r="I34" i="2"/>
  <c r="I36" i="2"/>
  <c r="I37" i="2"/>
  <c r="F644" i="11"/>
  <c r="J644" i="11"/>
  <c r="I39" i="2"/>
  <c r="I40" i="2"/>
  <c r="I41" i="2"/>
  <c r="F200" i="11"/>
  <c r="J200" i="11"/>
  <c r="F921" i="11"/>
  <c r="J921" i="11"/>
  <c r="I44" i="2"/>
  <c r="I45" i="2"/>
  <c r="I46" i="2"/>
  <c r="F562" i="11"/>
  <c r="J562" i="11"/>
  <c r="I48" i="2"/>
  <c r="I49" i="2"/>
  <c r="I51" i="2"/>
  <c r="I53" i="2"/>
  <c r="I54" i="2"/>
  <c r="I56" i="2"/>
  <c r="I58" i="2"/>
  <c r="I63" i="2"/>
  <c r="F471" i="11"/>
  <c r="J471" i="11"/>
  <c r="I65" i="2"/>
  <c r="I66" i="2"/>
  <c r="I68" i="2"/>
  <c r="I67" i="2"/>
  <c r="F768" i="11"/>
  <c r="J768" i="11"/>
  <c r="F829" i="11"/>
  <c r="J829" i="11"/>
  <c r="I60" i="2"/>
  <c r="I69" i="2"/>
  <c r="J6" i="2"/>
  <c r="J7" i="2"/>
  <c r="J8" i="2"/>
  <c r="J9" i="2"/>
  <c r="J11" i="2"/>
  <c r="J13" i="2"/>
  <c r="J14" i="2"/>
  <c r="J16" i="2"/>
  <c r="J17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9" i="2"/>
  <c r="J40" i="2"/>
  <c r="J41" i="2"/>
  <c r="J42" i="2"/>
  <c r="J43" i="2"/>
  <c r="J44" i="2"/>
  <c r="J45" i="2"/>
  <c r="J46" i="2"/>
  <c r="J48" i="2"/>
  <c r="J49" i="2"/>
  <c r="J50" i="2"/>
  <c r="J51" i="2"/>
  <c r="J52" i="2"/>
  <c r="J53" i="2"/>
  <c r="J54" i="2"/>
  <c r="J55" i="2"/>
  <c r="J56" i="2"/>
  <c r="J57" i="2"/>
  <c r="J58" i="2"/>
  <c r="J59" i="2"/>
  <c r="J63" i="2"/>
  <c r="J64" i="2"/>
  <c r="J65" i="2"/>
  <c r="J66" i="2"/>
  <c r="J68" i="2"/>
  <c r="J67" i="2"/>
  <c r="J70" i="2"/>
  <c r="J72" i="2"/>
  <c r="J60" i="2"/>
  <c r="J69" i="2"/>
  <c r="K6" i="2"/>
  <c r="K7" i="2"/>
  <c r="K8" i="2"/>
  <c r="K9" i="2"/>
  <c r="K11" i="2"/>
  <c r="K13" i="2"/>
  <c r="K14" i="2"/>
  <c r="K16" i="2"/>
  <c r="K17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9" i="2"/>
  <c r="K40" i="2"/>
  <c r="K41" i="2"/>
  <c r="K42" i="2"/>
  <c r="K43" i="2"/>
  <c r="K44" i="2"/>
  <c r="K45" i="2"/>
  <c r="K46" i="2"/>
  <c r="K48" i="2"/>
  <c r="K49" i="2"/>
  <c r="K50" i="2"/>
  <c r="K51" i="2"/>
  <c r="K52" i="2"/>
  <c r="K53" i="2"/>
  <c r="K54" i="2"/>
  <c r="K55" i="2"/>
  <c r="K56" i="2"/>
  <c r="K57" i="2"/>
  <c r="K58" i="2"/>
  <c r="K63" i="2"/>
  <c r="K64" i="2"/>
  <c r="K65" i="2"/>
  <c r="K66" i="2"/>
  <c r="K68" i="2"/>
  <c r="K67" i="2"/>
  <c r="K70" i="2"/>
  <c r="K72" i="2"/>
  <c r="K69" i="2"/>
  <c r="L6" i="2"/>
  <c r="L7" i="2"/>
  <c r="L8" i="2"/>
  <c r="L9" i="2"/>
  <c r="L11" i="2"/>
  <c r="L13" i="2"/>
  <c r="L14" i="2"/>
  <c r="L16" i="2"/>
  <c r="L17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9" i="2"/>
  <c r="L40" i="2"/>
  <c r="L41" i="2"/>
  <c r="L42" i="2"/>
  <c r="L43" i="2"/>
  <c r="L44" i="2"/>
  <c r="L45" i="2"/>
  <c r="L46" i="2"/>
  <c r="L48" i="2"/>
  <c r="L49" i="2"/>
  <c r="L50" i="2"/>
  <c r="L51" i="2"/>
  <c r="L52" i="2"/>
  <c r="L53" i="2"/>
  <c r="L54" i="2"/>
  <c r="L55" i="2"/>
  <c r="L56" i="2"/>
  <c r="L57" i="2"/>
  <c r="L58" i="2"/>
  <c r="L59" i="2"/>
  <c r="L63" i="2"/>
  <c r="L64" i="2"/>
  <c r="L65" i="2"/>
  <c r="L66" i="2"/>
  <c r="L68" i="2"/>
  <c r="L67" i="2"/>
  <c r="L70" i="2"/>
  <c r="L72" i="2"/>
  <c r="L60" i="2"/>
  <c r="L69" i="2"/>
  <c r="M6" i="2"/>
  <c r="M7" i="2"/>
  <c r="M8" i="2"/>
  <c r="M9" i="2"/>
  <c r="M11" i="2"/>
  <c r="M13" i="2"/>
  <c r="M14" i="2"/>
  <c r="M16" i="2"/>
  <c r="M17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9" i="2"/>
  <c r="M40" i="2"/>
  <c r="M41" i="2"/>
  <c r="M42" i="2"/>
  <c r="M43" i="2"/>
  <c r="M44" i="2"/>
  <c r="M45" i="2"/>
  <c r="M46" i="2"/>
  <c r="M48" i="2"/>
  <c r="M49" i="2"/>
  <c r="M50" i="2"/>
  <c r="M51" i="2"/>
  <c r="M52" i="2"/>
  <c r="M53" i="2"/>
  <c r="M54" i="2"/>
  <c r="M55" i="2"/>
  <c r="M56" i="2"/>
  <c r="M57" i="2"/>
  <c r="M58" i="2"/>
  <c r="M63" i="2"/>
  <c r="M64" i="2"/>
  <c r="M65" i="2"/>
  <c r="M66" i="2"/>
  <c r="M68" i="2"/>
  <c r="M67" i="2"/>
  <c r="M70" i="2"/>
  <c r="M72" i="2"/>
  <c r="M69" i="2"/>
  <c r="N6" i="2"/>
  <c r="N7" i="2"/>
  <c r="N8" i="2"/>
  <c r="N9" i="2"/>
  <c r="N11" i="2"/>
  <c r="N13" i="2"/>
  <c r="N14" i="2"/>
  <c r="N16" i="2"/>
  <c r="N17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9" i="2"/>
  <c r="N40" i="2"/>
  <c r="N41" i="2"/>
  <c r="N42" i="2"/>
  <c r="N43" i="2"/>
  <c r="N44" i="2"/>
  <c r="N45" i="2"/>
  <c r="N46" i="2"/>
  <c r="N48" i="2"/>
  <c r="N49" i="2"/>
  <c r="N50" i="2"/>
  <c r="N51" i="2"/>
  <c r="N52" i="2"/>
  <c r="N53" i="2"/>
  <c r="N54" i="2"/>
  <c r="N55" i="2"/>
  <c r="N56" i="2"/>
  <c r="N57" i="2"/>
  <c r="N58" i="2"/>
  <c r="N59" i="2"/>
  <c r="N63" i="2"/>
  <c r="N64" i="2"/>
  <c r="N65" i="2"/>
  <c r="N66" i="2"/>
  <c r="N68" i="2"/>
  <c r="N67" i="2"/>
  <c r="N70" i="2"/>
  <c r="N72" i="2"/>
  <c r="N60" i="2"/>
  <c r="N69" i="2"/>
  <c r="F911" i="11"/>
  <c r="J911" i="11"/>
  <c r="F912" i="11"/>
  <c r="J912" i="11"/>
  <c r="F472" i="11"/>
  <c r="J472" i="11"/>
  <c r="F928" i="11"/>
  <c r="J928" i="11"/>
  <c r="F141" i="11"/>
  <c r="J141" i="11"/>
  <c r="F526" i="11"/>
  <c r="J526" i="11"/>
  <c r="F858" i="11"/>
  <c r="J858" i="11"/>
  <c r="F766" i="11"/>
  <c r="J766" i="11"/>
  <c r="F501" i="11"/>
  <c r="J501" i="11"/>
  <c r="F496" i="11"/>
  <c r="J496" i="11"/>
  <c r="F832" i="11"/>
  <c r="J832" i="11"/>
  <c r="F480" i="11"/>
  <c r="J480" i="11"/>
  <c r="F450" i="11"/>
  <c r="J450" i="11"/>
  <c r="F532" i="11"/>
  <c r="J532" i="11"/>
  <c r="F852" i="11"/>
  <c r="J852" i="11"/>
  <c r="F705" i="11"/>
  <c r="J705" i="11"/>
  <c r="F706" i="11"/>
  <c r="J706" i="11"/>
  <c r="F325" i="11"/>
  <c r="J325" i="11"/>
  <c r="F656" i="11"/>
  <c r="J656" i="11"/>
  <c r="F675" i="11"/>
  <c r="J675" i="11"/>
  <c r="F596" i="11"/>
  <c r="J596" i="11"/>
  <c r="F470" i="11"/>
  <c r="J470" i="11"/>
  <c r="F466" i="11"/>
  <c r="J466" i="11"/>
  <c r="D72" i="2"/>
  <c r="F367" i="11"/>
  <c r="J367" i="11"/>
  <c r="F686" i="11"/>
  <c r="J686" i="11"/>
  <c r="F849" i="11"/>
  <c r="J849" i="11"/>
  <c r="F854" i="11"/>
  <c r="J854" i="11"/>
  <c r="F762" i="11"/>
  <c r="J762" i="11"/>
  <c r="F753" i="11"/>
  <c r="J753" i="11"/>
  <c r="F712" i="11"/>
  <c r="J712" i="11"/>
  <c r="F616" i="11"/>
  <c r="J616" i="11"/>
  <c r="F574" i="11"/>
  <c r="J574" i="11"/>
  <c r="F482" i="11"/>
  <c r="J482" i="11"/>
  <c r="F473" i="11"/>
  <c r="J473" i="11"/>
  <c r="F665" i="11"/>
  <c r="J665" i="11"/>
  <c r="F618" i="11"/>
  <c r="J618" i="11"/>
  <c r="F559" i="11"/>
  <c r="J559" i="11"/>
  <c r="F525" i="11"/>
  <c r="J525" i="11"/>
  <c r="F520" i="11"/>
  <c r="J520" i="11"/>
  <c r="F365" i="11"/>
  <c r="J365" i="11"/>
  <c r="F764" i="11"/>
  <c r="J764" i="11"/>
  <c r="F703" i="11"/>
  <c r="J703" i="11"/>
  <c r="F674" i="11"/>
  <c r="J674" i="11"/>
  <c r="D70" i="2"/>
  <c r="D69" i="2"/>
  <c r="D68" i="2"/>
  <c r="G70" i="17"/>
  <c r="F890" i="11"/>
  <c r="J890" i="11"/>
  <c r="F887" i="11"/>
  <c r="J887" i="11"/>
  <c r="F755" i="11"/>
  <c r="J755" i="11"/>
  <c r="F676" i="11"/>
  <c r="J676" i="11"/>
  <c r="F622" i="11"/>
  <c r="J622" i="11"/>
  <c r="F505" i="11"/>
  <c r="J505" i="11"/>
  <c r="F280" i="11"/>
  <c r="J280" i="11"/>
  <c r="F720" i="11"/>
  <c r="J720" i="11"/>
  <c r="F704" i="11"/>
  <c r="J704" i="11"/>
  <c r="F844" i="11"/>
  <c r="J844" i="11"/>
  <c r="F778" i="11"/>
  <c r="J778" i="11"/>
  <c r="F771" i="11"/>
  <c r="J771" i="11"/>
  <c r="D67" i="2"/>
  <c r="G69" i="17"/>
  <c r="F757" i="11"/>
  <c r="J757" i="11"/>
  <c r="F638" i="11"/>
  <c r="J638" i="11"/>
  <c r="F451" i="11"/>
  <c r="J451" i="11"/>
  <c r="F834" i="11"/>
  <c r="J834" i="11"/>
  <c r="F726" i="11"/>
  <c r="J726" i="11"/>
  <c r="F701" i="11"/>
  <c r="J701" i="11"/>
  <c r="F679" i="11"/>
  <c r="J679" i="11"/>
  <c r="F864" i="11"/>
  <c r="J864" i="11"/>
  <c r="F624" i="11"/>
  <c r="J624" i="11"/>
  <c r="F583" i="11"/>
  <c r="J583" i="11"/>
  <c r="F241" i="11"/>
  <c r="J241" i="11"/>
  <c r="F510" i="11"/>
  <c r="J510" i="11"/>
  <c r="F857" i="11"/>
  <c r="J857" i="11"/>
  <c r="F611" i="11"/>
  <c r="J611" i="11"/>
  <c r="F719" i="11"/>
  <c r="J719" i="11"/>
  <c r="F691" i="11"/>
  <c r="J691" i="11"/>
  <c r="F318" i="11"/>
  <c r="J318" i="11"/>
  <c r="F577" i="11"/>
  <c r="J577" i="11"/>
  <c r="F556" i="11"/>
  <c r="J556" i="11"/>
  <c r="F413" i="11"/>
  <c r="J413" i="11"/>
  <c r="F564" i="11"/>
  <c r="J564" i="11"/>
  <c r="D20" i="3"/>
  <c r="G136" i="17"/>
  <c r="D16" i="3"/>
  <c r="G132" i="17"/>
  <c r="D8" i="3"/>
  <c r="G124" i="17"/>
  <c r="D12" i="3"/>
  <c r="G128" i="17"/>
  <c r="D19" i="3"/>
  <c r="G135" i="17"/>
  <c r="D15" i="3"/>
  <c r="G131" i="17"/>
  <c r="D11" i="3"/>
  <c r="G127" i="17"/>
  <c r="D7" i="3"/>
  <c r="G123" i="17"/>
  <c r="D18" i="3"/>
  <c r="G134" i="17"/>
  <c r="D14" i="3"/>
  <c r="G130" i="17"/>
  <c r="D10" i="3"/>
  <c r="G126" i="17"/>
  <c r="D6" i="3"/>
  <c r="D17" i="3"/>
  <c r="D13" i="3"/>
  <c r="D9" i="3"/>
  <c r="F433" i="11"/>
  <c r="J433" i="11"/>
  <c r="F452" i="11"/>
  <c r="J452" i="11"/>
  <c r="F414" i="11"/>
  <c r="J414" i="11"/>
  <c r="F443" i="11"/>
  <c r="J443" i="11"/>
  <c r="F237" i="11"/>
  <c r="J237" i="11"/>
  <c r="F423" i="11"/>
  <c r="J423" i="11"/>
  <c r="F186" i="11"/>
  <c r="J186" i="11"/>
  <c r="F406" i="11"/>
  <c r="J406" i="11"/>
  <c r="F395" i="11"/>
  <c r="J395" i="11"/>
  <c r="F403" i="11"/>
  <c r="J403" i="11"/>
  <c r="F379" i="11"/>
  <c r="J379" i="11"/>
  <c r="F402" i="11"/>
  <c r="J402" i="11"/>
  <c r="F284" i="11"/>
  <c r="J284" i="11"/>
  <c r="F378" i="11"/>
  <c r="J378" i="11"/>
  <c r="F302" i="11"/>
  <c r="J302" i="11"/>
  <c r="F351" i="11"/>
  <c r="J351" i="11"/>
  <c r="F273" i="11"/>
  <c r="J273" i="11"/>
  <c r="F334" i="11"/>
  <c r="J334" i="11"/>
  <c r="F333" i="11"/>
  <c r="J333" i="11"/>
  <c r="F337" i="11"/>
  <c r="J337" i="11"/>
  <c r="F251" i="11"/>
  <c r="J251" i="11"/>
  <c r="F323" i="11"/>
  <c r="J323" i="11"/>
  <c r="F150" i="11"/>
  <c r="J150" i="11"/>
  <c r="F352" i="11"/>
  <c r="J352" i="11"/>
  <c r="F240" i="11"/>
  <c r="J240" i="11"/>
  <c r="F356" i="11"/>
  <c r="J356" i="11"/>
  <c r="F357" i="11"/>
  <c r="J357" i="11"/>
  <c r="F331" i="11"/>
  <c r="J331" i="11"/>
  <c r="F363" i="11"/>
  <c r="J363" i="11"/>
  <c r="D10" i="4"/>
  <c r="F342" i="11"/>
  <c r="J342" i="11"/>
  <c r="F253" i="11"/>
  <c r="J253" i="11"/>
  <c r="F309" i="11"/>
  <c r="J309" i="11"/>
  <c r="F246" i="11"/>
  <c r="J246" i="11"/>
  <c r="F91" i="11"/>
  <c r="J91" i="11"/>
  <c r="F90" i="11"/>
  <c r="J90" i="11"/>
  <c r="F319" i="11"/>
  <c r="J319" i="11"/>
  <c r="F338" i="11"/>
  <c r="J338" i="11"/>
  <c r="F339" i="11"/>
  <c r="J339" i="11"/>
  <c r="F194" i="11"/>
  <c r="J194" i="11"/>
  <c r="F245" i="11"/>
  <c r="J245" i="11"/>
  <c r="F305" i="11"/>
  <c r="J305" i="11"/>
  <c r="F281" i="11"/>
  <c r="J281" i="11"/>
  <c r="F164" i="11"/>
  <c r="J164" i="11"/>
  <c r="F286" i="11"/>
  <c r="J286" i="11"/>
  <c r="F300" i="11"/>
  <c r="J300" i="11"/>
  <c r="F271" i="11"/>
  <c r="J271" i="11"/>
  <c r="F291" i="11"/>
  <c r="J291" i="11"/>
  <c r="F290" i="11"/>
  <c r="J290" i="11"/>
  <c r="F275" i="11"/>
  <c r="J275" i="11"/>
  <c r="F119" i="11"/>
  <c r="J119" i="11"/>
  <c r="F92" i="11"/>
  <c r="J92" i="11"/>
  <c r="F239" i="11"/>
  <c r="J239" i="11"/>
  <c r="F140" i="11"/>
  <c r="J140" i="11"/>
  <c r="F170" i="11"/>
  <c r="J170" i="11"/>
  <c r="F192" i="11"/>
  <c r="J192" i="11"/>
  <c r="F193" i="11"/>
  <c r="J193" i="11"/>
  <c r="F199" i="11"/>
  <c r="J199" i="11"/>
  <c r="F94" i="11"/>
  <c r="J94" i="11"/>
  <c r="F45" i="11"/>
  <c r="J45" i="11"/>
  <c r="F163" i="11"/>
  <c r="J163" i="11"/>
  <c r="F29" i="11"/>
  <c r="J29" i="11"/>
  <c r="F143" i="11"/>
  <c r="J143" i="11"/>
  <c r="F89" i="11"/>
  <c r="J89" i="11"/>
  <c r="F196" i="11"/>
  <c r="J196" i="11"/>
  <c r="F216" i="11"/>
  <c r="J216" i="11"/>
  <c r="F225" i="11"/>
  <c r="J225" i="11"/>
  <c r="F40" i="11"/>
  <c r="J40" i="11"/>
  <c r="F222" i="11"/>
  <c r="J222" i="11"/>
  <c r="F221" i="11"/>
  <c r="J221" i="11"/>
  <c r="F122" i="11"/>
  <c r="J122" i="11"/>
  <c r="F232" i="11"/>
  <c r="J232" i="11"/>
  <c r="F152" i="11"/>
  <c r="J152" i="11"/>
  <c r="F167" i="11"/>
  <c r="J167" i="11"/>
  <c r="F195" i="11"/>
  <c r="J195" i="11"/>
  <c r="F68" i="11"/>
  <c r="J68" i="11"/>
  <c r="F65" i="11"/>
  <c r="J65" i="11"/>
  <c r="F115" i="11"/>
  <c r="J115" i="11"/>
  <c r="F87" i="11"/>
  <c r="J87" i="11"/>
  <c r="F120" i="11"/>
  <c r="J120" i="11"/>
  <c r="F113" i="11"/>
  <c r="J113" i="11"/>
  <c r="F127" i="11"/>
  <c r="J127" i="11"/>
  <c r="F11" i="11"/>
  <c r="J11" i="11"/>
  <c r="F191" i="11"/>
  <c r="J191" i="11"/>
  <c r="F135" i="11"/>
  <c r="J135" i="11"/>
  <c r="F16" i="11"/>
  <c r="J16" i="11"/>
  <c r="F185" i="11"/>
  <c r="J185" i="11"/>
  <c r="F70" i="11"/>
  <c r="J70" i="11"/>
  <c r="F67" i="11"/>
  <c r="J67" i="11"/>
  <c r="F10" i="11"/>
  <c r="J10" i="11"/>
  <c r="F160" i="11"/>
  <c r="J160" i="11"/>
  <c r="F189" i="11"/>
  <c r="J189" i="11"/>
  <c r="F108" i="11"/>
  <c r="J108" i="11"/>
  <c r="F76" i="11"/>
  <c r="J76" i="11"/>
  <c r="F153" i="11"/>
  <c r="J153" i="11"/>
  <c r="F105" i="11"/>
  <c r="J105" i="11"/>
  <c r="F57" i="11"/>
  <c r="J57" i="11"/>
  <c r="F37" i="11"/>
  <c r="J37" i="11"/>
  <c r="F208" i="11"/>
  <c r="J208" i="11"/>
  <c r="F169" i="11"/>
  <c r="J169" i="11"/>
  <c r="F71" i="11"/>
  <c r="J71" i="11"/>
  <c r="F197" i="11"/>
  <c r="J197" i="11"/>
  <c r="F144" i="11"/>
  <c r="J144" i="11"/>
  <c r="F133" i="11"/>
  <c r="J133" i="11"/>
  <c r="F198" i="11"/>
  <c r="J198" i="11"/>
  <c r="F201" i="11"/>
  <c r="J201" i="11"/>
  <c r="F43" i="11"/>
  <c r="J43" i="11"/>
  <c r="F157" i="11"/>
  <c r="J157" i="11"/>
  <c r="F179" i="11"/>
  <c r="J179" i="11"/>
  <c r="F231" i="11"/>
  <c r="J231" i="11"/>
  <c r="F204" i="11"/>
  <c r="J204" i="11"/>
  <c r="F229" i="11"/>
  <c r="J229" i="11"/>
  <c r="F81" i="11"/>
  <c r="J81" i="11"/>
  <c r="F230" i="11"/>
  <c r="J230" i="11"/>
  <c r="F220" i="11"/>
  <c r="J220" i="11"/>
  <c r="F228" i="11"/>
  <c r="J228" i="11"/>
  <c r="F183" i="11"/>
  <c r="J183" i="11"/>
  <c r="F219" i="11"/>
  <c r="J219" i="11"/>
  <c r="F77" i="11"/>
  <c r="J77" i="11"/>
  <c r="F78" i="11"/>
  <c r="J78" i="11"/>
  <c r="F21" i="11"/>
  <c r="J21" i="11"/>
  <c r="F47" i="11"/>
  <c r="J47" i="11"/>
  <c r="F28" i="11"/>
  <c r="J28" i="11"/>
  <c r="C11" i="7"/>
  <c r="G81" i="17"/>
  <c r="C8" i="7"/>
  <c r="G78" i="17"/>
  <c r="C10" i="7"/>
  <c r="G80" i="17"/>
  <c r="C7" i="7"/>
  <c r="G77" i="17"/>
  <c r="C13" i="7"/>
  <c r="G83" i="17"/>
  <c r="C5" i="7"/>
  <c r="J17" i="11"/>
  <c r="E29" i="2"/>
  <c r="R29" i="2"/>
  <c r="E11" i="2"/>
  <c r="R11" i="2"/>
  <c r="D58" i="2"/>
  <c r="D41" i="2"/>
  <c r="D24" i="2"/>
  <c r="E46" i="2"/>
  <c r="R46" i="2"/>
  <c r="E66" i="2"/>
  <c r="Q66" i="2"/>
  <c r="E20" i="3"/>
  <c r="E16" i="3"/>
  <c r="E12" i="3"/>
  <c r="E8" i="3"/>
  <c r="P19" i="3"/>
  <c r="O15" i="3"/>
  <c r="E11" i="4"/>
  <c r="Q11" i="4"/>
  <c r="E8" i="4"/>
  <c r="Q8" i="4"/>
  <c r="E34" i="5"/>
  <c r="E30" i="5"/>
  <c r="E26" i="5"/>
  <c r="E20" i="5"/>
  <c r="E16" i="5"/>
  <c r="E12" i="5"/>
  <c r="E8" i="5"/>
  <c r="D33" i="5"/>
  <c r="G117" i="17"/>
  <c r="D29" i="5"/>
  <c r="G113" i="17"/>
  <c r="D24" i="5"/>
  <c r="G108" i="17"/>
  <c r="D19" i="5"/>
  <c r="G103" i="17"/>
  <c r="D15" i="5"/>
  <c r="G99" i="17"/>
  <c r="D11" i="5"/>
  <c r="G95" i="17"/>
  <c r="D7" i="5"/>
  <c r="G91" i="17"/>
  <c r="E28" i="2"/>
  <c r="R28" i="2"/>
  <c r="E60" i="2"/>
  <c r="R60" i="2"/>
  <c r="E68" i="2"/>
  <c r="Q68" i="2"/>
  <c r="E63" i="2"/>
  <c r="R63" i="2"/>
  <c r="E56" i="2"/>
  <c r="Q56" i="2"/>
  <c r="E52" i="2"/>
  <c r="Q52" i="2"/>
  <c r="E48" i="2"/>
  <c r="R48" i="2"/>
  <c r="E43" i="2"/>
  <c r="Q43" i="2"/>
  <c r="E39" i="2"/>
  <c r="R39" i="2"/>
  <c r="E34" i="2"/>
  <c r="Q34" i="2"/>
  <c r="E30" i="2"/>
  <c r="Q30" i="2"/>
  <c r="E26" i="2"/>
  <c r="Q26" i="2"/>
  <c r="E23" i="2"/>
  <c r="R23" i="2"/>
  <c r="E19" i="2"/>
  <c r="R19" i="2"/>
  <c r="E13" i="2"/>
  <c r="Q13" i="2"/>
  <c r="E7" i="2"/>
  <c r="R7" i="2"/>
  <c r="D66" i="2"/>
  <c r="D55" i="2"/>
  <c r="D51" i="2"/>
  <c r="D46" i="2"/>
  <c r="D42" i="2"/>
  <c r="D33" i="2"/>
  <c r="D29" i="2"/>
  <c r="D25" i="2"/>
  <c r="D22" i="2"/>
  <c r="D17" i="2"/>
  <c r="D11" i="2"/>
  <c r="D6" i="2"/>
  <c r="G6" i="17"/>
  <c r="E72" i="2"/>
  <c r="Q72" i="2"/>
  <c r="E59" i="2"/>
  <c r="Q59" i="2"/>
  <c r="E55" i="2"/>
  <c r="R55" i="2"/>
  <c r="E51" i="2"/>
  <c r="Q51" i="2"/>
  <c r="E42" i="2"/>
  <c r="R42" i="2"/>
  <c r="E37" i="2"/>
  <c r="R37" i="2"/>
  <c r="E33" i="2"/>
  <c r="R33" i="2"/>
  <c r="E25" i="2"/>
  <c r="Q25" i="2"/>
  <c r="E22" i="2"/>
  <c r="R22" i="2"/>
  <c r="E17" i="2"/>
  <c r="R17" i="2"/>
  <c r="E6" i="2"/>
  <c r="Q6" i="2"/>
  <c r="D65" i="2"/>
  <c r="D54" i="2"/>
  <c r="D50" i="2"/>
  <c r="D45" i="2"/>
  <c r="D36" i="2"/>
  <c r="D32" i="2"/>
  <c r="D28" i="2"/>
  <c r="D21" i="2"/>
  <c r="D16" i="2"/>
  <c r="D9" i="2"/>
  <c r="G9" i="17"/>
  <c r="E17" i="3"/>
  <c r="E13" i="3"/>
  <c r="E9" i="3"/>
  <c r="E12" i="4"/>
  <c r="Q12" i="4"/>
  <c r="E9" i="4"/>
  <c r="Q9" i="4"/>
  <c r="E6" i="4"/>
  <c r="Q6" i="4"/>
  <c r="D11" i="4"/>
  <c r="C80" i="17"/>
  <c r="D8" i="4"/>
  <c r="C77" i="17"/>
  <c r="E31" i="5"/>
  <c r="E27" i="5"/>
  <c r="E22" i="5"/>
  <c r="E17" i="5"/>
  <c r="E13" i="5"/>
  <c r="E9" i="5"/>
  <c r="D34" i="5"/>
  <c r="G118" i="17"/>
  <c r="D30" i="5"/>
  <c r="G114" i="17"/>
  <c r="D26" i="5"/>
  <c r="G110" i="17"/>
  <c r="D20" i="5"/>
  <c r="G104" i="17"/>
  <c r="D16" i="5"/>
  <c r="G100" i="17"/>
  <c r="D12" i="5"/>
  <c r="G96" i="17"/>
  <c r="D8" i="5"/>
  <c r="G92" i="17"/>
  <c r="E24" i="2"/>
  <c r="R24" i="2"/>
  <c r="E21" i="2"/>
  <c r="R21" i="2"/>
  <c r="E16" i="2"/>
  <c r="Q16" i="2"/>
  <c r="E9" i="2"/>
  <c r="R9" i="2"/>
  <c r="D64" i="2"/>
  <c r="D57" i="2"/>
  <c r="D53" i="2"/>
  <c r="D49" i="2"/>
  <c r="D44" i="2"/>
  <c r="D40" i="2"/>
  <c r="D35" i="2"/>
  <c r="D31" i="2"/>
  <c r="D27" i="2"/>
  <c r="D20" i="2"/>
  <c r="D14" i="2"/>
  <c r="D8" i="2"/>
  <c r="G8" i="17"/>
  <c r="E19" i="3"/>
  <c r="E15" i="3"/>
  <c r="E11" i="3"/>
  <c r="E7" i="3"/>
  <c r="D10" i="7"/>
  <c r="D13" i="4"/>
  <c r="C82" i="17"/>
  <c r="D7" i="4"/>
  <c r="C76" i="17"/>
  <c r="E33" i="5"/>
  <c r="E29" i="5"/>
  <c r="E24" i="5"/>
  <c r="E19" i="5"/>
  <c r="E15" i="5"/>
  <c r="E11" i="5"/>
  <c r="E7" i="5"/>
  <c r="D32" i="5"/>
  <c r="G116" i="17"/>
  <c r="D28" i="5"/>
  <c r="G112" i="17"/>
  <c r="D23" i="5"/>
  <c r="G107" i="17"/>
  <c r="D18" i="5"/>
  <c r="G102" i="17"/>
  <c r="D14" i="5"/>
  <c r="G98" i="17"/>
  <c r="D10" i="5"/>
  <c r="G94" i="17"/>
  <c r="D6" i="5"/>
  <c r="G90" i="17"/>
  <c r="D7" i="7"/>
  <c r="D13" i="7"/>
  <c r="D11" i="7"/>
  <c r="E70" i="2"/>
  <c r="E65" i="2"/>
  <c r="E58" i="2"/>
  <c r="E54" i="2"/>
  <c r="E50" i="2"/>
  <c r="Q50" i="2"/>
  <c r="E45" i="2"/>
  <c r="Q45" i="2"/>
  <c r="E41" i="2"/>
  <c r="R41" i="2"/>
  <c r="E36" i="2"/>
  <c r="R36" i="2"/>
  <c r="E32" i="2"/>
  <c r="R32" i="2"/>
  <c r="E18" i="3"/>
  <c r="E14" i="3"/>
  <c r="E10" i="3"/>
  <c r="E6" i="3"/>
  <c r="D8" i="7"/>
  <c r="D5" i="7"/>
  <c r="E13" i="4"/>
  <c r="R13" i="4"/>
  <c r="E10" i="4"/>
  <c r="R10" i="4"/>
  <c r="E7" i="4"/>
  <c r="R7" i="4"/>
  <c r="D12" i="4"/>
  <c r="C81" i="17"/>
  <c r="D9" i="4"/>
  <c r="C78" i="17"/>
  <c r="D6" i="4"/>
  <c r="C75" i="17"/>
  <c r="E32" i="5"/>
  <c r="E28" i="5"/>
  <c r="E23" i="5"/>
  <c r="E18" i="5"/>
  <c r="E14" i="5"/>
  <c r="E10" i="5"/>
  <c r="E6" i="5"/>
  <c r="D31" i="5"/>
  <c r="G115" i="17"/>
  <c r="D27" i="5"/>
  <c r="G111" i="17"/>
  <c r="D22" i="5"/>
  <c r="G106" i="17"/>
  <c r="D17" i="5"/>
  <c r="G101" i="17"/>
  <c r="D13" i="5"/>
  <c r="G97" i="17"/>
  <c r="D9" i="5"/>
  <c r="G93" i="17"/>
  <c r="E69" i="2"/>
  <c r="R69" i="2"/>
  <c r="E67" i="2"/>
  <c r="R67" i="2"/>
  <c r="E64" i="2"/>
  <c r="R64" i="2"/>
  <c r="E57" i="2"/>
  <c r="R57" i="2"/>
  <c r="E53" i="2"/>
  <c r="R53" i="2"/>
  <c r="E49" i="2"/>
  <c r="R49" i="2"/>
  <c r="E44" i="2"/>
  <c r="R44" i="2"/>
  <c r="E40" i="2"/>
  <c r="R40" i="2"/>
  <c r="E35" i="2"/>
  <c r="R35" i="2"/>
  <c r="E31" i="2"/>
  <c r="R31" i="2"/>
  <c r="E27" i="2"/>
  <c r="R27" i="2"/>
  <c r="E20" i="2"/>
  <c r="R20" i="2"/>
  <c r="E14" i="2"/>
  <c r="R14" i="2"/>
  <c r="E8" i="2"/>
  <c r="R8" i="2"/>
  <c r="D63" i="2"/>
  <c r="G62" i="17"/>
  <c r="D56" i="2"/>
  <c r="D52" i="2"/>
  <c r="D48" i="2"/>
  <c r="D43" i="2"/>
  <c r="D39" i="2"/>
  <c r="D34" i="2"/>
  <c r="D30" i="2"/>
  <c r="D26" i="2"/>
  <c r="D23" i="2"/>
  <c r="D19" i="2"/>
  <c r="G18" i="17"/>
  <c r="D13" i="2"/>
  <c r="G12" i="17"/>
  <c r="D7" i="2"/>
  <c r="G7" i="17"/>
  <c r="G71" i="17"/>
  <c r="G72" i="17"/>
  <c r="G33" i="17"/>
  <c r="G51" i="17"/>
  <c r="G13" i="17"/>
  <c r="G14" i="17"/>
  <c r="G41" i="17"/>
  <c r="G10" i="17"/>
  <c r="G11" i="17"/>
  <c r="G16" i="17"/>
  <c r="G17" i="17"/>
  <c r="G68" i="17"/>
  <c r="P20" i="3"/>
  <c r="G58" i="17"/>
  <c r="O16" i="3"/>
  <c r="G22" i="17"/>
  <c r="G37" i="17"/>
  <c r="G55" i="17"/>
  <c r="G66" i="17"/>
  <c r="G26" i="17"/>
  <c r="G43" i="17"/>
  <c r="G63" i="17"/>
  <c r="G20" i="17"/>
  <c r="G24" i="17"/>
  <c r="G40" i="17"/>
  <c r="G30" i="17"/>
  <c r="G48" i="17"/>
  <c r="G65" i="17"/>
  <c r="G57" i="17"/>
  <c r="G59" i="17"/>
  <c r="G60" i="17"/>
  <c r="G44" i="17"/>
  <c r="G27" i="17"/>
  <c r="G49" i="17"/>
  <c r="G28" i="17"/>
  <c r="G45" i="17"/>
  <c r="G25" i="17"/>
  <c r="G42" i="17"/>
  <c r="G34" i="17"/>
  <c r="G52" i="17"/>
  <c r="G31" i="17"/>
  <c r="G53" i="17"/>
  <c r="G32" i="17"/>
  <c r="G50" i="17"/>
  <c r="G29" i="17"/>
  <c r="G46" i="17"/>
  <c r="G67" i="17"/>
  <c r="G19" i="17"/>
  <c r="G39" i="17"/>
  <c r="G56" i="17"/>
  <c r="G35" i="17"/>
  <c r="G64" i="17"/>
  <c r="G21" i="17"/>
  <c r="G36" i="17"/>
  <c r="G54" i="17"/>
  <c r="G23" i="17"/>
  <c r="P8" i="3"/>
  <c r="O12" i="3"/>
  <c r="O14" i="3"/>
  <c r="O18" i="3"/>
  <c r="O10" i="3"/>
  <c r="P7" i="3"/>
  <c r="P11" i="3"/>
  <c r="O9" i="3"/>
  <c r="G125" i="17"/>
  <c r="O6" i="3"/>
  <c r="G122" i="17"/>
  <c r="O13" i="3"/>
  <c r="G129" i="17"/>
  <c r="O5" i="7"/>
  <c r="G75" i="17"/>
  <c r="P10" i="4"/>
  <c r="C79" i="17"/>
  <c r="O17" i="3"/>
  <c r="G133" i="17"/>
  <c r="Q6" i="3"/>
  <c r="Q29" i="5"/>
  <c r="Q11" i="5"/>
  <c r="Q7" i="3"/>
  <c r="R30" i="5"/>
  <c r="R23" i="5"/>
  <c r="P11" i="7"/>
  <c r="R33" i="5"/>
  <c r="Q11" i="3"/>
  <c r="R9" i="5"/>
  <c r="R27" i="5"/>
  <c r="R13" i="3"/>
  <c r="R16" i="5"/>
  <c r="R12" i="3"/>
  <c r="R10" i="5"/>
  <c r="R28" i="5"/>
  <c r="Q14" i="3"/>
  <c r="P13" i="7"/>
  <c r="Q19" i="5"/>
  <c r="Q15" i="3"/>
  <c r="R13" i="5"/>
  <c r="R31" i="5"/>
  <c r="R17" i="3"/>
  <c r="R20" i="5"/>
  <c r="R16" i="3"/>
  <c r="R18" i="5"/>
  <c r="P10" i="7"/>
  <c r="R22" i="5"/>
  <c r="R9" i="3"/>
  <c r="R12" i="5"/>
  <c r="R8" i="3"/>
  <c r="R6" i="5"/>
  <c r="R10" i="3"/>
  <c r="R15" i="5"/>
  <c r="R34" i="5"/>
  <c r="R14" i="5"/>
  <c r="R32" i="5"/>
  <c r="Q8" i="7"/>
  <c r="R18" i="3"/>
  <c r="P7" i="7"/>
  <c r="Q7" i="5"/>
  <c r="R24" i="5"/>
  <c r="Q19" i="3"/>
  <c r="R17" i="5"/>
  <c r="R8" i="5"/>
  <c r="R26" i="5"/>
  <c r="R20" i="3"/>
  <c r="P22" i="5"/>
  <c r="P18" i="5"/>
  <c r="P14" i="2"/>
  <c r="P69" i="2"/>
  <c r="P70" i="2"/>
  <c r="O25" i="2"/>
  <c r="O11" i="5"/>
  <c r="O9" i="5"/>
  <c r="P27" i="5"/>
  <c r="P6" i="5"/>
  <c r="O23" i="5"/>
  <c r="P13" i="4"/>
  <c r="O20" i="2"/>
  <c r="P40" i="2"/>
  <c r="P57" i="2"/>
  <c r="P8" i="5"/>
  <c r="P26" i="5"/>
  <c r="O28" i="2"/>
  <c r="O50" i="2"/>
  <c r="O11" i="2"/>
  <c r="O29" i="2"/>
  <c r="O46" i="2"/>
  <c r="O66" i="2"/>
  <c r="P15" i="5"/>
  <c r="O33" i="5"/>
  <c r="P24" i="2"/>
  <c r="O7" i="7"/>
  <c r="P35" i="2"/>
  <c r="P20" i="5"/>
  <c r="P45" i="2"/>
  <c r="O42" i="2"/>
  <c r="O29" i="5"/>
  <c r="O13" i="7"/>
  <c r="O13" i="5"/>
  <c r="P31" i="5"/>
  <c r="P6" i="4"/>
  <c r="P10" i="5"/>
  <c r="P28" i="5"/>
  <c r="P27" i="2"/>
  <c r="O44" i="2"/>
  <c r="P64" i="2"/>
  <c r="O12" i="5"/>
  <c r="O30" i="5"/>
  <c r="O8" i="4"/>
  <c r="P9" i="2"/>
  <c r="P32" i="2"/>
  <c r="P54" i="2"/>
  <c r="O33" i="2"/>
  <c r="O51" i="2"/>
  <c r="O72" i="2"/>
  <c r="P19" i="5"/>
  <c r="P41" i="2"/>
  <c r="N10" i="7"/>
  <c r="P12" i="4"/>
  <c r="P53" i="2"/>
  <c r="P21" i="2"/>
  <c r="O6" i="2"/>
  <c r="O59" i="2"/>
  <c r="N11" i="7"/>
  <c r="O17" i="5"/>
  <c r="O9" i="4"/>
  <c r="O14" i="5"/>
  <c r="O32" i="5"/>
  <c r="P7" i="4"/>
  <c r="O8" i="2"/>
  <c r="P31" i="2"/>
  <c r="P49" i="2"/>
  <c r="P67" i="2"/>
  <c r="O16" i="5"/>
  <c r="O34" i="5"/>
  <c r="O11" i="4"/>
  <c r="P16" i="2"/>
  <c r="P36" i="2"/>
  <c r="P65" i="2"/>
  <c r="O22" i="2"/>
  <c r="O37" i="2"/>
  <c r="O55" i="2"/>
  <c r="O7" i="5"/>
  <c r="O24" i="5"/>
  <c r="P58" i="2"/>
  <c r="N8" i="7"/>
  <c r="Q5" i="7"/>
  <c r="Q28" i="5"/>
  <c r="P33" i="5"/>
  <c r="O58" i="2"/>
  <c r="R66" i="2"/>
  <c r="O24" i="2"/>
  <c r="Q11" i="2"/>
  <c r="Q29" i="2"/>
  <c r="P5" i="7"/>
  <c r="O41" i="2"/>
  <c r="Q19" i="2"/>
  <c r="P12" i="5"/>
  <c r="P66" i="2"/>
  <c r="R52" i="2"/>
  <c r="Q46" i="2"/>
  <c r="Q17" i="3"/>
  <c r="Q33" i="2"/>
  <c r="R6" i="3"/>
  <c r="R16" i="2"/>
  <c r="R34" i="2"/>
  <c r="R6" i="2"/>
  <c r="Q55" i="2"/>
  <c r="Q20" i="3"/>
  <c r="R11" i="4"/>
  <c r="Q20" i="5"/>
  <c r="Q60" i="2"/>
  <c r="R9" i="4"/>
  <c r="Q17" i="5"/>
  <c r="R7" i="3"/>
  <c r="P8" i="2"/>
  <c r="Q13" i="4"/>
  <c r="R50" i="2"/>
  <c r="R8" i="4"/>
  <c r="O64" i="2"/>
  <c r="P24" i="5"/>
  <c r="P44" i="2"/>
  <c r="P28" i="2"/>
  <c r="P16" i="3"/>
  <c r="P29" i="2"/>
  <c r="O27" i="2"/>
  <c r="P50" i="2"/>
  <c r="O19" i="3"/>
  <c r="P30" i="5"/>
  <c r="O15" i="5"/>
  <c r="P46" i="2"/>
  <c r="O70" i="2"/>
  <c r="P9" i="4"/>
  <c r="R6" i="4"/>
  <c r="P11" i="5"/>
  <c r="P11" i="2"/>
  <c r="O18" i="5"/>
  <c r="R13" i="2"/>
  <c r="Q48" i="2"/>
  <c r="O26" i="5"/>
  <c r="P12" i="3"/>
  <c r="Q13" i="5"/>
  <c r="O21" i="2"/>
  <c r="Q41" i="2"/>
  <c r="R51" i="2"/>
  <c r="Q13" i="3"/>
  <c r="Q8" i="3"/>
  <c r="Q12" i="3"/>
  <c r="O45" i="2"/>
  <c r="Q16" i="3"/>
  <c r="Q10" i="4"/>
  <c r="Q31" i="5"/>
  <c r="P10" i="3"/>
  <c r="P6" i="2"/>
  <c r="P9" i="3"/>
  <c r="P15" i="3"/>
  <c r="O13" i="4"/>
  <c r="O20" i="3"/>
  <c r="Q10" i="7"/>
  <c r="P8" i="4"/>
  <c r="P16" i="5"/>
  <c r="P34" i="5"/>
  <c r="P23" i="5"/>
  <c r="O22" i="5"/>
  <c r="O7" i="3"/>
  <c r="O12" i="4"/>
  <c r="P7" i="5"/>
  <c r="O6" i="5"/>
  <c r="R68" i="2"/>
  <c r="R25" i="2"/>
  <c r="R11" i="3"/>
  <c r="R14" i="3"/>
  <c r="N13" i="7"/>
  <c r="O10" i="5"/>
  <c r="P29" i="5"/>
  <c r="Q10" i="5"/>
  <c r="O31" i="2"/>
  <c r="Q28" i="2"/>
  <c r="Q37" i="2"/>
  <c r="Q22" i="5"/>
  <c r="O19" i="5"/>
  <c r="Q26" i="5"/>
  <c r="Q17" i="2"/>
  <c r="O11" i="3"/>
  <c r="Q12" i="5"/>
  <c r="N5" i="7"/>
  <c r="Q8" i="5"/>
  <c r="O27" i="5"/>
  <c r="Q14" i="5"/>
  <c r="O67" i="2"/>
  <c r="Q30" i="5"/>
  <c r="Q23" i="2"/>
  <c r="Q32" i="2"/>
  <c r="R30" i="2"/>
  <c r="R15" i="3"/>
  <c r="P14" i="3"/>
  <c r="Q16" i="5"/>
  <c r="Q34" i="5"/>
  <c r="O28" i="5"/>
  <c r="Q32" i="5"/>
  <c r="P25" i="2"/>
  <c r="O11" i="7"/>
  <c r="O8" i="5"/>
  <c r="P42" i="2"/>
  <c r="P59" i="2"/>
  <c r="R72" i="2"/>
  <c r="R45" i="2"/>
  <c r="P20" i="2"/>
  <c r="O7" i="4"/>
  <c r="N7" i="7"/>
  <c r="P9" i="5"/>
  <c r="O36" i="2"/>
  <c r="Q24" i="2"/>
  <c r="O53" i="2"/>
  <c r="O16" i="2"/>
  <c r="Q22" i="2"/>
  <c r="Q42" i="2"/>
  <c r="Q63" i="2"/>
  <c r="R19" i="3"/>
  <c r="P32" i="5"/>
  <c r="Q18" i="5"/>
  <c r="Q24" i="5"/>
  <c r="P22" i="2"/>
  <c r="R19" i="5"/>
  <c r="P14" i="5"/>
  <c r="Q7" i="2"/>
  <c r="O10" i="7"/>
  <c r="Q6" i="5"/>
  <c r="Q23" i="5"/>
  <c r="O14" i="2"/>
  <c r="O35" i="2"/>
  <c r="Q21" i="2"/>
  <c r="Q36" i="2"/>
  <c r="R56" i="2"/>
  <c r="O32" i="2"/>
  <c r="O54" i="2"/>
  <c r="O65" i="2"/>
  <c r="Q10" i="3"/>
  <c r="Q7" i="7"/>
  <c r="P8" i="7"/>
  <c r="O10" i="4"/>
  <c r="R12" i="4"/>
  <c r="P11" i="4"/>
  <c r="O20" i="5"/>
  <c r="Q9" i="5"/>
  <c r="Q27" i="5"/>
  <c r="R7" i="5"/>
  <c r="O17" i="2"/>
  <c r="P17" i="2"/>
  <c r="P51" i="2"/>
  <c r="Q39" i="2"/>
  <c r="P37" i="2"/>
  <c r="O49" i="2"/>
  <c r="O69" i="2"/>
  <c r="O9" i="2"/>
  <c r="R59" i="2"/>
  <c r="O8" i="3"/>
  <c r="Q9" i="3"/>
  <c r="P13" i="3"/>
  <c r="P6" i="3"/>
  <c r="P55" i="2"/>
  <c r="R26" i="2"/>
  <c r="R43" i="2"/>
  <c r="P33" i="2"/>
  <c r="Q7" i="4"/>
  <c r="R11" i="5"/>
  <c r="P72" i="2"/>
  <c r="O8" i="7"/>
  <c r="P17" i="5"/>
  <c r="R29" i="5"/>
  <c r="Q69" i="2"/>
  <c r="Q35" i="2"/>
  <c r="O31" i="5"/>
  <c r="Q9" i="2"/>
  <c r="Q40" i="2"/>
  <c r="P17" i="3"/>
  <c r="Q18" i="3"/>
  <c r="P18" i="3"/>
  <c r="Q11" i="7"/>
  <c r="Q13" i="7"/>
  <c r="O6" i="4"/>
  <c r="P13" i="5"/>
  <c r="Q15" i="5"/>
  <c r="Q33" i="5"/>
  <c r="Q70" i="2"/>
  <c r="R70" i="2"/>
  <c r="Q20" i="2"/>
  <c r="Q58" i="2"/>
  <c r="R58" i="2"/>
  <c r="Q65" i="2"/>
  <c r="R65" i="2"/>
  <c r="O40" i="2"/>
  <c r="O57" i="2"/>
  <c r="Q57" i="2"/>
  <c r="Q54" i="2"/>
  <c r="R54" i="2"/>
  <c r="Q53" i="2"/>
  <c r="P23" i="2"/>
  <c r="O23" i="2"/>
  <c r="P56" i="2"/>
  <c r="O56" i="2"/>
  <c r="P26" i="2"/>
  <c r="O26" i="2"/>
  <c r="P63" i="2"/>
  <c r="O63" i="2"/>
  <c r="P30" i="2"/>
  <c r="O30" i="2"/>
  <c r="P48" i="2"/>
  <c r="O48" i="2"/>
  <c r="P68" i="2"/>
  <c r="O68" i="2"/>
  <c r="Q8" i="2"/>
  <c r="Q27" i="2"/>
  <c r="Q44" i="2"/>
  <c r="Q64" i="2"/>
  <c r="P39" i="2"/>
  <c r="O39" i="2"/>
  <c r="P7" i="2"/>
  <c r="O7" i="2"/>
  <c r="P43" i="2"/>
  <c r="O43" i="2"/>
  <c r="P13" i="2"/>
  <c r="O13" i="2"/>
  <c r="P19" i="2"/>
  <c r="O19" i="2"/>
  <c r="P34" i="2"/>
  <c r="O34" i="2"/>
  <c r="P52" i="2"/>
  <c r="O52" i="2"/>
  <c r="P60" i="2"/>
  <c r="O60" i="2"/>
  <c r="Q14" i="2"/>
  <c r="Q31" i="2"/>
  <c r="Q49" i="2"/>
  <c r="Q67" i="2"/>
  <c r="I9" i="11"/>
  <c r="I8" i="11"/>
  <c r="J8" i="11"/>
  <c r="I63" i="1"/>
  <c r="F446" i="11"/>
  <c r="J446" i="11"/>
  <c r="I64" i="1"/>
  <c r="I65" i="1"/>
  <c r="I66" i="1"/>
  <c r="I68" i="1"/>
  <c r="J63" i="1"/>
  <c r="J64" i="1"/>
  <c r="J65" i="1"/>
  <c r="J66" i="1"/>
  <c r="J67" i="1"/>
  <c r="J68" i="1"/>
  <c r="K63" i="1"/>
  <c r="K64" i="1"/>
  <c r="K65" i="1"/>
  <c r="K66" i="1"/>
  <c r="K67" i="1"/>
  <c r="L63" i="1"/>
  <c r="L64" i="1"/>
  <c r="L65" i="1"/>
  <c r="L66" i="1"/>
  <c r="L67" i="1"/>
  <c r="L68" i="1"/>
  <c r="M63" i="1"/>
  <c r="M64" i="1"/>
  <c r="M65" i="1"/>
  <c r="M66" i="1"/>
  <c r="M67" i="1"/>
  <c r="N63" i="1"/>
  <c r="N64" i="1"/>
  <c r="N65" i="1"/>
  <c r="N66" i="1"/>
  <c r="N67" i="1"/>
  <c r="N68" i="1"/>
  <c r="G7" i="12"/>
  <c r="I7" i="11"/>
  <c r="E68" i="1"/>
  <c r="Q68" i="1"/>
  <c r="E64" i="1"/>
  <c r="Q64" i="1"/>
  <c r="D67" i="1"/>
  <c r="D63" i="1"/>
  <c r="C63" i="17"/>
  <c r="E67" i="1"/>
  <c r="R67" i="1"/>
  <c r="E63" i="1"/>
  <c r="R63" i="1"/>
  <c r="D66" i="1"/>
  <c r="D65" i="1"/>
  <c r="C66" i="17"/>
  <c r="E66" i="1"/>
  <c r="E65" i="1"/>
  <c r="R65" i="1"/>
  <c r="C68" i="17"/>
  <c r="D64" i="1"/>
  <c r="C64" i="17"/>
  <c r="N5" i="10"/>
  <c r="N5" i="9"/>
  <c r="N5" i="6"/>
  <c r="N5" i="5"/>
  <c r="N5" i="4"/>
  <c r="N5" i="3"/>
  <c r="N5" i="2"/>
  <c r="M5" i="10"/>
  <c r="M5" i="9"/>
  <c r="M5" i="6"/>
  <c r="M5" i="5"/>
  <c r="M5" i="4"/>
  <c r="M5" i="3"/>
  <c r="M5" i="2"/>
  <c r="L5" i="10"/>
  <c r="K5" i="10"/>
  <c r="L5" i="9"/>
  <c r="L5" i="6"/>
  <c r="L5" i="5"/>
  <c r="L5" i="4"/>
  <c r="L5" i="3"/>
  <c r="L5" i="2"/>
  <c r="K5" i="9"/>
  <c r="K5" i="6"/>
  <c r="K5" i="5"/>
  <c r="K5" i="4"/>
  <c r="K5" i="3"/>
  <c r="K5" i="2"/>
  <c r="J5" i="10"/>
  <c r="J5" i="9"/>
  <c r="J5" i="6"/>
  <c r="J5" i="5"/>
  <c r="J5" i="4"/>
  <c r="J5" i="3"/>
  <c r="J5" i="2"/>
  <c r="F434" i="11"/>
  <c r="J434" i="11"/>
  <c r="I5" i="9"/>
  <c r="F445" i="11"/>
  <c r="J445" i="11"/>
  <c r="J26" i="11"/>
  <c r="I5" i="6"/>
  <c r="F294" i="11"/>
  <c r="J294" i="11"/>
  <c r="I5" i="4"/>
  <c r="I5" i="3"/>
  <c r="F447" i="11"/>
  <c r="J447" i="11"/>
  <c r="F475" i="11"/>
  <c r="J475" i="11"/>
  <c r="F453" i="11"/>
  <c r="J453" i="11"/>
  <c r="F409" i="11"/>
  <c r="J409" i="11"/>
  <c r="F843" i="11"/>
  <c r="J843" i="11"/>
  <c r="F839" i="11"/>
  <c r="J839" i="11"/>
  <c r="F824" i="11"/>
  <c r="J824" i="11"/>
  <c r="F811" i="11"/>
  <c r="J811" i="11"/>
  <c r="F776" i="11"/>
  <c r="J776" i="11"/>
  <c r="F716" i="11"/>
  <c r="J716" i="11"/>
  <c r="F710" i="11"/>
  <c r="J710" i="11"/>
  <c r="F694" i="11"/>
  <c r="J694" i="11"/>
  <c r="F646" i="11"/>
  <c r="J646" i="11"/>
  <c r="F637" i="11"/>
  <c r="J637" i="11"/>
  <c r="F609" i="11"/>
  <c r="J609" i="11"/>
  <c r="F606" i="11"/>
  <c r="J606" i="11"/>
  <c r="F589" i="11"/>
  <c r="J589" i="11"/>
  <c r="F558" i="11"/>
  <c r="J558" i="11"/>
  <c r="F498" i="11"/>
  <c r="J498" i="11"/>
  <c r="F542" i="11"/>
  <c r="J542" i="11"/>
  <c r="C67" i="17"/>
  <c r="C65" i="17"/>
  <c r="F425" i="11"/>
  <c r="J425" i="11"/>
  <c r="F431" i="11"/>
  <c r="J431" i="11"/>
  <c r="F419" i="11"/>
  <c r="J419" i="11"/>
  <c r="F427" i="11"/>
  <c r="J427" i="11"/>
  <c r="F390" i="11"/>
  <c r="J390" i="11"/>
  <c r="F412" i="11"/>
  <c r="J412" i="11"/>
  <c r="F393" i="11"/>
  <c r="J393" i="11"/>
  <c r="F404" i="11"/>
  <c r="J404" i="11"/>
  <c r="D5" i="3"/>
  <c r="G121" i="17"/>
  <c r="D5" i="5"/>
  <c r="G89" i="17"/>
  <c r="O63" i="1"/>
  <c r="O66" i="1"/>
  <c r="O67" i="1"/>
  <c r="O65" i="1"/>
  <c r="F383" i="11"/>
  <c r="J383" i="11"/>
  <c r="F387" i="11"/>
  <c r="J387" i="11"/>
  <c r="F380" i="11"/>
  <c r="J380" i="11"/>
  <c r="F381" i="11"/>
  <c r="J381" i="11"/>
  <c r="F315" i="11"/>
  <c r="J315" i="11"/>
  <c r="F375" i="11"/>
  <c r="J375" i="11"/>
  <c r="F362" i="11"/>
  <c r="J362" i="11"/>
  <c r="F373" i="11"/>
  <c r="J373" i="11"/>
  <c r="F320" i="11"/>
  <c r="J320" i="11"/>
  <c r="F260" i="11"/>
  <c r="J260" i="11"/>
  <c r="F316" i="11"/>
  <c r="J316" i="11"/>
  <c r="F307" i="11"/>
  <c r="J307" i="11"/>
  <c r="F303" i="11"/>
  <c r="J303" i="11"/>
  <c r="F292" i="11"/>
  <c r="J292" i="11"/>
  <c r="F263" i="11"/>
  <c r="J263" i="11"/>
  <c r="F276" i="11"/>
  <c r="J276" i="11"/>
  <c r="F299" i="11"/>
  <c r="J299" i="11"/>
  <c r="F249" i="11"/>
  <c r="J249" i="11"/>
  <c r="F181" i="11"/>
  <c r="J181" i="11"/>
  <c r="F168" i="11"/>
  <c r="J168" i="11"/>
  <c r="F142" i="11"/>
  <c r="J142" i="11"/>
  <c r="F15" i="11"/>
  <c r="J15" i="11"/>
  <c r="F64" i="11"/>
  <c r="J64" i="11"/>
  <c r="F224" i="11"/>
  <c r="J224" i="11"/>
  <c r="F129" i="11"/>
  <c r="J129" i="11"/>
  <c r="F25" i="11"/>
  <c r="J25" i="11"/>
  <c r="F18" i="11"/>
  <c r="J18" i="11"/>
  <c r="F31" i="11"/>
  <c r="J31" i="11"/>
  <c r="F20" i="11"/>
  <c r="J20" i="11"/>
  <c r="F54" i="11"/>
  <c r="J54" i="11"/>
  <c r="F75" i="11"/>
  <c r="J75" i="11"/>
  <c r="F80" i="11"/>
  <c r="J80" i="11"/>
  <c r="F73" i="11"/>
  <c r="J73" i="11"/>
  <c r="F41" i="11"/>
  <c r="J41" i="11"/>
  <c r="F49" i="11"/>
  <c r="J49" i="11"/>
  <c r="F30" i="11"/>
  <c r="J30" i="11"/>
  <c r="F137" i="11"/>
  <c r="J137" i="11"/>
  <c r="F9" i="11"/>
  <c r="J9" i="11"/>
  <c r="F190" i="11"/>
  <c r="J190" i="11"/>
  <c r="F210" i="11"/>
  <c r="J210" i="11"/>
  <c r="F187" i="11"/>
  <c r="J187" i="11"/>
  <c r="F97" i="11"/>
  <c r="J97" i="11"/>
  <c r="F42" i="11"/>
  <c r="J42" i="11"/>
  <c r="R68" i="1"/>
  <c r="P63" i="1"/>
  <c r="R64" i="1"/>
  <c r="P67" i="1"/>
  <c r="P66" i="1"/>
  <c r="P65" i="1"/>
  <c r="Q67" i="1"/>
  <c r="Q63" i="1"/>
  <c r="R66" i="1"/>
  <c r="Q66" i="1"/>
  <c r="Q65" i="1"/>
  <c r="P64" i="1"/>
  <c r="O64" i="1"/>
  <c r="P68" i="1"/>
  <c r="O68" i="1"/>
  <c r="E5" i="6"/>
  <c r="E5" i="10"/>
  <c r="E5" i="9"/>
  <c r="E5" i="5"/>
  <c r="E5" i="4"/>
  <c r="E5" i="3"/>
  <c r="E5" i="2"/>
  <c r="D5" i="10"/>
  <c r="C154" i="17"/>
  <c r="D5" i="9"/>
  <c r="G158" i="17"/>
  <c r="D5" i="6"/>
  <c r="G139" i="17"/>
  <c r="D5" i="4"/>
  <c r="C74" i="17"/>
  <c r="D5" i="2"/>
  <c r="G5" i="17"/>
  <c r="R5" i="6"/>
  <c r="Q5" i="6"/>
  <c r="O5" i="5"/>
  <c r="P5" i="5"/>
  <c r="P5" i="4"/>
  <c r="O5" i="4"/>
  <c r="Q5" i="3"/>
  <c r="R5" i="3"/>
  <c r="O5" i="9"/>
  <c r="P5" i="9"/>
  <c r="R5" i="4"/>
  <c r="Q5" i="4"/>
  <c r="R5" i="9"/>
  <c r="Q5" i="9"/>
  <c r="P5" i="6"/>
  <c r="O5" i="6"/>
  <c r="R5" i="5"/>
  <c r="Q5" i="5"/>
  <c r="R5" i="10"/>
  <c r="Q5" i="10"/>
  <c r="P5" i="2"/>
  <c r="O5" i="2"/>
  <c r="P5" i="10"/>
  <c r="O5" i="10"/>
  <c r="P5" i="3"/>
  <c r="O5" i="3"/>
  <c r="R5" i="2"/>
  <c r="Q5" i="2"/>
  <c r="J7" i="11"/>
</calcChain>
</file>

<file path=xl/sharedStrings.xml><?xml version="1.0" encoding="utf-8"?>
<sst xmlns="http://schemas.openxmlformats.org/spreadsheetml/2006/main" count="5567" uniqueCount="962">
  <si>
    <t>LG</t>
  </si>
  <si>
    <t xml:space="preserve">CODIGO </t>
  </si>
  <si>
    <t xml:space="preserve">DESCRIPCION </t>
  </si>
  <si>
    <t>STOCK JUEGOS</t>
  </si>
  <si>
    <t>STOCK BARRAS</t>
  </si>
  <si>
    <t xml:space="preserve">"J" PRECIO VENTA </t>
  </si>
  <si>
    <t xml:space="preserve">"J"PRECIO COMPRA </t>
  </si>
  <si>
    <t>BARRAS</t>
  </si>
  <si>
    <t xml:space="preserve">"B"PRECIO VENTA </t>
  </si>
  <si>
    <t>"B"PRECIO COMPRA</t>
  </si>
  <si>
    <t xml:space="preserve">ENTRADAS JUEGOS </t>
  </si>
  <si>
    <t>ENTRADAS BARRAS</t>
  </si>
  <si>
    <t>SALIDAS JUEGOS</t>
  </si>
  <si>
    <t>SALIDA BARRAS</t>
  </si>
  <si>
    <t xml:space="preserve">CAPITAL JUEGOS </t>
  </si>
  <si>
    <t xml:space="preserve">CAPITAL/GANANCIA/JUEGOS </t>
  </si>
  <si>
    <t>CAPITAL BARRA</t>
  </si>
  <si>
    <t>CAP GAN BARRAS</t>
  </si>
  <si>
    <t xml:space="preserve">CANTIDAD INICIAL JUEGO </t>
  </si>
  <si>
    <t>CANTIDAD INICIAL BARRAS</t>
  </si>
  <si>
    <t>PRECIO EN $</t>
  </si>
  <si>
    <t>CODIGO 2</t>
  </si>
  <si>
    <t>CODIGO 3</t>
  </si>
  <si>
    <t>32 LA -3B/3V/7-7L</t>
  </si>
  <si>
    <t>XLM-0001</t>
  </si>
  <si>
    <t>32 LA -3B/3V/7-8-7L</t>
  </si>
  <si>
    <t>XY-0012-A2</t>
  </si>
  <si>
    <t>32 LA -3B/3V/8-8-8</t>
  </si>
  <si>
    <t>XLM-0026</t>
  </si>
  <si>
    <t>32 PARA ADAPTAR LG/POR B</t>
  </si>
  <si>
    <t>32LK540 6L/3V /2B</t>
  </si>
  <si>
    <t>XY-0229</t>
  </si>
  <si>
    <t>32LB620B-32LF620B -3B/6V/6L</t>
  </si>
  <si>
    <t>XLM-0269</t>
  </si>
  <si>
    <t>32LH500B-32LK500 3B/7L/3V</t>
  </si>
  <si>
    <t>XLM-0329</t>
  </si>
  <si>
    <t>32 LH 5100-2B/5L</t>
  </si>
  <si>
    <t>XLM-270</t>
  </si>
  <si>
    <t>32LS3450-4B/7L POLA</t>
  </si>
  <si>
    <t>32LN5100- 3B/6L-6-7-6 POLA</t>
  </si>
  <si>
    <t>XLM-0254/0255</t>
  </si>
  <si>
    <t>32LM3400-4B/3V/9L</t>
  </si>
  <si>
    <t>XLM-0103-0104</t>
  </si>
  <si>
    <t>29 LG/ 1B</t>
  </si>
  <si>
    <t>40 LB6450/8B/6V</t>
  </si>
  <si>
    <t>XLM-0277/0278</t>
  </si>
  <si>
    <t>42LB6200-42LF6200 8B/6V</t>
  </si>
  <si>
    <t>XLM-0250/0251</t>
  </si>
  <si>
    <t>42LA6130-42LN5400  10B/3V</t>
  </si>
  <si>
    <t>XLM-0244/0242/0245/0243</t>
  </si>
  <si>
    <t>42LN5200/10B/3V</t>
  </si>
  <si>
    <t>XY-014</t>
  </si>
  <si>
    <t>42LS3450/10B</t>
  </si>
  <si>
    <t>XLM-1232/1233</t>
  </si>
  <si>
    <t>42LM6200/1B</t>
  </si>
  <si>
    <t>XM2746.1</t>
  </si>
  <si>
    <t>43 LJ5000 /10L/3V/5B</t>
  </si>
  <si>
    <t>43LJ5500 3B/7L</t>
  </si>
  <si>
    <t>XLM-0354</t>
  </si>
  <si>
    <t>43UJ6560-LUPA GIGANTE/4B</t>
  </si>
  <si>
    <t>43LH-LF 5100/6B</t>
  </si>
  <si>
    <t>XLM-0545-0544</t>
  </si>
  <si>
    <t>43LH5000/5B</t>
  </si>
  <si>
    <t>XLM-0735</t>
  </si>
  <si>
    <t>43LK540 8B/3V</t>
  </si>
  <si>
    <t>XY-0730</t>
  </si>
  <si>
    <t>47LA6130-12B/3V</t>
  </si>
  <si>
    <t>XLM-0271-0272-0273-0274</t>
  </si>
  <si>
    <t>47LA6600/2B</t>
  </si>
  <si>
    <t>47LB6500- 8B/6V</t>
  </si>
  <si>
    <t>XLM-0265/0266</t>
  </si>
  <si>
    <t>47LM6200/2B</t>
  </si>
  <si>
    <t>XLM-0462/0463</t>
  </si>
  <si>
    <t>47 LWU6500/2B</t>
  </si>
  <si>
    <t>49LJ5500-49UJ6300/8B</t>
  </si>
  <si>
    <t>XLM-0806/0807</t>
  </si>
  <si>
    <t>49 UJ6500 /8B</t>
  </si>
  <si>
    <t>49LB-LF/10B</t>
  </si>
  <si>
    <t>XLM-0279/0280</t>
  </si>
  <si>
    <t xml:space="preserve">49LF5400 2B EL JUEGO </t>
  </si>
  <si>
    <t>49LJ5100/8B</t>
  </si>
  <si>
    <t>49LK5400 /8B</t>
  </si>
  <si>
    <t>XLM-W0760</t>
  </si>
  <si>
    <t>49UB8300/ 2B</t>
  </si>
  <si>
    <t>XLM-1019/1020</t>
  </si>
  <si>
    <t>49 UH6100-LH5100 /8B</t>
  </si>
  <si>
    <t>XY-0032</t>
  </si>
  <si>
    <t>49LH6000 /8B</t>
  </si>
  <si>
    <t>49UJ6560-LUPA GIGANTE/4B</t>
  </si>
  <si>
    <t>XLM-0246/0247</t>
  </si>
  <si>
    <t>50LA6200/12B/3V</t>
  </si>
  <si>
    <t>XLM-0261/0262/0259/0260</t>
  </si>
  <si>
    <t>50LB6500/10B</t>
  </si>
  <si>
    <t>XY-0007-SE</t>
  </si>
  <si>
    <t>50 UK 6550 /3B</t>
  </si>
  <si>
    <t>XLM-0923</t>
  </si>
  <si>
    <t>55 UK 6300-UM7100 /3B</t>
  </si>
  <si>
    <t>XLM-1262</t>
  </si>
  <si>
    <t>55 SM8100 2B</t>
  </si>
  <si>
    <t>XLM-W0857</t>
  </si>
  <si>
    <t>55LA6600/2B</t>
  </si>
  <si>
    <t>XLM-0725/0726</t>
  </si>
  <si>
    <t xml:space="preserve">55LB6500/10B/6V </t>
  </si>
  <si>
    <t>XLM-0267/0268</t>
  </si>
  <si>
    <t>55LM6200/2B</t>
  </si>
  <si>
    <t>XLM-0170/0171</t>
  </si>
  <si>
    <t>55 LM8600</t>
  </si>
  <si>
    <t>55 UB8300/2B</t>
  </si>
  <si>
    <t>55UH6150/2B</t>
  </si>
  <si>
    <t>55UH6500/2B</t>
  </si>
  <si>
    <t>XLM-1021/1022</t>
  </si>
  <si>
    <t>55UH8500/2B</t>
  </si>
  <si>
    <t>XLM-W1196</t>
  </si>
  <si>
    <t>55LA6200 POLA-14B/3V</t>
  </si>
  <si>
    <t>XLM-0281/0282</t>
  </si>
  <si>
    <t>55UJ6300-55LJ5500/10B</t>
  </si>
  <si>
    <t>XLM-0599/0598</t>
  </si>
  <si>
    <t>55 UM 8L 4B EL JUEGO</t>
  </si>
  <si>
    <t>XLM1204</t>
  </si>
  <si>
    <t>60LB6500/12B/6V</t>
  </si>
  <si>
    <t>XY-0009-SE</t>
  </si>
  <si>
    <t>60 UJ6300/ 10B</t>
  </si>
  <si>
    <t>XLM-0740/0741/0742/0743</t>
  </si>
  <si>
    <t>65UJ6300/12B</t>
  </si>
  <si>
    <t>XLM-0636/0637/0638/0639</t>
  </si>
  <si>
    <t>65 SM8100 2B/6V EGDE</t>
  </si>
  <si>
    <t>XLM-W1547</t>
  </si>
  <si>
    <t>65 SJ8000 2B</t>
  </si>
  <si>
    <t>65UK6300 /4B</t>
  </si>
  <si>
    <t>XLM-0987</t>
  </si>
  <si>
    <t>70LB7200 LG 6-4-6 L/6V 24 B</t>
  </si>
  <si>
    <t>SAMSUNG</t>
  </si>
  <si>
    <t>CODIGO 4</t>
  </si>
  <si>
    <t>UN32FH4005G-UN32JH4005G CUERNITO 2B</t>
  </si>
  <si>
    <t>XLM-0289</t>
  </si>
  <si>
    <t>XY-0065</t>
  </si>
  <si>
    <t>UN32EH4000 4B/3V</t>
  </si>
  <si>
    <t>UN32F5000-SAMSUNG 5B</t>
  </si>
  <si>
    <t xml:space="preserve">poner nombre </t>
  </si>
  <si>
    <t>XLM-0319</t>
  </si>
  <si>
    <t xml:space="preserve">UN32J/ 2B </t>
  </si>
  <si>
    <t>XLM-1956</t>
  </si>
  <si>
    <t>UN40D5500/2B</t>
  </si>
  <si>
    <t>XLM-0178/0179</t>
  </si>
  <si>
    <t>UN40J5000 -40J5200-40M5000 8L/3B</t>
  </si>
  <si>
    <t>XLM-0306</t>
  </si>
  <si>
    <t>UN40J6400</t>
  </si>
  <si>
    <t>XLM-0395/0408</t>
  </si>
  <si>
    <t>UN40FH5005 3B/2C/1R/13-12-13</t>
  </si>
  <si>
    <t>XLM-0320/0232</t>
  </si>
  <si>
    <t>XY-068</t>
  </si>
  <si>
    <t>UN40FH6203 3B/2C/1R/13-13-13</t>
  </si>
  <si>
    <t>XLM-1802/1803</t>
  </si>
  <si>
    <t>XY-698</t>
  </si>
  <si>
    <t>UN40F5000-F6400/14 B</t>
  </si>
  <si>
    <t>XLM-0317/0318</t>
  </si>
  <si>
    <t>XY-0043</t>
  </si>
  <si>
    <t>UN43J5202/ 3 BARRAS/8L/3V</t>
  </si>
  <si>
    <t>XLM-0668</t>
  </si>
  <si>
    <t>XY-0318</t>
  </si>
  <si>
    <t>UN43J5290/8B</t>
  </si>
  <si>
    <t>XLM-0304/0305</t>
  </si>
  <si>
    <t>XLM-1576/1577</t>
  </si>
  <si>
    <t>UN43AU8000-43BU8000/2B</t>
  </si>
  <si>
    <t>XLM-1685</t>
  </si>
  <si>
    <t>UN43N.U./2B EDGE</t>
  </si>
  <si>
    <t>UN46F5000 - F6400 /16B</t>
  </si>
  <si>
    <t>XY-0045</t>
  </si>
  <si>
    <t>UN46FH6203-46FH5005/8B</t>
  </si>
  <si>
    <t>XLM-0626/0625</t>
  </si>
  <si>
    <t>XY-0379</t>
  </si>
  <si>
    <t>UN48H4200/8B</t>
  </si>
  <si>
    <t>XLM-W0170</t>
  </si>
  <si>
    <t>UN48H6400-48J6400/12B</t>
  </si>
  <si>
    <t>XY-0061</t>
  </si>
  <si>
    <t>UN48J5000AG/8B</t>
  </si>
  <si>
    <t>XLM-0302/0303</t>
  </si>
  <si>
    <t>UN49KU6500-UN49MU6500/2B</t>
  </si>
  <si>
    <t>XLM-1144/1145</t>
  </si>
  <si>
    <t>UN49 NU7100/2B EDGE</t>
  </si>
  <si>
    <t>XLM-0287</t>
  </si>
  <si>
    <t>UN49J5290/8B</t>
  </si>
  <si>
    <t>XLM-1441/1442</t>
  </si>
  <si>
    <t>UN49K6500/1B</t>
  </si>
  <si>
    <t>XLM-1138</t>
  </si>
  <si>
    <t>UN50F5000 -50F6400/ 18B</t>
  </si>
  <si>
    <t>XLM-0290/0291</t>
  </si>
  <si>
    <t>UN50FH5303/8-7L/8B</t>
  </si>
  <si>
    <t>XLM-1061-1062</t>
  </si>
  <si>
    <t>UN50NU7100./2B EDGE</t>
  </si>
  <si>
    <t>XLM-0288</t>
  </si>
  <si>
    <t>XY-077</t>
  </si>
  <si>
    <t>UN50AU7000G/6B</t>
  </si>
  <si>
    <t>XLM-0808/0809</t>
  </si>
  <si>
    <t>XY-930</t>
  </si>
  <si>
    <t>UN50AU/BU8000 2B EDGE</t>
  </si>
  <si>
    <t>XLM-1660</t>
  </si>
  <si>
    <t>UN50J SAMSUNG</t>
  </si>
  <si>
    <t>XY-0055</t>
  </si>
  <si>
    <t>UN50J5300-50J5500 12B</t>
  </si>
  <si>
    <t>XLM-1220/1221</t>
  </si>
  <si>
    <t>UN55F6400/20B</t>
  </si>
  <si>
    <t>verificar</t>
  </si>
  <si>
    <t>55´2013SVS55F</t>
  </si>
  <si>
    <t>UN55F8000-55F7500/2B/83L</t>
  </si>
  <si>
    <t>XLM-W0595</t>
  </si>
  <si>
    <t>UN55H6400/12B</t>
  </si>
  <si>
    <t>XLM-1327-1328</t>
  </si>
  <si>
    <t>UN55NU7100-UN55RU7100/2B EDGE</t>
  </si>
  <si>
    <t>XLM-285</t>
  </si>
  <si>
    <t>ES-ELED-690/40/7020/6V</t>
  </si>
  <si>
    <t>UN55NU7095G/9L/4B</t>
  </si>
  <si>
    <t>XLM-1224</t>
  </si>
  <si>
    <t>XY-648</t>
  </si>
  <si>
    <t>UN55MU6100- 55KU 6000 12B/ 3V</t>
  </si>
  <si>
    <t>poner nombre y verificar</t>
  </si>
  <si>
    <t>XLM-1154-1155</t>
  </si>
  <si>
    <t>UN55MU6500-55KU6500/2B</t>
  </si>
  <si>
    <t>XLM-1117/1118</t>
  </si>
  <si>
    <t>QN55Q60A</t>
  </si>
  <si>
    <t>UN55TU SAMSUNG 8B</t>
  </si>
  <si>
    <t>XLM-W0051</t>
  </si>
  <si>
    <t>UN58NU7100 /2B EDGE</t>
  </si>
  <si>
    <t>XLM-1382</t>
  </si>
  <si>
    <t>XLM-1188</t>
  </si>
  <si>
    <t>UN 58 AU7000/8B</t>
  </si>
  <si>
    <t>UN58TU7100 8B/6L 3V-58TU7000</t>
  </si>
  <si>
    <t>UN58FH/12B</t>
  </si>
  <si>
    <t>XLM-1074/1075</t>
  </si>
  <si>
    <t>QN60Q60A</t>
  </si>
  <si>
    <t>ES-ELED-741/72/7020/3V B+W</t>
  </si>
  <si>
    <t>UN60FH6003/12B</t>
  </si>
  <si>
    <t>XLM-0811/0812</t>
  </si>
  <si>
    <t>UN60H6400 14 B</t>
  </si>
  <si>
    <t>XLM-1656/1655</t>
  </si>
  <si>
    <t>UN60AU8000G-60BU8000/2B</t>
  </si>
  <si>
    <t>XLM-1398</t>
  </si>
  <si>
    <t>UN65MU6500- 65KU6500/2B</t>
  </si>
  <si>
    <t>XLM-1712/1713</t>
  </si>
  <si>
    <t>UN65AU8000-65BU8000/2B</t>
  </si>
  <si>
    <t>XM6343</t>
  </si>
  <si>
    <t>QN65Q8CNAG</t>
  </si>
  <si>
    <t>XLM-W1411</t>
  </si>
  <si>
    <t>UN65 H6400</t>
  </si>
  <si>
    <t>XLM-1951/1952</t>
  </si>
  <si>
    <t>UN65 AU7000</t>
  </si>
  <si>
    <t>XLM-1373/1374</t>
  </si>
  <si>
    <t>UN65 MU6100/16B</t>
  </si>
  <si>
    <t>XLM-1661-1662</t>
  </si>
  <si>
    <t>UN65NU7100/2B</t>
  </si>
  <si>
    <t>XLM-0755</t>
  </si>
  <si>
    <t>UN70TU7000/10B/7L</t>
  </si>
  <si>
    <t>XLM-1671-1672</t>
  </si>
  <si>
    <t>UN70AU7000G 10B</t>
  </si>
  <si>
    <t>UN75F400/36B</t>
  </si>
  <si>
    <t>UN75TU7000/18B/4L</t>
  </si>
  <si>
    <t>XLM-1706-1707-1708</t>
  </si>
  <si>
    <t>75 AU8000-/4B</t>
  </si>
  <si>
    <t>ES-ELED-553/42/7020/3V W+W</t>
  </si>
  <si>
    <t>UN82TU7000/18B/5L</t>
  </si>
  <si>
    <t>XLM-2047-2048-2049</t>
  </si>
  <si>
    <t>UN85AU8000G  4B EGDE</t>
  </si>
  <si>
    <t>XLM-W1152</t>
  </si>
  <si>
    <t>ES-ELED-559/52/7020/3V W+W</t>
  </si>
  <si>
    <t>HAIER</t>
  </si>
  <si>
    <t xml:space="preserve">32B8000 3B/10LED/3V </t>
  </si>
  <si>
    <t>32B7000 3B/10LED/3V DOBLE CONECTOR</t>
  </si>
  <si>
    <t>40B8000 4B/12LED/3V</t>
  </si>
  <si>
    <t>42B8000 4B/15LEDS/3V</t>
  </si>
  <si>
    <t>43U6600 4B/ 8L/3V DIF 180º</t>
  </si>
  <si>
    <t xml:space="preserve">48M600 10B/6-7LEDS Y 4 -8LEDS/3V </t>
  </si>
  <si>
    <t>48M600 10B/8 - 8 LEDS/3V</t>
  </si>
  <si>
    <t>49 HAIER 9B/5L</t>
  </si>
  <si>
    <t>49 U6500 3V/6L/12B</t>
  </si>
  <si>
    <t>50M600D  7L/10B</t>
  </si>
  <si>
    <t>50U6600 5L/9B</t>
  </si>
  <si>
    <t>55U6500 8L/14B</t>
  </si>
  <si>
    <t xml:space="preserve">55 B8500  10L/14B  </t>
  </si>
  <si>
    <t>55B8000 14B/2B DE 8L Y 12B DE 7L</t>
  </si>
  <si>
    <t>55M600D 8L/12B</t>
  </si>
  <si>
    <t>65 HAIER LE65U6500DUA</t>
  </si>
  <si>
    <t>DAEWOO</t>
  </si>
  <si>
    <t>32 DAEWO V780-TCL 5L/6V -2B
MI L32M5-5ASP</t>
  </si>
  <si>
    <t>XLM-0214</t>
  </si>
  <si>
    <t>32 DAEWO S780 6L/6V -2B</t>
  </si>
  <si>
    <t>XLM-0099</t>
  </si>
  <si>
    <t>32 DAEWOO 8L/3V - 3B</t>
  </si>
  <si>
    <t>XLM-0084</t>
  </si>
  <si>
    <t>43-DAEWO L43R630BKS/ 8B</t>
  </si>
  <si>
    <t>XLM-0218</t>
  </si>
  <si>
    <t>43 DAEWO S780 3B/8LED/3V</t>
  </si>
  <si>
    <t>XLM-0156</t>
  </si>
  <si>
    <t>JL.D43081330-140FS-M</t>
  </si>
  <si>
    <t>43 DAEWO L43V780BTS 3B/7LED/3V</t>
  </si>
  <si>
    <t>XLM-0363</t>
  </si>
  <si>
    <t>JL.D43071330-0044AS-M_V01</t>
  </si>
  <si>
    <t>49-DAeWO/ 9B EL JUEGO</t>
  </si>
  <si>
    <t>XLM-0154</t>
  </si>
  <si>
    <t xml:space="preserve">49 DAEWO DOBLE PIN </t>
  </si>
  <si>
    <t>XLM-0153/0712</t>
  </si>
  <si>
    <t>49 DAEWOO L49R770BNS 6L/10B</t>
  </si>
  <si>
    <t>50 DAEWOO LS50U1   8B/4L/3v</t>
  </si>
  <si>
    <t>ES-4085/4 (YAN)</t>
  </si>
  <si>
    <t>SONY-PANASONIC</t>
  </si>
  <si>
    <t>KDL-32R425A SONY/3B</t>
  </si>
  <si>
    <t>KDL-32R405 SONY/4B</t>
  </si>
  <si>
    <t>32 PANASONIC 7L/3V/3B</t>
  </si>
  <si>
    <t>KDL-32 EX30 8L/4B</t>
  </si>
  <si>
    <t>KDL-32R304B/3B</t>
  </si>
  <si>
    <t>KDL-39R475B - SONY/10B</t>
  </si>
  <si>
    <t>40 SONY/AOC LE40D3142 -4B/9L</t>
  </si>
  <si>
    <t>KDL-40R455 SONY/10B</t>
  </si>
  <si>
    <t>KDL-40W655A/3B SONY</t>
  </si>
  <si>
    <t>KDL-40R475 SONY/10B</t>
  </si>
  <si>
    <t>40  A400L PANASONIC/1B</t>
  </si>
  <si>
    <t>42 PANASONIC TC-L42E6L 1/B</t>
  </si>
  <si>
    <t>KDL-42R505A/1B</t>
  </si>
  <si>
    <t>KDL-42EX440/2B</t>
  </si>
  <si>
    <t>KDL - 46 R455/12B /3V</t>
  </si>
  <si>
    <t>KDL-47R505A/1B</t>
  </si>
  <si>
    <t>47 PANASONIC EDGE</t>
  </si>
  <si>
    <t>ES-422/66 (YAN)</t>
  </si>
  <si>
    <t>KDL-48W655D 4L</t>
  </si>
  <si>
    <t>KDL-49X705/8B</t>
  </si>
  <si>
    <t>XBR-55W805B/2B</t>
  </si>
  <si>
    <t>KDL-50R555A/1B</t>
  </si>
  <si>
    <t>KDL-50R555B/1B</t>
  </si>
  <si>
    <t>KDL-55X725E /2B</t>
  </si>
  <si>
    <t>XBR-55X805E/2B</t>
  </si>
  <si>
    <t>KDL-60X695E/5L/10B</t>
  </si>
  <si>
    <t>KDL-65X725E 2B</t>
  </si>
  <si>
    <t>KDL-65W855C 8L/3V/16B</t>
  </si>
  <si>
    <t>KDL-65X900C</t>
  </si>
  <si>
    <t>70W855 4B EDGE</t>
  </si>
  <si>
    <t>IRT-HPILIPS KONKA</t>
  </si>
  <si>
    <t>32 IRT/6L/2B/6V</t>
  </si>
  <si>
    <t>32 F1000 KONKA 6L/LED3250HDD/CRONW TV3277D IRT</t>
  </si>
  <si>
    <t>40 IRT 8L/6V/3B</t>
  </si>
  <si>
    <t>40 IRT LED4060SFHD 8L/3V/3B</t>
  </si>
  <si>
    <t xml:space="preserve">48 IRT 6L/6B </t>
  </si>
  <si>
    <t>50 IRT 50604  9L/ 4B</t>
  </si>
  <si>
    <t>50 IRT 50604 9L  lupa 180 4B</t>
  </si>
  <si>
    <t>55 IRT 5L/3V KONKA- CROWN-TV5577SD/9L/9B</t>
  </si>
  <si>
    <t>TOSHIBA</t>
  </si>
  <si>
    <t>XLM-0051-0052</t>
  </si>
  <si>
    <t>43 TOSHIBA C350KB</t>
  </si>
  <si>
    <t>XLM-W16798</t>
  </si>
  <si>
    <t>49L4700 TOSHIBA 4B/8L</t>
  </si>
  <si>
    <t>XLM-0658</t>
  </si>
  <si>
    <t>50 TOSHIBA C350KB /8B</t>
  </si>
  <si>
    <t>XY-2203</t>
  </si>
  <si>
    <t>55 MASTERG 55U4700 - 55 TOSHIBA 8B/5-6L</t>
  </si>
  <si>
    <t>55 TOSHIBA C350KB / 10L/4B</t>
  </si>
  <si>
    <t>XLM1860</t>
  </si>
  <si>
    <t xml:space="preserve">55 U7700 TOSHIBA 12B  3V 6L </t>
  </si>
  <si>
    <t>XLM-0902</t>
  </si>
  <si>
    <t>55 M550KB TOSHIBA 5B/14L</t>
  </si>
  <si>
    <t>ES-4599/14 (YAN)</t>
  </si>
  <si>
    <t>65U9700 TOSHIBA 2B</t>
  </si>
  <si>
    <t xml:space="preserve">HISENSE </t>
  </si>
  <si>
    <t>48 HISENSE /1B</t>
  </si>
  <si>
    <t>50 HISENSE K321VW  6L/11B</t>
  </si>
  <si>
    <t>XLM-0694</t>
  </si>
  <si>
    <t>XY-446</t>
  </si>
  <si>
    <t>XY-0214/REEMPLAZO</t>
  </si>
  <si>
    <t>65  HISENSE K5500UW 4B EDGE</t>
  </si>
  <si>
    <t>RSAG7,820.6367/ROH</t>
  </si>
  <si>
    <t>65 HISENSE A6GSA 6B/8L/3V</t>
  </si>
  <si>
    <t>XLM-1848</t>
  </si>
  <si>
    <t>SKYWORTH</t>
  </si>
  <si>
    <t xml:space="preserve">32 SKYWORTH 2B/6LED/3V </t>
  </si>
  <si>
    <t>40 SKYWORTH TOSHIBA /3B</t>
  </si>
  <si>
    <t>43 TB70000 SKYWORTH 3B</t>
  </si>
  <si>
    <t>43 SKYWORTH SUC9350 8L /3B</t>
  </si>
  <si>
    <t>55 SKYWORTH SUC9350Pro /10L</t>
  </si>
  <si>
    <t>65 SKYWORTH-65 UB7500 10B</t>
  </si>
  <si>
    <t>PREMIER</t>
  </si>
  <si>
    <t>32 CHINO CHUECO 2B PREMIER</t>
  </si>
  <si>
    <t>40-CHINO PREMIER 3B/8-8-8/6V</t>
  </si>
  <si>
    <t>40 CHINO 7L/3V/3B DIF 180º TV6368LSMIS</t>
  </si>
  <si>
    <r>
      <t>43 PREMIER 8L</t>
    </r>
    <r>
      <rPr>
        <b/>
        <sz val="11"/>
        <color theme="1"/>
        <rFont val="Calibri"/>
        <family val="2"/>
        <scheme val="minor"/>
      </rPr>
      <t>/6V</t>
    </r>
    <r>
      <rPr>
        <sz val="11"/>
        <color theme="1"/>
        <rFont val="Calibri"/>
        <family val="2"/>
        <scheme val="minor"/>
      </rPr>
      <t>/3B</t>
    </r>
  </si>
  <si>
    <t>45 PREMIER 7L/4B</t>
  </si>
  <si>
    <t>50 PREMIER 6V/10L/4B EN PARALELO</t>
  </si>
  <si>
    <t>50 PREMIER 3V/10L/4B</t>
  </si>
  <si>
    <t>50 PREMIER 10L/6V/4B -50 WESTPOINT TEJ -EN SERIE</t>
  </si>
  <si>
    <t>55 PREMIER TV-7130SF55SF/9B</t>
  </si>
  <si>
    <t>58  PREMIER 5L/3V 10B</t>
  </si>
  <si>
    <t>58  PREMIER 5L/6V 10B/ TV-7327SF58SKWT</t>
  </si>
  <si>
    <t>60 PREMIER 10B/6L/3V</t>
  </si>
  <si>
    <t xml:space="preserve">65 PREMIER 11B/6L </t>
  </si>
  <si>
    <t>ES-3186/6</t>
  </si>
  <si>
    <t xml:space="preserve"> MASTER G</t>
  </si>
  <si>
    <t>32 MASTER G MGHF32WB 6L/3V/2B</t>
  </si>
  <si>
    <t>49 MASTER G/8B DAEWOO L49S780BTS</t>
  </si>
  <si>
    <t>50 MASTER G MGU5010X 8B / 6L</t>
  </si>
  <si>
    <t>58 MASTER G MGU5840X 3B/14L</t>
  </si>
  <si>
    <t>58 MASTER G MGU5810X 5L/10B
58G2 Skyworth</t>
  </si>
  <si>
    <t>CHINO</t>
  </si>
  <si>
    <t>19 PULG</t>
  </si>
  <si>
    <t>24 PULG</t>
  </si>
  <si>
    <t>27 PULG</t>
  </si>
  <si>
    <t>32 CHANCHONG CD1000 8L/3V/DIF. 180 
32 CHANCHONG CD2000U 4B A 150 BS</t>
  </si>
  <si>
    <t>32 CHANCHONG CD2000 6L/3V/3B</t>
  </si>
  <si>
    <t>32 CHINO 2B/12LED/6V</t>
  </si>
  <si>
    <t>poner nombre</t>
  </si>
  <si>
    <t>32 D2900 TCL</t>
  </si>
  <si>
    <t>XY-0150</t>
  </si>
  <si>
    <t>32 PULG</t>
  </si>
  <si>
    <t>39 CHANCHONG CHIQ/3B</t>
  </si>
  <si>
    <t>40 CHANCHONG 10L/5B</t>
  </si>
  <si>
    <t>40 CHINO 6L/10B/3V</t>
  </si>
  <si>
    <t>40 CHINO TCL 10L/6V/2B DIF 180º</t>
  </si>
  <si>
    <t>40-CHINO 3B/8LED/3V CON DIFUSOR 180º</t>
  </si>
  <si>
    <r>
      <t>42 CHINO 8L</t>
    </r>
    <r>
      <rPr>
        <b/>
        <sz val="11"/>
        <color rgb="FFFF0000"/>
        <rFont val="Calibri"/>
        <family val="2"/>
        <scheme val="minor"/>
      </rPr>
      <t xml:space="preserve"> /6V</t>
    </r>
    <r>
      <rPr>
        <sz val="11"/>
        <color theme="1"/>
        <rFont val="Calibri"/>
        <family val="2"/>
        <scheme val="minor"/>
      </rPr>
      <t xml:space="preserve"> /3B</t>
    </r>
  </si>
  <si>
    <t xml:space="preserve">42 PULG. </t>
  </si>
  <si>
    <t>43-CHINO 3B/8LED/6V DIF 180º</t>
  </si>
  <si>
    <t>50 CHINO 6L/6V DIF 180/ POR B</t>
  </si>
  <si>
    <t>50 CHIQ 8L/4B</t>
  </si>
  <si>
    <t>ES-3553/9 (YAN)</t>
  </si>
  <si>
    <t>50 PULG.</t>
  </si>
  <si>
    <t xml:space="preserve">50" 7-7/3V/5B  </t>
  </si>
  <si>
    <t xml:space="preserve">55 10B/5LED/3V </t>
  </si>
  <si>
    <t>55 AIWA CHIQ CROWN 15L/3V/6B DIF180º</t>
  </si>
  <si>
    <t>XLM-1192</t>
  </si>
  <si>
    <t>55 PULG</t>
  </si>
  <si>
    <t>55 TCL /8B/MASTER MGS5502XMG-</t>
  </si>
  <si>
    <t>55 P735 TCL 15L/2B/3v/ DIF 180°</t>
  </si>
  <si>
    <t>XLM-0334</t>
  </si>
  <si>
    <t>55 XIAOMI L55M6A</t>
  </si>
  <si>
    <t>XLM-W2066</t>
  </si>
  <si>
    <t>55/5LED/6V/8B</t>
  </si>
  <si>
    <t>55/6L/6V/8B</t>
  </si>
  <si>
    <t>65 PULG.</t>
  </si>
  <si>
    <t>65 AIWA B4K 8L/6B/3v/ DIF 180°</t>
  </si>
  <si>
    <t>LED SUELTO 3V/2W C/C DIF. 180º</t>
  </si>
  <si>
    <t>LED SUELTO 3V/2W S/C  DIF. 180º</t>
  </si>
  <si>
    <t>LED SUELTO 6V/2W C/C DIF. 180º</t>
  </si>
  <si>
    <t>LED SUELTO 6V/2W S/C DIF. 180º</t>
  </si>
  <si>
    <t xml:space="preserve">LED SUELTO LUPA NORMAL 3V/2W S/C </t>
  </si>
  <si>
    <t>LED SUELTO LUPA NORMAL 6V/2W S/C</t>
  </si>
  <si>
    <t>AOC-JVC</t>
  </si>
  <si>
    <t>32 JVC RECTO /2B</t>
  </si>
  <si>
    <t>50 AOC /2B</t>
  </si>
  <si>
    <t>50 JVC KB527</t>
  </si>
  <si>
    <t>XLM-2555</t>
  </si>
  <si>
    <t>58 JVC 58KB858 4B/AIWA AW58B4K</t>
  </si>
  <si>
    <t>XLM-2269/2270</t>
  </si>
  <si>
    <t>LT-65 KB608 JVC /12B</t>
  </si>
  <si>
    <t>65 LT65KB527 10 B</t>
  </si>
  <si>
    <t>XLM-2127/2128</t>
  </si>
  <si>
    <t>75 JVC  KB527 14B/7L</t>
  </si>
  <si>
    <t>ES-4281/7 (YAN)</t>
  </si>
  <si>
    <t>SALIDAS</t>
  </si>
  <si>
    <t>Nº DE REGISTRO</t>
  </si>
  <si>
    <t>DESCRIPCION</t>
  </si>
  <si>
    <t>FECHA</t>
  </si>
  <si>
    <t>PRECIO JUEGO</t>
  </si>
  <si>
    <t>PRECIO BARRA</t>
  </si>
  <si>
    <t xml:space="preserve">CANT JUEGOS </t>
  </si>
  <si>
    <t>CANT BARRAS</t>
  </si>
  <si>
    <t>PRE A VENDER JUEGO</t>
  </si>
  <si>
    <t>PRE A VENDER BARRAS</t>
  </si>
  <si>
    <t xml:space="preserve">PRECIO VENDIDO </t>
  </si>
  <si>
    <t>P/NP</t>
  </si>
  <si>
    <t>DETALLE</t>
  </si>
  <si>
    <t>P</t>
  </si>
  <si>
    <t>MARCO</t>
  </si>
  <si>
    <t xml:space="preserve">REYNALDO VILLA EL CARMEN </t>
  </si>
  <si>
    <t>PEDRO</t>
  </si>
  <si>
    <t>ELMER</t>
  </si>
  <si>
    <t>RAMIRO</t>
  </si>
  <si>
    <t>ERLAN</t>
  </si>
  <si>
    <t>DON CRISTOBAL</t>
  </si>
  <si>
    <t>JULIAN</t>
  </si>
  <si>
    <t>PABLO</t>
  </si>
  <si>
    <t>PABLO-DEVOLVIO 09-01-2025</t>
  </si>
  <si>
    <t>FREDDY</t>
  </si>
  <si>
    <t>ENRIQUE</t>
  </si>
  <si>
    <t>N</t>
  </si>
  <si>
    <t>EN MAL ESTADO</t>
  </si>
  <si>
    <t>WILSON</t>
  </si>
  <si>
    <t>VENDIDO</t>
  </si>
  <si>
    <t>NESTOR</t>
  </si>
  <si>
    <t>EMILIO</t>
  </si>
  <si>
    <t>BERNARDO</t>
  </si>
  <si>
    <t>ELY</t>
  </si>
  <si>
    <t>DON GUSTAVO</t>
  </si>
  <si>
    <t>ORLANDO</t>
  </si>
  <si>
    <t xml:space="preserve">SAUL MAMANI </t>
  </si>
  <si>
    <t>JORGE</t>
  </si>
  <si>
    <t xml:space="preserve">ERLAN </t>
  </si>
  <si>
    <t>DON JULIO</t>
  </si>
  <si>
    <t>OSCAR</t>
  </si>
  <si>
    <t>FER-AGUILA</t>
  </si>
  <si>
    <t xml:space="preserve">DON JOSE </t>
  </si>
  <si>
    <t>DON RODO</t>
  </si>
  <si>
    <t>QR</t>
  </si>
  <si>
    <t>ELECTRONICA RYR</t>
  </si>
  <si>
    <t>P/CON FACTURA</t>
  </si>
  <si>
    <t>JAVIER EPS</t>
  </si>
  <si>
    <t>JAVIER A - ENVIO QUILLACOLLO</t>
  </si>
  <si>
    <t>NELSON ENVIO SUCRE</t>
  </si>
  <si>
    <t xml:space="preserve">RAMIRO </t>
  </si>
  <si>
    <t xml:space="preserve">WILSON </t>
  </si>
  <si>
    <t>PARA VENTA EN BARRAS</t>
  </si>
  <si>
    <t xml:space="preserve">DARCY PAGO </t>
  </si>
  <si>
    <t xml:space="preserve">PATO </t>
  </si>
  <si>
    <t>JULIO</t>
  </si>
  <si>
    <t>LIMBER</t>
  </si>
  <si>
    <t xml:space="preserve">ELY </t>
  </si>
  <si>
    <t xml:space="preserve">RAUL </t>
  </si>
  <si>
    <t>NP</t>
  </si>
  <si>
    <t>PAGO #3793 43V780</t>
  </si>
  <si>
    <t>PAGO DE SAMUEL</t>
  </si>
  <si>
    <t xml:space="preserve">FIDEL </t>
  </si>
  <si>
    <t>CHUQUIAGUILLO</t>
  </si>
  <si>
    <t>CLIENTE MARCO</t>
  </si>
  <si>
    <t>RAMIRO-MOTO</t>
  </si>
  <si>
    <t>PAGO #3205 27 PULG.</t>
  </si>
  <si>
    <t>PAGO DE GONZALO</t>
  </si>
  <si>
    <t>GUS</t>
  </si>
  <si>
    <t>ENVIO A RIBERALTA-EDWIN VILLARROEL</t>
  </si>
  <si>
    <t>JUANJO</t>
  </si>
  <si>
    <t>GUSTAVO</t>
  </si>
  <si>
    <t>ROLANDO</t>
  </si>
  <si>
    <t>PABLO HUMEREZ</t>
  </si>
  <si>
    <t>BLADIMIR</t>
  </si>
  <si>
    <t xml:space="preserve">DON FREDY </t>
  </si>
  <si>
    <t>ALEX ELECTRONICA LG</t>
  </si>
  <si>
    <t xml:space="preserve">TECNICO DE VILLA EL CARMEN </t>
  </si>
  <si>
    <t>GREGORI</t>
  </si>
  <si>
    <t xml:space="preserve">PEDRO </t>
  </si>
  <si>
    <t xml:space="preserve">MARCO </t>
  </si>
  <si>
    <t>RAUL CAMACHO</t>
  </si>
  <si>
    <t>CON FACTURA/ JAVIER EPS</t>
  </si>
  <si>
    <t>BLADIMIR DEYSI</t>
  </si>
  <si>
    <t>REYNALDO PLAZA DEL MAESTRO</t>
  </si>
  <si>
    <t xml:space="preserve">QR </t>
  </si>
  <si>
    <t xml:space="preserve">FREDDY </t>
  </si>
  <si>
    <t>ENVIO POTOSI-SAUL MAMANI</t>
  </si>
  <si>
    <t xml:space="preserve">JULIAN </t>
  </si>
  <si>
    <t>JOSE LUIS</t>
  </si>
  <si>
    <t>QUIQUE</t>
  </si>
  <si>
    <t xml:space="preserve">SAMUEL </t>
  </si>
  <si>
    <t xml:space="preserve">FER AGUILA </t>
  </si>
  <si>
    <t>JESUS</t>
  </si>
  <si>
    <t>EFRAIN</t>
  </si>
  <si>
    <t>ESPINAL</t>
  </si>
  <si>
    <t>RAMIRO MAS UN MODULO</t>
  </si>
  <si>
    <t>PABLO-</t>
  </si>
  <si>
    <t xml:space="preserve">GUS </t>
  </si>
  <si>
    <t xml:space="preserve">FER PATO </t>
  </si>
  <si>
    <t>EDUARDO JUDIO</t>
  </si>
  <si>
    <t xml:space="preserve">ENVIO A LLALLAGUA-ABDON INCA </t>
  </si>
  <si>
    <t xml:space="preserve">FRANCO </t>
  </si>
  <si>
    <t>REYNALDO</t>
  </si>
  <si>
    <t>VENDIDO-JUDIO</t>
  </si>
  <si>
    <t>EVER NARVAEZ</t>
  </si>
  <si>
    <t>VICTOR ELMER</t>
  </si>
  <si>
    <t xml:space="preserve">QUIQUE </t>
  </si>
  <si>
    <t xml:space="preserve">DON MARIO </t>
  </si>
  <si>
    <t xml:space="preserve">EDWIN </t>
  </si>
  <si>
    <t>G</t>
  </si>
  <si>
    <t>ERLAN LE DIO A RAMIRO SIN COSTO</t>
  </si>
  <si>
    <t>p</t>
  </si>
  <si>
    <t>ENVIO A RIBERALTA</t>
  </si>
  <si>
    <t>FREDY</t>
  </si>
  <si>
    <t xml:space="preserve">WALTER </t>
  </si>
  <si>
    <t xml:space="preserve">DON JULIO </t>
  </si>
  <si>
    <t>VENDIO SANDRA</t>
  </si>
  <si>
    <t>ENVIO A CBBA MARCO ANZE</t>
  </si>
  <si>
    <t>DON JUAN</t>
  </si>
  <si>
    <t>DON TEO</t>
  </si>
  <si>
    <t>EDWIN AYAVIRI-ENTREGA EL ALTO</t>
  </si>
  <si>
    <t>RAUL MOTO</t>
  </si>
  <si>
    <t>DARCY</t>
  </si>
  <si>
    <t>ENVIO LLALLAGUA-ABDON INCA</t>
  </si>
  <si>
    <t>JOSE</t>
  </si>
  <si>
    <t>GABRIEL ARACENA</t>
  </si>
  <si>
    <t>ELLMER</t>
  </si>
  <si>
    <t>RAMIRO MOTO</t>
  </si>
  <si>
    <t>EDUARDO</t>
  </si>
  <si>
    <t>ENVIO A POTOSI-SAUL MAMANI CH.</t>
  </si>
  <si>
    <t>´VENDIDO</t>
  </si>
  <si>
    <t>VENDIDO ALEX-SOLO SE COBRO CAPITAL-GARANTIA</t>
  </si>
  <si>
    <t>JUAN CONZA</t>
  </si>
  <si>
    <t>ENVIO A POTOSI-NOEL VILLCA</t>
  </si>
  <si>
    <t xml:space="preserve">ORLANDO </t>
  </si>
  <si>
    <t xml:space="preserve">VENDIDO </t>
  </si>
  <si>
    <t xml:space="preserve">DON CRISTOBAL </t>
  </si>
  <si>
    <t>ERLAN VENDIO</t>
  </si>
  <si>
    <t xml:space="preserve">TELEFERICO MORADO </t>
  </si>
  <si>
    <t>VICTOR CECER</t>
  </si>
  <si>
    <t>DON MARIO</t>
  </si>
  <si>
    <t xml:space="preserve">P </t>
  </si>
  <si>
    <t>SABINO</t>
  </si>
  <si>
    <t>ALEX</t>
  </si>
  <si>
    <t xml:space="preserve">JAVIER EPS CON FACTURA </t>
  </si>
  <si>
    <t xml:space="preserve">TECNICO CHUQUIAGUILLO </t>
  </si>
  <si>
    <t xml:space="preserve">ENVIO QUILLACOLLO </t>
  </si>
  <si>
    <t>LIMBERT</t>
  </si>
  <si>
    <t xml:space="preserve">GARANTIA ELMER </t>
  </si>
  <si>
    <t>ENTRADAS</t>
  </si>
  <si>
    <t>CODIGO</t>
  </si>
  <si>
    <t xml:space="preserve">FECHA </t>
  </si>
  <si>
    <t xml:space="preserve">CAN JUEGOS </t>
  </si>
  <si>
    <t>CAN BARRAS</t>
  </si>
  <si>
    <t>PRECIO</t>
  </si>
  <si>
    <t>PRECIO UNITARIO</t>
  </si>
  <si>
    <t>Columna1</t>
  </si>
  <si>
    <t>PARA VENTA DE BARRAS</t>
  </si>
  <si>
    <t xml:space="preserve">COMPRA  CHINA -YAN </t>
  </si>
  <si>
    <t>COMPRA-1</t>
  </si>
  <si>
    <t>COMPRA LINDY</t>
  </si>
  <si>
    <t>COMPRA-2</t>
  </si>
  <si>
    <t xml:space="preserve">PRECIO </t>
  </si>
  <si>
    <t>COD</t>
  </si>
  <si>
    <t xml:space="preserve">SAMSUNG </t>
  </si>
  <si>
    <r>
      <t>42 CHINO 8L</t>
    </r>
    <r>
      <rPr>
        <b/>
        <sz val="9"/>
        <color rgb="FFFF0000"/>
        <rFont val="Calibri"/>
        <family val="2"/>
        <scheme val="minor"/>
      </rPr>
      <t xml:space="preserve"> /6V</t>
    </r>
    <r>
      <rPr>
        <sz val="9"/>
        <color theme="1"/>
        <rFont val="Calibri"/>
        <family val="2"/>
        <scheme val="minor"/>
      </rPr>
      <t xml:space="preserve"> /3B</t>
    </r>
  </si>
  <si>
    <t>SONY - PANASONIC</t>
  </si>
  <si>
    <r>
      <t>43 PREMIER 8L</t>
    </r>
    <r>
      <rPr>
        <b/>
        <sz val="9"/>
        <color theme="1"/>
        <rFont val="Calibri"/>
        <family val="2"/>
        <scheme val="minor"/>
      </rPr>
      <t>/6V</t>
    </r>
    <r>
      <rPr>
        <sz val="9"/>
        <color theme="1"/>
        <rFont val="Calibri"/>
        <family val="2"/>
        <scheme val="minor"/>
      </rPr>
      <t>/3B</t>
    </r>
  </si>
  <si>
    <t xml:space="preserve">HAIER </t>
  </si>
  <si>
    <t>IRT</t>
  </si>
  <si>
    <t>MASTER G</t>
  </si>
  <si>
    <t>JVC- AOC</t>
  </si>
  <si>
    <t>CARLOS</t>
  </si>
  <si>
    <t>BARCO</t>
  </si>
  <si>
    <t>RAMIRO HERMANO DE JUDIO</t>
  </si>
  <si>
    <t>ELECTRONICA LG</t>
  </si>
  <si>
    <t>ALBERTO CORIPATA</t>
  </si>
  <si>
    <t>STICH</t>
  </si>
  <si>
    <t>GABRIEL MARTINEZ COCHA</t>
  </si>
  <si>
    <t>SAUL MAMANICHOQUERIBE</t>
  </si>
  <si>
    <t xml:space="preserve">DEBE  SAUL </t>
  </si>
  <si>
    <t>PARA VENDER POR BARRA</t>
  </si>
  <si>
    <t>ROBERTO</t>
  </si>
  <si>
    <t>NOEL POTOSI</t>
  </si>
  <si>
    <t>GARANTIA SAUL MAMANI</t>
  </si>
  <si>
    <t>FELIPE</t>
  </si>
  <si>
    <t>LINO</t>
  </si>
  <si>
    <t>ELECTRÓNICA ERLAN</t>
  </si>
  <si>
    <t>CATÁLOGO DE LED TV</t>
  </si>
  <si>
    <t>UN55H6400 - UN55J6400/12B</t>
  </si>
  <si>
    <t xml:space="preserve">                                </t>
  </si>
  <si>
    <t>58 MASTER G MGU5840X-58A6150FS- 3B/14L</t>
  </si>
  <si>
    <t>KDL-40R475- 40W605B-SONY/10B</t>
  </si>
  <si>
    <t>STOCK DE LED TV</t>
  </si>
  <si>
    <t>55 HISENSE K321UW/10B reemplazo</t>
  </si>
  <si>
    <t>STOCK</t>
  </si>
  <si>
    <t>NARVAES</t>
  </si>
  <si>
    <t>LEOPOLDO</t>
  </si>
  <si>
    <t>ELECTRONICA RY R</t>
  </si>
  <si>
    <t>GARANTIA PABLO</t>
  </si>
  <si>
    <t>JULIO MITA</t>
  </si>
  <si>
    <t>FRANKLIN COCTA COTA</t>
  </si>
  <si>
    <t>AQUINO</t>
  </si>
  <si>
    <t>JL LASCANO</t>
  </si>
  <si>
    <t>DEBE MARCO</t>
  </si>
  <si>
    <t>LEONARDO</t>
  </si>
  <si>
    <t>MAXWELL ORURO</t>
  </si>
  <si>
    <t>PLAZA DEL MAESTRO</t>
  </si>
  <si>
    <t>DEBE PAPA RODO</t>
  </si>
  <si>
    <t>SAUL MAMANI POTOSI</t>
  </si>
  <si>
    <t>ALEXIS</t>
  </si>
  <si>
    <t>ROGER</t>
  </si>
  <si>
    <t>FALTANTE</t>
  </si>
  <si>
    <t xml:space="preserve"> MARCO</t>
  </si>
  <si>
    <t>JAVIER</t>
  </si>
  <si>
    <t>JUDIO</t>
  </si>
  <si>
    <t>VICTOS CESER</t>
  </si>
  <si>
    <t>VICTOR CESER</t>
  </si>
  <si>
    <t>HENRRY</t>
  </si>
  <si>
    <t>VICTOR</t>
  </si>
  <si>
    <t>CERAPIO COCHA ENVIO</t>
  </si>
  <si>
    <t>PARA VENTAD E BARRAS</t>
  </si>
  <si>
    <t>ELEC. LG</t>
  </si>
  <si>
    <t>DEMETRIO POTISI</t>
  </si>
  <si>
    <t>PAPA RODO</t>
  </si>
  <si>
    <t xml:space="preserve"> EDUARDO CJ</t>
  </si>
  <si>
    <t>NOEL VILLCA</t>
  </si>
  <si>
    <t>CRITOBAL</t>
  </si>
  <si>
    <t>EDUARDO CJ</t>
  </si>
  <si>
    <t>PATO</t>
  </si>
  <si>
    <t>FRANCO</t>
  </si>
  <si>
    <t>L55M5-5ASP-XIAOMI 4B/12L/3V</t>
  </si>
  <si>
    <t>SEPARAMOS PARA HACER JUEGOS  55 CHINO 12L</t>
  </si>
  <si>
    <t>L55 M5- 5ASP XIAOMI 4B/12L/3V</t>
  </si>
  <si>
    <t>50 DISMAC 4B/9L TV-6747SF50SFW (PREMIER)</t>
  </si>
  <si>
    <r>
      <t xml:space="preserve">40 o 39 PREMIER 3B/7-6-7 LEDS /6V  </t>
    </r>
    <r>
      <rPr>
        <sz val="11"/>
        <color rgb="FFFF0000"/>
        <rFont val="Calibri"/>
        <family val="2"/>
        <scheme val="minor"/>
      </rPr>
      <t>7180SF40</t>
    </r>
  </si>
  <si>
    <r>
      <t>43 PREMIER 8L</t>
    </r>
    <r>
      <rPr>
        <b/>
        <sz val="11"/>
        <color theme="1"/>
        <rFont val="Calibri"/>
        <family val="2"/>
        <scheme val="minor"/>
      </rPr>
      <t>/3V</t>
    </r>
    <r>
      <rPr>
        <sz val="11"/>
        <color theme="1"/>
        <rFont val="Calibri"/>
        <family val="2"/>
        <scheme val="minor"/>
      </rPr>
      <t xml:space="preserve">/3B </t>
    </r>
    <r>
      <rPr>
        <sz val="11"/>
        <color rgb="FFFF0000"/>
        <rFont val="Calibri"/>
        <family val="2"/>
        <scheme val="minor"/>
      </rPr>
      <t>8047SF43SF</t>
    </r>
  </si>
  <si>
    <r>
      <t>43 PREMIER 8L</t>
    </r>
    <r>
      <rPr>
        <b/>
        <sz val="9"/>
        <color theme="1"/>
        <rFont val="Calibri"/>
        <family val="2"/>
        <scheme val="minor"/>
      </rPr>
      <t>/3V</t>
    </r>
    <r>
      <rPr>
        <sz val="9"/>
        <color theme="1"/>
        <rFont val="Calibri"/>
        <family val="2"/>
        <scheme val="minor"/>
      </rPr>
      <t xml:space="preserve">/3B </t>
    </r>
    <r>
      <rPr>
        <sz val="9"/>
        <color rgb="FFFF0000"/>
        <rFont val="Calibri"/>
        <family val="2"/>
        <scheme val="minor"/>
      </rPr>
      <t>8047SF43SF</t>
    </r>
  </si>
  <si>
    <t>L55M5-5ASP XIAOMI 4B/12L/3V</t>
  </si>
  <si>
    <r>
      <t xml:space="preserve">40-39 PREM 3B/7-6L/6V </t>
    </r>
    <r>
      <rPr>
        <sz val="9"/>
        <color rgb="FFFF0000"/>
        <rFont val="Calibri"/>
        <family val="2"/>
        <scheme val="minor"/>
      </rPr>
      <t>7180SF40</t>
    </r>
  </si>
  <si>
    <t>GUIDO RAMOS</t>
  </si>
  <si>
    <t>EDY</t>
  </si>
  <si>
    <t>JOSE LUIS CARANAVI</t>
  </si>
  <si>
    <t>COMPRA DE ROBERTO</t>
  </si>
  <si>
    <t>COMPRA LED DE ROBERTO</t>
  </si>
  <si>
    <t>MARIO</t>
  </si>
  <si>
    <t>QR Y EFC</t>
  </si>
  <si>
    <t>vendido</t>
  </si>
  <si>
    <t>RAMIRO PAMPAHASI</t>
  </si>
  <si>
    <t>ELECTRONOCA RYR</t>
  </si>
  <si>
    <t>fredy</t>
  </si>
  <si>
    <t>CRYS</t>
  </si>
  <si>
    <t>6R3AND6</t>
  </si>
  <si>
    <t>FEDERICO SALAS</t>
  </si>
  <si>
    <t>JOSE FRANCO</t>
  </si>
  <si>
    <t>FLACO</t>
  </si>
  <si>
    <t>GARANTIA ROBERTO</t>
  </si>
  <si>
    <t>STCH</t>
  </si>
  <si>
    <t>JOSE LUIS ESPINAL</t>
  </si>
  <si>
    <t>DEYVI</t>
  </si>
  <si>
    <t>CRISTIAN</t>
  </si>
  <si>
    <t>NOEL VILLCA POTOSI</t>
  </si>
  <si>
    <t>GONZALO</t>
  </si>
  <si>
    <t>HERMANO DE JUDIO</t>
  </si>
  <si>
    <t>COMPRA-3</t>
  </si>
  <si>
    <t>65 SKYWORTH 10B SUC Y EN OTRO MODELO 12 BARRAS</t>
  </si>
  <si>
    <t>AJUSTE FALTANTE</t>
  </si>
  <si>
    <t>DEYVIS</t>
  </si>
  <si>
    <t>P DEL MAESTRO</t>
  </si>
  <si>
    <t>PLAZA DE MAESTRO</t>
  </si>
  <si>
    <t>MERTINEZ SANTA CRUZ</t>
  </si>
  <si>
    <t>MARIO AMPUERO</t>
  </si>
  <si>
    <t>AGUILA</t>
  </si>
  <si>
    <t xml:space="preserve">ELECTRONICA LG </t>
  </si>
  <si>
    <t>UN55JS9000 2B</t>
  </si>
  <si>
    <t>WLISON</t>
  </si>
  <si>
    <t>JAIME POMA</t>
  </si>
  <si>
    <t>CRISTOBAL</t>
  </si>
  <si>
    <t>LUCHO</t>
  </si>
  <si>
    <t xml:space="preserve">            </t>
  </si>
  <si>
    <t>ramiro villa armonia</t>
  </si>
  <si>
    <t>55 HISENSE K321UW/10B reemplazo 55 6L/3V/10B</t>
  </si>
  <si>
    <t>ELEMER</t>
  </si>
  <si>
    <t>SIMON</t>
  </si>
  <si>
    <t>PEDRO DEBE</t>
  </si>
  <si>
    <t>JOSE DEBE</t>
  </si>
  <si>
    <t>ELECTRONOCA LG</t>
  </si>
  <si>
    <t>ALTO</t>
  </si>
  <si>
    <t>32 CHANCHONG CD1000 8L/3V/DIF. 180/3B 
32 CHANCHONG CD2000U 4B A 150 BS</t>
  </si>
  <si>
    <t>ELEMR</t>
  </si>
  <si>
    <t>COMPRA LINDY -4</t>
  </si>
  <si>
    <t>55K321 9B/6L/</t>
  </si>
  <si>
    <t>86Q9050- 86UP8770</t>
  </si>
  <si>
    <t>XLM-W2622</t>
  </si>
  <si>
    <t>XLM-0787</t>
  </si>
  <si>
    <t>XY-2203-XLM-2338</t>
  </si>
  <si>
    <t>XLM-1611/1612</t>
  </si>
  <si>
    <t>XLM-0174/0175</t>
  </si>
  <si>
    <t>43UM7300</t>
  </si>
  <si>
    <t>XLM-1608</t>
  </si>
  <si>
    <t>XLM-0607</t>
  </si>
  <si>
    <t>65 TU8500</t>
  </si>
  <si>
    <t>XLM-2101</t>
  </si>
  <si>
    <t>43AU7000</t>
  </si>
  <si>
    <t>XLM-0988/0989</t>
  </si>
  <si>
    <t>GARANTIA ELCTRONICA RYR</t>
  </si>
  <si>
    <t>HIJO TEO</t>
  </si>
  <si>
    <r>
      <t>42 CHINO 8L</t>
    </r>
    <r>
      <rPr>
        <b/>
        <sz val="9"/>
        <color theme="1"/>
        <rFont val="Calibri"/>
        <family val="2"/>
        <scheme val="minor"/>
      </rPr>
      <t xml:space="preserve"> /6V</t>
    </r>
    <r>
      <rPr>
        <sz val="9"/>
        <color theme="1"/>
        <rFont val="Calibri"/>
        <family val="2"/>
        <scheme val="minor"/>
      </rPr>
      <t xml:space="preserve"> /3B</t>
    </r>
  </si>
  <si>
    <t>40-39 PREMIER 3B/7-6/6V 7180SF40</t>
  </si>
  <si>
    <r>
      <t>43 PREMIER 8L</t>
    </r>
    <r>
      <rPr>
        <b/>
        <sz val="9"/>
        <color theme="1"/>
        <rFont val="Calibri"/>
        <family val="2"/>
        <scheme val="minor"/>
      </rPr>
      <t>/3V</t>
    </r>
    <r>
      <rPr>
        <sz val="9"/>
        <color theme="1"/>
        <rFont val="Calibri"/>
        <family val="2"/>
        <scheme val="minor"/>
      </rPr>
      <t>/3B 8047SF43SF</t>
    </r>
  </si>
  <si>
    <t>AJUSTE</t>
  </si>
  <si>
    <t>ajuste</t>
  </si>
  <si>
    <t xml:space="preserve">AJUSTE </t>
  </si>
  <si>
    <t>VENTA DE BARRAS</t>
  </si>
  <si>
    <t>VENTA POR BARARS PABLO</t>
  </si>
  <si>
    <t>EL ALTO</t>
  </si>
  <si>
    <t>COMPRA LINDY - 3</t>
  </si>
  <si>
    <t>XLM - 0981</t>
  </si>
  <si>
    <t>XLM - 0947</t>
  </si>
  <si>
    <t>XLM - 1439</t>
  </si>
  <si>
    <t>XLM - 0522/0523</t>
  </si>
  <si>
    <t>XLM - 1790</t>
  </si>
  <si>
    <t>XLM - 1259</t>
  </si>
  <si>
    <t>XLM - 2040</t>
  </si>
  <si>
    <t>XLM - 2088/2089</t>
  </si>
  <si>
    <t>UN 40 D6500/2B</t>
  </si>
  <si>
    <t>XLM - W0896</t>
  </si>
  <si>
    <t>65 IRT 12B/6L</t>
  </si>
  <si>
    <t>XLM- W1858</t>
  </si>
  <si>
    <t>XLM- 1296/1297</t>
  </si>
  <si>
    <t>55 CHINO 6L/3V/10B REMPLAZO DEL HISENSE 55</t>
  </si>
  <si>
    <r>
      <t>55 TCL /8B/</t>
    </r>
    <r>
      <rPr>
        <sz val="9"/>
        <color rgb="FFFF0000"/>
        <rFont val="Calibri"/>
        <family val="2"/>
        <scheme val="minor"/>
      </rPr>
      <t>MG-S5502XMG-5504X</t>
    </r>
  </si>
  <si>
    <t>65 SKYWORTH 10B SUC</t>
  </si>
  <si>
    <r>
      <t xml:space="preserve">UN48H4200/8B </t>
    </r>
    <r>
      <rPr>
        <sz val="9"/>
        <color rgb="FFFF0000"/>
        <rFont val="Calibri"/>
        <family val="2"/>
        <scheme val="minor"/>
      </rPr>
      <t>LH48EBDNLGG/ZS</t>
    </r>
  </si>
  <si>
    <t>UN75F6400/36B</t>
  </si>
  <si>
    <r>
      <t xml:space="preserve">55 CHINO 12L/3B- </t>
    </r>
    <r>
      <rPr>
        <sz val="8"/>
        <color rgb="FFFF0000"/>
        <rFont val="Calibri"/>
        <family val="2"/>
        <scheme val="minor"/>
      </rPr>
      <t>MG 4S55X MASTER G</t>
    </r>
  </si>
  <si>
    <r>
      <t>55 TCL /8B/</t>
    </r>
    <r>
      <rPr>
        <sz val="6"/>
        <color rgb="FFFF0000"/>
        <rFont val="Calibri"/>
        <family val="2"/>
        <scheme val="minor"/>
      </rPr>
      <t>MASTER MGS5502XMG-5504X</t>
    </r>
  </si>
  <si>
    <r>
      <t xml:space="preserve">65 SKYWORTH 10B SUC  </t>
    </r>
    <r>
      <rPr>
        <sz val="9"/>
        <color rgb="FFFF0000"/>
        <rFont val="Calibri"/>
        <family val="2"/>
        <scheme val="minor"/>
      </rPr>
      <t>BARRAS</t>
    </r>
  </si>
  <si>
    <t>ELECTRÓNICA ERLAN ( CATÁLOGO DE LED TV)</t>
  </si>
  <si>
    <t>MERCO</t>
  </si>
  <si>
    <t>SAMUEL</t>
  </si>
  <si>
    <t>JULITO</t>
  </si>
  <si>
    <t>DELIVERI</t>
  </si>
  <si>
    <t>DON VICTOR CESER</t>
  </si>
  <si>
    <t>TIO FREDY</t>
  </si>
  <si>
    <t>GARANTIA ELY</t>
  </si>
  <si>
    <t>JORGE HUAYGUA POTOSI</t>
  </si>
  <si>
    <t>VENTA POR BARRAS</t>
  </si>
  <si>
    <t>ELECTRONOCA LG DEBE 100</t>
  </si>
  <si>
    <t>LEONERDO</t>
  </si>
  <si>
    <t>CHIFU</t>
  </si>
  <si>
    <t>JUANITO</t>
  </si>
  <si>
    <t>GARANTIA</t>
  </si>
  <si>
    <t>JOSE ESPINAL</t>
  </si>
  <si>
    <t>ACHACHICALA</t>
  </si>
  <si>
    <t>GABRIEL  NARVAES</t>
  </si>
  <si>
    <t>TEO CHASQUI</t>
  </si>
  <si>
    <t>ROBERTO SANGA</t>
  </si>
  <si>
    <t>erLAN</t>
  </si>
  <si>
    <t>CINE</t>
  </si>
  <si>
    <t>ALFREDO</t>
  </si>
  <si>
    <t>ANIBAL AQUINO LLALLAGUA</t>
  </si>
  <si>
    <t>MEARCO</t>
  </si>
  <si>
    <t>EMILIO PERI</t>
  </si>
  <si>
    <t>PARA VENDER POR BARRAS</t>
  </si>
  <si>
    <t>SANTOS LIMBER</t>
  </si>
  <si>
    <t>DEMETRIO POTOSI</t>
  </si>
  <si>
    <t>AJUSTE INVENTARIO</t>
  </si>
  <si>
    <t>ENRRIQUE TZ</t>
  </si>
  <si>
    <t>WILSON BURRITO</t>
  </si>
  <si>
    <t>GENARO</t>
  </si>
  <si>
    <t>FER AGUILA</t>
  </si>
  <si>
    <t>HIJO DON TEO</t>
  </si>
  <si>
    <t>DEBE 50</t>
  </si>
  <si>
    <t>VENTA POR BARARS</t>
  </si>
  <si>
    <t>RAUL</t>
  </si>
  <si>
    <t>EPS</t>
  </si>
  <si>
    <t>LJULIAN</t>
  </si>
  <si>
    <t>GARANTIA GUSTAVO</t>
  </si>
  <si>
    <t>COMPRA LINDY - 5</t>
  </si>
  <si>
    <t>XLM- 0648/0649</t>
  </si>
  <si>
    <t>XLM-0037</t>
  </si>
  <si>
    <t>XLM- 0650</t>
  </si>
  <si>
    <t>XLM- W259</t>
  </si>
  <si>
    <t>XLM-1082</t>
  </si>
  <si>
    <t>XLM-0038</t>
  </si>
  <si>
    <t>6019-1</t>
  </si>
  <si>
    <t>55 MASTER GMGUF55WK</t>
  </si>
  <si>
    <t>XLM-1852/1853</t>
  </si>
  <si>
    <t>XLM- 1852/1853</t>
  </si>
  <si>
    <t>32 PREMIER 5L/6V/2B</t>
  </si>
  <si>
    <t>XLM.1865</t>
  </si>
  <si>
    <t>XLM-1865</t>
  </si>
  <si>
    <t>1153-1</t>
  </si>
  <si>
    <t>75 UH 4B</t>
  </si>
  <si>
    <t>XLM-W 1352</t>
  </si>
  <si>
    <t>XLM-W1352</t>
  </si>
  <si>
    <t>2065-1</t>
  </si>
  <si>
    <t>55BU/AU 8000</t>
  </si>
  <si>
    <t>XLM-1664</t>
  </si>
  <si>
    <t>40 H5100-40 H4200</t>
  </si>
  <si>
    <t>XLM-1226/1227</t>
  </si>
  <si>
    <t>XLM- 0346/0345</t>
  </si>
  <si>
    <t>6000-1</t>
  </si>
  <si>
    <t xml:space="preserve">32 TB 7000 SKYWORTH 2B/7LED </t>
  </si>
  <si>
    <t>6131-1</t>
  </si>
  <si>
    <t>65 SUE 9500</t>
  </si>
  <si>
    <t>XLM-2041</t>
  </si>
  <si>
    <t>XLM- 2041</t>
  </si>
  <si>
    <t>DAVID CHAMBILLA</t>
  </si>
  <si>
    <t>COBRO SU SALDO A FAVOR FRANCO</t>
  </si>
  <si>
    <t>EFRAIN CHAMBILLA</t>
  </si>
  <si>
    <t xml:space="preserve"> GARANTIA</t>
  </si>
  <si>
    <t>ALBERTO</t>
  </si>
  <si>
    <t>FERNANDO</t>
  </si>
  <si>
    <t>CORDOVA</t>
  </si>
  <si>
    <t>DANIEL</t>
  </si>
  <si>
    <t>DARLIN</t>
  </si>
  <si>
    <t>SAUL</t>
  </si>
  <si>
    <t>DUDU</t>
  </si>
  <si>
    <t>PP</t>
  </si>
  <si>
    <t>ROLANDO DEBE 150</t>
  </si>
  <si>
    <t>MAX</t>
  </si>
  <si>
    <t>FER PATO</t>
  </si>
  <si>
    <t>PER PATO</t>
  </si>
  <si>
    <t>VILLA EL CARMEN</t>
  </si>
  <si>
    <t>QR Y P</t>
  </si>
  <si>
    <t>ERLAN CRIS</t>
  </si>
  <si>
    <t>MIGUEL COPA</t>
  </si>
  <si>
    <t>NARVAEZ</t>
  </si>
  <si>
    <t>B GRAFICO</t>
  </si>
  <si>
    <t>HELIBERTO</t>
  </si>
  <si>
    <t>LECTRONICA LG</t>
  </si>
  <si>
    <t>ALBERTO MEYER CORIPATA</t>
  </si>
  <si>
    <t>COMPRA LINDY - 6</t>
  </si>
  <si>
    <t>42CD2000 CHANCHONG</t>
  </si>
  <si>
    <t>XLM-0404</t>
  </si>
  <si>
    <t>QN 55 Q8CNAG 2B</t>
  </si>
  <si>
    <t>XLM-W2354</t>
  </si>
  <si>
    <t>XLM-W1254</t>
  </si>
  <si>
    <t>XLM-0137</t>
  </si>
  <si>
    <t>XLM-0122</t>
  </si>
  <si>
    <t>49 UN7100</t>
  </si>
  <si>
    <t>XLM-0549</t>
  </si>
  <si>
    <t>XLM-1102</t>
  </si>
  <si>
    <t>XLM-1676</t>
  </si>
  <si>
    <t>XLM-0397</t>
  </si>
  <si>
    <t>XLM-0044</t>
  </si>
  <si>
    <t>XLM-W1176</t>
  </si>
  <si>
    <t>XLM-0210</t>
  </si>
  <si>
    <t>XLM-2135</t>
  </si>
  <si>
    <t>27 JUEGOS</t>
  </si>
  <si>
    <t>159 BARRAS</t>
  </si>
  <si>
    <t>GUIDO</t>
  </si>
  <si>
    <t>AGUILA DEBE</t>
  </si>
  <si>
    <t>DARSY DEBE 50</t>
  </si>
  <si>
    <t>NAPO</t>
  </si>
  <si>
    <t>SAMUEL DEBE</t>
  </si>
  <si>
    <t>ERLAN DEBE</t>
  </si>
  <si>
    <t>HERRERA</t>
  </si>
  <si>
    <t>MAXWELL</t>
  </si>
  <si>
    <t>YESMAN ARENAS</t>
  </si>
  <si>
    <t>IVAN</t>
  </si>
  <si>
    <t>SERGIO</t>
  </si>
  <si>
    <t>WILLIAN DIAZ</t>
  </si>
  <si>
    <t>ERLAN CRISTOBAL DEBE</t>
  </si>
  <si>
    <t>DAVID</t>
  </si>
  <si>
    <t>VICENTE COBIJA</t>
  </si>
  <si>
    <t>ELY DEBE</t>
  </si>
  <si>
    <t xml:space="preserve">ELMER </t>
  </si>
  <si>
    <t xml:space="preserve">ELEMR </t>
  </si>
  <si>
    <t>ELMER DEBE</t>
  </si>
  <si>
    <t>JUANCARLOS FLORE POTOSI</t>
  </si>
  <si>
    <t>DEMETRIO PITOSI</t>
  </si>
  <si>
    <t>COMPRA LINDY - 7</t>
  </si>
  <si>
    <t>49-DAeWO/ 9B EL JUEGO 1 PIN</t>
  </si>
  <si>
    <t>XLM-1722</t>
  </si>
  <si>
    <t>5031-1</t>
  </si>
  <si>
    <t>55W655D 14B/6L/3V</t>
  </si>
  <si>
    <t>XLM-0850/0851</t>
  </si>
  <si>
    <t>42 LA6600</t>
  </si>
  <si>
    <t>XLM-1288/1289</t>
  </si>
  <si>
    <t>43 L4700 TOS/6B -43UJ-6200/LG/8B-43E2SKYWORTH</t>
  </si>
  <si>
    <r>
      <t xml:space="preserve">50 DISMAC 4B/9L </t>
    </r>
    <r>
      <rPr>
        <sz val="11"/>
        <color rgb="FFFF0000"/>
        <rFont val="Calibri"/>
        <family val="2"/>
        <scheme val="minor"/>
      </rPr>
      <t>TV-6747SF50SFW 50 (PREMIER)</t>
    </r>
  </si>
  <si>
    <r>
      <t xml:space="preserve">50 DISMAC 4B/9L </t>
    </r>
    <r>
      <rPr>
        <sz val="8"/>
        <color rgb="FFFF0000"/>
        <rFont val="Calibri"/>
        <family val="2"/>
        <scheme val="minor"/>
      </rPr>
      <t>TV-6747SF50SFW 50(PREMIER)</t>
    </r>
  </si>
  <si>
    <r>
      <t>55CHINO12L/3B-</t>
    </r>
    <r>
      <rPr>
        <sz val="11"/>
        <color rgb="FFC00000"/>
        <rFont val="Calibri"/>
        <family val="2"/>
        <scheme val="minor"/>
      </rPr>
      <t>MG4S55X-</t>
    </r>
    <r>
      <rPr>
        <sz val="11"/>
        <color theme="1"/>
        <rFont val="Calibri"/>
        <family val="2"/>
        <scheme val="minor"/>
      </rPr>
      <t>TC-</t>
    </r>
    <r>
      <rPr>
        <sz val="11"/>
        <color rgb="FFFF0000"/>
        <rFont val="Calibri"/>
        <family val="2"/>
        <scheme val="minor"/>
      </rPr>
      <t>55GX500P PANASONIC 4B</t>
    </r>
  </si>
  <si>
    <r>
      <t>55CHINO12L/3B-</t>
    </r>
    <r>
      <rPr>
        <sz val="8"/>
        <color rgb="FFC00000"/>
        <rFont val="Calibri"/>
        <family val="2"/>
        <scheme val="minor"/>
      </rPr>
      <t>MG4S55X-</t>
    </r>
    <r>
      <rPr>
        <sz val="8"/>
        <color theme="1"/>
        <rFont val="Calibri"/>
        <family val="2"/>
        <scheme val="minor"/>
      </rPr>
      <t>TC-</t>
    </r>
    <r>
      <rPr>
        <sz val="8"/>
        <color rgb="FFFF0000"/>
        <rFont val="Calibri"/>
        <family val="2"/>
        <scheme val="minor"/>
      </rPr>
      <t>55GX500PANASONIC4B</t>
    </r>
  </si>
  <si>
    <r>
      <t xml:space="preserve">32 A 4H HISENSE 5L/3V/2B </t>
    </r>
    <r>
      <rPr>
        <sz val="8"/>
        <color rgb="FFFF0000"/>
        <rFont val="Calibri"/>
        <family val="2"/>
        <scheme val="minor"/>
      </rPr>
      <t xml:space="preserve">32E5610- </t>
    </r>
    <r>
      <rPr>
        <sz val="8"/>
        <color rgb="FFC00000"/>
        <rFont val="Calibri"/>
        <family val="2"/>
        <scheme val="minor"/>
      </rPr>
      <t>32V35KB TOSHIBA</t>
    </r>
  </si>
  <si>
    <r>
      <t xml:space="preserve">32A4H HISENSE 5L/3V/2B </t>
    </r>
    <r>
      <rPr>
        <sz val="6"/>
        <color rgb="FFFF0000"/>
        <rFont val="Calibri"/>
        <family val="2"/>
        <scheme val="minor"/>
      </rPr>
      <t xml:space="preserve">32E5610- </t>
    </r>
    <r>
      <rPr>
        <sz val="6"/>
        <color rgb="FFC00000"/>
        <rFont val="Calibri"/>
        <family val="2"/>
        <scheme val="minor"/>
      </rPr>
      <t>32V35KB TOSHIBA</t>
    </r>
  </si>
  <si>
    <r>
      <t>50 MASTER G MGU5010X 8B/6L-</t>
    </r>
    <r>
      <rPr>
        <sz val="10"/>
        <color rgb="FFC00000"/>
        <rFont val="Calibri"/>
        <family val="2"/>
        <scheme val="minor"/>
      </rPr>
      <t>50V2 SKYWORT</t>
    </r>
  </si>
  <si>
    <r>
      <t>50 MASTER G MGU5010X 8B/6L-</t>
    </r>
    <r>
      <rPr>
        <sz val="8"/>
        <color rgb="FFC00000"/>
        <rFont val="Calibri"/>
        <family val="2"/>
        <scheme val="minor"/>
      </rPr>
      <t>50V2 SKYWORT</t>
    </r>
  </si>
  <si>
    <r>
      <t xml:space="preserve">58 JVC 58KB527- </t>
    </r>
    <r>
      <rPr>
        <sz val="11"/>
        <color rgb="FFC00000"/>
        <rFont val="Calibri"/>
        <family val="2"/>
        <scheme val="minor"/>
      </rPr>
      <t>58KB538</t>
    </r>
  </si>
  <si>
    <r>
      <t>75 JVC /12B-</t>
    </r>
    <r>
      <rPr>
        <sz val="11"/>
        <color rgb="FFC00000"/>
        <rFont val="Calibri"/>
        <family val="2"/>
        <scheme val="minor"/>
      </rPr>
      <t>75KB618</t>
    </r>
  </si>
  <si>
    <r>
      <t xml:space="preserve">58 JVC 58KB527- </t>
    </r>
    <r>
      <rPr>
        <sz val="9"/>
        <color rgb="FFC00000"/>
        <rFont val="Calibri"/>
        <family val="2"/>
        <scheme val="minor"/>
      </rPr>
      <t>58KB538</t>
    </r>
  </si>
  <si>
    <r>
      <t>75 JVC /12B-</t>
    </r>
    <r>
      <rPr>
        <sz val="9"/>
        <color rgb="FFC00000"/>
        <rFont val="Calibri"/>
        <family val="2"/>
        <scheme val="minor"/>
      </rPr>
      <t>75KB618</t>
    </r>
  </si>
  <si>
    <t>FRANCI</t>
  </si>
  <si>
    <t>V. FATIMA</t>
  </si>
  <si>
    <t>EDSON POTOSI</t>
  </si>
  <si>
    <t>RAMIRO ARMENTIA</t>
  </si>
  <si>
    <t>LEDQUE HAY QUECAMBIAR POR OTRO LED</t>
  </si>
  <si>
    <t>LLALLAGUA</t>
  </si>
  <si>
    <t>UYUNI</t>
  </si>
  <si>
    <t>MENDEZ</t>
  </si>
  <si>
    <t>HIJO DE LONARDO</t>
  </si>
  <si>
    <t>GALO</t>
  </si>
  <si>
    <t>HIJO LEONARDO</t>
  </si>
  <si>
    <t>JUEGOS DE REMPLAZO</t>
  </si>
  <si>
    <t>ELCTRONICA RYR</t>
  </si>
  <si>
    <t>JULIAN DEBE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</si>
</sst>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Arial Black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36"/>
      <color rgb="FF000000"/>
      <name val="Arial Black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134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26"/>
      <color rgb="FF000000"/>
      <name val="Arial Black"/>
      <family val="2"/>
    </font>
    <font>
      <sz val="24"/>
      <color rgb="FF000000"/>
      <name val="Arial Black"/>
      <family val="2"/>
    </font>
    <font>
      <sz val="22"/>
      <color rgb="FF000000"/>
      <name val="Arial Black"/>
      <family val="2"/>
    </font>
    <font>
      <sz val="14"/>
      <color rgb="FF000000"/>
      <name val="Arial Black"/>
      <family val="2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charset val="134"/>
      <scheme val="minor"/>
    </font>
    <font>
      <sz val="9"/>
      <color rgb="FF242424"/>
      <name val="Aptos Narrow"/>
      <charset val="1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Aptos Narrow"/>
      <charset val="1"/>
    </font>
    <font>
      <sz val="6"/>
      <color theme="1"/>
      <name val="Calibri"/>
      <family val="2"/>
      <scheme val="minor"/>
    </font>
    <font>
      <sz val="6"/>
      <color rgb="FFFF0000"/>
      <name val="Calibri"/>
      <family val="2"/>
      <scheme val="minor"/>
    </font>
    <font>
      <b/>
      <sz val="8"/>
      <color theme="1"/>
      <name val="Calibri"/>
      <family val="2"/>
    </font>
    <font>
      <b/>
      <sz val="11"/>
      <color theme="1"/>
      <name val="Calibri"/>
      <scheme val="minor"/>
    </font>
    <font>
      <sz val="12"/>
      <color theme="1"/>
      <name val="Calibri"/>
      <scheme val="minor"/>
    </font>
    <font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6"/>
      <color rgb="FFC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92D050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3" fillId="0" borderId="0"/>
    <xf numFmtId="0" fontId="14" fillId="10" borderId="0" applyNumberFormat="0" applyBorder="0" applyAlignment="0" applyProtection="0"/>
  </cellStyleXfs>
  <cellXfs count="26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Fill="1"/>
    <xf numFmtId="0" fontId="13" fillId="0" borderId="0" xfId="1"/>
    <xf numFmtId="0" fontId="13" fillId="0" borderId="0" xfId="1" applyFill="1"/>
    <xf numFmtId="0" fontId="2" fillId="0" borderId="0" xfId="1" applyFont="1" applyFill="1"/>
    <xf numFmtId="0" fontId="2" fillId="0" borderId="3" xfId="1" applyFont="1" applyFill="1" applyBorder="1"/>
    <xf numFmtId="0" fontId="15" fillId="0" borderId="0" xfId="1" applyFont="1" applyFill="1"/>
    <xf numFmtId="0" fontId="2" fillId="0" borderId="0" xfId="1" applyFont="1" applyFill="1" applyBorder="1"/>
    <xf numFmtId="0" fontId="15" fillId="0" borderId="3" xfId="1" applyFont="1" applyFill="1" applyBorder="1"/>
    <xf numFmtId="0" fontId="0" fillId="0" borderId="0" xfId="0" applyNumberFormat="1"/>
    <xf numFmtId="0" fontId="0" fillId="8" borderId="0" xfId="0" applyFill="1"/>
    <xf numFmtId="0" fontId="0" fillId="11" borderId="0" xfId="0" applyFill="1"/>
    <xf numFmtId="0" fontId="0" fillId="12" borderId="0" xfId="0" applyFill="1"/>
    <xf numFmtId="0" fontId="0" fillId="9" borderId="0" xfId="0" applyFill="1"/>
    <xf numFmtId="0" fontId="0" fillId="13" borderId="0" xfId="0" applyFill="1"/>
    <xf numFmtId="14" fontId="0" fillId="0" borderId="0" xfId="0" applyNumberFormat="1"/>
    <xf numFmtId="0" fontId="0" fillId="11" borderId="0" xfId="0" applyFont="1" applyFill="1"/>
    <xf numFmtId="0" fontId="17" fillId="9" borderId="0" xfId="0" applyFont="1" applyFill="1"/>
    <xf numFmtId="0" fontId="16" fillId="9" borderId="0" xfId="0" applyFont="1" applyFill="1"/>
    <xf numFmtId="0" fontId="17" fillId="0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8" fillId="0" borderId="0" xfId="0" applyFont="1" applyFill="1"/>
    <xf numFmtId="0" fontId="19" fillId="0" borderId="0" xfId="0" applyFont="1" applyFill="1"/>
    <xf numFmtId="0" fontId="20" fillId="0" borderId="0" xfId="2" applyFont="1" applyFill="1"/>
    <xf numFmtId="0" fontId="18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16" fillId="0" borderId="0" xfId="0" applyFont="1" applyFill="1"/>
    <xf numFmtId="0" fontId="21" fillId="9" borderId="0" xfId="0" applyFont="1" applyFill="1"/>
    <xf numFmtId="0" fontId="0" fillId="17" borderId="0" xfId="0" applyFill="1"/>
    <xf numFmtId="0" fontId="22" fillId="0" borderId="0" xfId="2" applyFont="1" applyFill="1"/>
    <xf numFmtId="0" fontId="23" fillId="0" borderId="0" xfId="2" applyFont="1" applyFill="1"/>
    <xf numFmtId="0" fontId="2" fillId="0" borderId="0" xfId="0" applyFont="1" applyFill="1"/>
    <xf numFmtId="0" fontId="15" fillId="0" borderId="0" xfId="0" applyFont="1" applyFill="1"/>
    <xf numFmtId="0" fontId="2" fillId="0" borderId="0" xfId="0" applyFont="1" applyFill="1" applyAlignment="1">
      <alignment wrapText="1"/>
    </xf>
    <xf numFmtId="0" fontId="15" fillId="0" borderId="0" xfId="0" applyFont="1" applyFill="1" applyAlignment="1">
      <alignment wrapText="1"/>
    </xf>
    <xf numFmtId="0" fontId="17" fillId="9" borderId="0" xfId="0" applyFont="1" applyFill="1" applyBorder="1"/>
    <xf numFmtId="0" fontId="0" fillId="0" borderId="0" xfId="0" applyFont="1" applyFill="1"/>
    <xf numFmtId="0" fontId="21" fillId="0" borderId="0" xfId="0" applyFont="1" applyFill="1"/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0" fontId="0" fillId="0" borderId="0" xfId="0" applyFont="1" applyAlignment="1">
      <alignment vertical="center"/>
    </xf>
    <xf numFmtId="0" fontId="24" fillId="0" borderId="0" xfId="0" applyFont="1" applyFill="1" applyAlignment="1">
      <alignment wrapText="1"/>
    </xf>
    <xf numFmtId="1" fontId="0" fillId="0" borderId="0" xfId="0" applyNumberFormat="1" applyFill="1"/>
    <xf numFmtId="0" fontId="25" fillId="0" borderId="0" xfId="0" applyFont="1" applyFill="1" applyAlignment="1">
      <alignment wrapText="1"/>
    </xf>
    <xf numFmtId="0" fontId="5" fillId="0" borderId="0" xfId="0" applyFont="1" applyFill="1"/>
    <xf numFmtId="0" fontId="2" fillId="0" borderId="0" xfId="0" applyFont="1"/>
    <xf numFmtId="0" fontId="24" fillId="0" borderId="0" xfId="0" applyFont="1"/>
    <xf numFmtId="0" fontId="27" fillId="9" borderId="0" xfId="0" applyFont="1" applyFill="1"/>
    <xf numFmtId="0" fontId="2" fillId="17" borderId="0" xfId="0" applyFont="1" applyFill="1"/>
    <xf numFmtId="0" fontId="27" fillId="9" borderId="0" xfId="0" applyFont="1" applyFill="1" applyBorder="1"/>
    <xf numFmtId="0" fontId="0" fillId="0" borderId="0" xfId="0" applyFont="1" applyFill="1" applyAlignment="1">
      <alignment wrapText="1"/>
    </xf>
    <xf numFmtId="0" fontId="22" fillId="11" borderId="0" xfId="0" applyFont="1" applyFill="1"/>
    <xf numFmtId="0" fontId="0" fillId="8" borderId="0" xfId="0" applyNumberFormat="1" applyFill="1"/>
    <xf numFmtId="0" fontId="0" fillId="0" borderId="0" xfId="0" applyNumberFormat="1" applyFill="1"/>
    <xf numFmtId="0" fontId="9" fillId="5" borderId="0" xfId="0" applyFont="1" applyFill="1" applyBorder="1" applyAlignment="1">
      <alignment horizontal="center" vertical="center" wrapText="1"/>
    </xf>
    <xf numFmtId="0" fontId="0" fillId="0" borderId="0" xfId="1" applyFont="1" applyFill="1"/>
    <xf numFmtId="14" fontId="0" fillId="0" borderId="0" xfId="0" applyNumberFormat="1" applyFill="1"/>
    <xf numFmtId="2" fontId="0" fillId="0" borderId="0" xfId="0" applyNumberFormat="1"/>
    <xf numFmtId="0" fontId="7" fillId="0" borderId="0" xfId="0" applyFont="1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7" fillId="0" borderId="0" xfId="0" applyFont="1" applyFill="1" applyBorder="1" applyAlignment="1">
      <alignment wrapText="1"/>
    </xf>
    <xf numFmtId="0" fontId="32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Font="1" applyAlignment="1">
      <alignment wrapText="1"/>
    </xf>
    <xf numFmtId="0" fontId="34" fillId="9" borderId="0" xfId="0" applyFont="1" applyFill="1"/>
    <xf numFmtId="0" fontId="35" fillId="0" borderId="0" xfId="2" applyFont="1" applyFill="1"/>
    <xf numFmtId="0" fontId="33" fillId="9" borderId="0" xfId="0" applyFont="1" applyFill="1"/>
    <xf numFmtId="0" fontId="35" fillId="0" borderId="0" xfId="0" applyFont="1" applyFill="1"/>
    <xf numFmtId="0" fontId="0" fillId="0" borderId="0" xfId="0" applyFont="1"/>
    <xf numFmtId="0" fontId="0" fillId="18" borderId="0" xfId="0" applyFill="1"/>
    <xf numFmtId="14" fontId="0" fillId="18" borderId="0" xfId="0" applyNumberFormat="1" applyFill="1"/>
    <xf numFmtId="0" fontId="0" fillId="18" borderId="0" xfId="0" applyFill="1" applyAlignment="1">
      <alignment wrapText="1"/>
    </xf>
    <xf numFmtId="0" fontId="0" fillId="18" borderId="4" xfId="0" applyFill="1" applyBorder="1"/>
    <xf numFmtId="1" fontId="0" fillId="18" borderId="4" xfId="0" applyNumberFormat="1" applyFill="1" applyBorder="1"/>
    <xf numFmtId="14" fontId="0" fillId="18" borderId="4" xfId="0" applyNumberFormat="1" applyFill="1" applyBorder="1"/>
    <xf numFmtId="0" fontId="0" fillId="18" borderId="0" xfId="0" applyNumberFormat="1" applyFill="1"/>
    <xf numFmtId="1" fontId="0" fillId="18" borderId="0" xfId="0" applyNumberFormat="1" applyFill="1"/>
    <xf numFmtId="0" fontId="1" fillId="0" borderId="0" xfId="0" applyFont="1" applyFill="1"/>
    <xf numFmtId="0" fontId="0" fillId="0" borderId="0" xfId="0" applyAlignment="1">
      <alignment horizontal="left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7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24" fillId="19" borderId="2" xfId="1" applyNumberFormat="1" applyFont="1" applyFill="1" applyBorder="1" applyAlignment="1">
      <alignment horizontal="left" vertical="center"/>
    </xf>
    <xf numFmtId="0" fontId="24" fillId="19" borderId="2" xfId="1" applyNumberFormat="1" applyFont="1" applyFill="1" applyBorder="1" applyAlignment="1">
      <alignment vertical="center"/>
    </xf>
    <xf numFmtId="0" fontId="24" fillId="0" borderId="2" xfId="1" applyNumberFormat="1" applyFont="1" applyBorder="1" applyAlignment="1">
      <alignment horizontal="left" vertical="center"/>
    </xf>
    <xf numFmtId="0" fontId="24" fillId="0" borderId="2" xfId="1" applyNumberFormat="1" applyFont="1" applyBorder="1" applyAlignment="1">
      <alignment vertical="center"/>
    </xf>
    <xf numFmtId="0" fontId="24" fillId="19" borderId="2" xfId="0" applyFont="1" applyFill="1" applyBorder="1" applyAlignment="1">
      <alignment horizontal="left" vertical="center"/>
    </xf>
    <xf numFmtId="0" fontId="24" fillId="19" borderId="2" xfId="0" applyFont="1" applyFill="1" applyBorder="1" applyAlignment="1">
      <alignment vertical="center"/>
    </xf>
    <xf numFmtId="0" fontId="24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40" fillId="0" borderId="2" xfId="2" applyFont="1" applyFill="1" applyBorder="1" applyAlignment="1">
      <alignment vertical="center"/>
    </xf>
    <xf numFmtId="0" fontId="24" fillId="19" borderId="2" xfId="2" applyFont="1" applyFill="1" applyBorder="1" applyAlignment="1">
      <alignment vertical="center"/>
    </xf>
    <xf numFmtId="0" fontId="39" fillId="19" borderId="2" xfId="0" applyFont="1" applyFill="1" applyBorder="1" applyAlignment="1">
      <alignment vertical="center"/>
    </xf>
    <xf numFmtId="0" fontId="39" fillId="0" borderId="2" xfId="0" applyFont="1" applyBorder="1" applyAlignment="1">
      <alignment horizontal="left" vertical="center"/>
    </xf>
    <xf numFmtId="0" fontId="40" fillId="19" borderId="2" xfId="2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0" fontId="24" fillId="0" borderId="2" xfId="0" applyFont="1" applyBorder="1" applyAlignment="1">
      <alignment vertical="center" wrapText="1"/>
    </xf>
    <xf numFmtId="0" fontId="24" fillId="19" borderId="2" xfId="0" applyFont="1" applyFill="1" applyBorder="1" applyAlignment="1">
      <alignment vertical="center" wrapText="1"/>
    </xf>
    <xf numFmtId="0" fontId="37" fillId="0" borderId="5" xfId="0" applyFont="1" applyBorder="1" applyAlignment="1">
      <alignment horizontal="left" vertical="center" wrapText="1"/>
    </xf>
    <xf numFmtId="0" fontId="37" fillId="0" borderId="5" xfId="0" applyFont="1" applyBorder="1" applyAlignment="1">
      <alignment horizontal="center" vertical="center" wrapText="1"/>
    </xf>
    <xf numFmtId="0" fontId="24" fillId="19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1" fontId="24" fillId="0" borderId="2" xfId="0" applyNumberFormat="1" applyFont="1" applyBorder="1" applyAlignment="1">
      <alignment horizontal="left" vertical="center"/>
    </xf>
    <xf numFmtId="0" fontId="42" fillId="0" borderId="2" xfId="0" applyFont="1" applyBorder="1" applyAlignment="1">
      <alignment horizontal="left" vertical="center" wrapText="1"/>
    </xf>
    <xf numFmtId="1" fontId="24" fillId="19" borderId="2" xfId="0" applyNumberFormat="1" applyFont="1" applyFill="1" applyBorder="1" applyAlignment="1">
      <alignment horizontal="left" vertical="center"/>
    </xf>
    <xf numFmtId="0" fontId="42" fillId="19" borderId="2" xfId="0" applyFont="1" applyFill="1" applyBorder="1" applyAlignment="1">
      <alignment horizontal="left" vertical="center" wrapText="1"/>
    </xf>
    <xf numFmtId="0" fontId="43" fillId="19" borderId="2" xfId="0" applyFont="1" applyFill="1" applyBorder="1" applyAlignment="1">
      <alignment horizontal="left" vertical="center"/>
    </xf>
    <xf numFmtId="0" fontId="36" fillId="0" borderId="2" xfId="0" applyFont="1" applyBorder="1" applyAlignment="1">
      <alignment vertical="center"/>
    </xf>
    <xf numFmtId="0" fontId="36" fillId="0" borderId="2" xfId="0" applyFont="1" applyFill="1" applyBorder="1" applyAlignment="1">
      <alignment vertical="center"/>
    </xf>
    <xf numFmtId="0" fontId="39" fillId="0" borderId="2" xfId="0" applyFont="1" applyBorder="1" applyAlignment="1">
      <alignment vertical="center" wrapText="1"/>
    </xf>
    <xf numFmtId="0" fontId="39" fillId="19" borderId="2" xfId="0" applyFont="1" applyFill="1" applyBorder="1" applyAlignment="1">
      <alignment horizontal="left" vertical="center"/>
    </xf>
    <xf numFmtId="0" fontId="39" fillId="19" borderId="2" xfId="0" applyFont="1" applyFill="1" applyBorder="1" applyAlignment="1">
      <alignment vertical="center" wrapText="1"/>
    </xf>
    <xf numFmtId="0" fontId="41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9" fillId="20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2" xfId="0" applyFont="1" applyFill="1" applyBorder="1"/>
    <xf numFmtId="0" fontId="38" fillId="0" borderId="2" xfId="0" applyFont="1" applyBorder="1" applyAlignment="1">
      <alignment vertical="center"/>
    </xf>
    <xf numFmtId="0" fontId="36" fillId="0" borderId="2" xfId="0" applyFont="1" applyFill="1" applyBorder="1" applyAlignment="1">
      <alignment horizontal="right" vertical="center"/>
    </xf>
    <xf numFmtId="0" fontId="24" fillId="20" borderId="2" xfId="0" applyFont="1" applyFill="1" applyBorder="1" applyAlignment="1">
      <alignment horizontal="right" vertical="center"/>
    </xf>
    <xf numFmtId="0" fontId="36" fillId="0" borderId="2" xfId="0" applyFont="1" applyBorder="1" applyAlignment="1">
      <alignment horizontal="right"/>
    </xf>
    <xf numFmtId="0" fontId="12" fillId="0" borderId="2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6" fillId="0" borderId="0" xfId="0" applyFont="1"/>
    <xf numFmtId="0" fontId="46" fillId="19" borderId="0" xfId="0" applyFont="1" applyFill="1"/>
    <xf numFmtId="0" fontId="46" fillId="19" borderId="9" xfId="0" applyFont="1" applyFill="1" applyBorder="1"/>
    <xf numFmtId="0" fontId="46" fillId="0" borderId="2" xfId="0" applyFont="1" applyBorder="1"/>
    <xf numFmtId="0" fontId="46" fillId="19" borderId="2" xfId="0" applyFont="1" applyFill="1" applyBorder="1"/>
    <xf numFmtId="0" fontId="46" fillId="0" borderId="9" xfId="0" applyFont="1" applyBorder="1"/>
    <xf numFmtId="0" fontId="0" fillId="21" borderId="0" xfId="0" applyFill="1"/>
    <xf numFmtId="0" fontId="4" fillId="19" borderId="2" xfId="0" applyFont="1" applyFill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0" fillId="19" borderId="0" xfId="0" applyFont="1" applyFill="1"/>
    <xf numFmtId="0" fontId="24" fillId="19" borderId="0" xfId="0" applyFont="1" applyFill="1"/>
    <xf numFmtId="0" fontId="24" fillId="19" borderId="10" xfId="1" applyNumberFormat="1" applyFont="1" applyFill="1" applyBorder="1" applyAlignment="1">
      <alignment horizontal="left" vertical="center"/>
    </xf>
    <xf numFmtId="0" fontId="4" fillId="19" borderId="9" xfId="0" applyFont="1" applyFill="1" applyBorder="1"/>
    <xf numFmtId="0" fontId="4" fillId="19" borderId="0" xfId="0" applyFont="1" applyFill="1"/>
    <xf numFmtId="0" fontId="37" fillId="0" borderId="2" xfId="0" applyFont="1" applyFill="1" applyBorder="1" applyAlignment="1">
      <alignment horizontal="center" vertical="center" wrapText="1"/>
    </xf>
    <xf numFmtId="0" fontId="24" fillId="0" borderId="2" xfId="2" applyFont="1" applyFill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50" fillId="19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4" fillId="19" borderId="9" xfId="0" applyFont="1" applyFill="1" applyBorder="1"/>
    <xf numFmtId="0" fontId="24" fillId="0" borderId="2" xfId="1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left" vertical="center"/>
    </xf>
    <xf numFmtId="0" fontId="24" fillId="0" borderId="2" xfId="0" applyFont="1" applyFill="1" applyBorder="1" applyAlignment="1">
      <alignment vertical="center" wrapText="1"/>
    </xf>
    <xf numFmtId="0" fontId="39" fillId="0" borderId="2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2" xfId="1" applyNumberFormat="1" applyFont="1" applyBorder="1" applyAlignment="1">
      <alignment vertical="center"/>
    </xf>
    <xf numFmtId="0" fontId="24" fillId="19" borderId="2" xfId="0" applyFont="1" applyFill="1" applyBorder="1"/>
    <xf numFmtId="0" fontId="24" fillId="0" borderId="0" xfId="1" applyNumberFormat="1" applyFont="1" applyBorder="1" applyAlignment="1"/>
    <xf numFmtId="0" fontId="39" fillId="19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5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53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4" fillId="22" borderId="2" xfId="0" applyFont="1" applyFill="1" applyBorder="1" applyAlignment="1">
      <alignment horizontal="left" vertical="center"/>
    </xf>
    <xf numFmtId="0" fontId="4" fillId="8" borderId="0" xfId="0" applyFont="1" applyFill="1"/>
    <xf numFmtId="0" fontId="36" fillId="8" borderId="2" xfId="0" applyFont="1" applyFill="1" applyBorder="1" applyAlignment="1">
      <alignment vertical="center"/>
    </xf>
    <xf numFmtId="0" fontId="24" fillId="8" borderId="0" xfId="0" applyFont="1" applyFill="1"/>
    <xf numFmtId="0" fontId="5" fillId="8" borderId="2" xfId="0" applyFont="1" applyFill="1" applyBorder="1"/>
    <xf numFmtId="0" fontId="4" fillId="8" borderId="0" xfId="0" applyFont="1" applyFill="1" applyAlignment="1">
      <alignment horizontal="left" vertical="center" wrapText="1"/>
    </xf>
    <xf numFmtId="0" fontId="0" fillId="0" borderId="0" xfId="1" applyFont="1"/>
    <xf numFmtId="0" fontId="24" fillId="8" borderId="2" xfId="1" applyNumberFormat="1" applyFont="1" applyFill="1" applyBorder="1" applyAlignment="1">
      <alignment horizontal="left" vertical="center"/>
    </xf>
    <xf numFmtId="0" fontId="24" fillId="22" borderId="0" xfId="1" applyNumberFormat="1" applyFont="1" applyFill="1" applyBorder="1" applyAlignment="1"/>
    <xf numFmtId="0" fontId="5" fillId="8" borderId="2" xfId="0" applyFont="1" applyFill="1" applyBorder="1" applyAlignment="1">
      <alignment vertical="center"/>
    </xf>
    <xf numFmtId="0" fontId="4" fillId="22" borderId="0" xfId="0" applyFont="1" applyFill="1"/>
    <xf numFmtId="0" fontId="24" fillId="22" borderId="0" xfId="0" applyFont="1" applyFill="1"/>
    <xf numFmtId="0" fontId="24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vertical="center" wrapText="1"/>
    </xf>
    <xf numFmtId="0" fontId="36" fillId="0" borderId="0" xfId="0" applyFont="1" applyBorder="1" applyAlignment="1">
      <alignment vertical="center"/>
    </xf>
    <xf numFmtId="0" fontId="46" fillId="0" borderId="0" xfId="0" applyFont="1" applyBorder="1"/>
    <xf numFmtId="0" fontId="9" fillId="20" borderId="0" xfId="0" applyFont="1" applyFill="1" applyBorder="1" applyAlignment="1">
      <alignment horizontal="center" vertical="center" wrapText="1"/>
    </xf>
    <xf numFmtId="0" fontId="5" fillId="20" borderId="0" xfId="0" applyFont="1" applyFill="1" applyBorder="1" applyAlignment="1">
      <alignment horizontal="center" vertical="center"/>
    </xf>
    <xf numFmtId="0" fontId="5" fillId="20" borderId="0" xfId="0" applyFont="1" applyFill="1" applyBorder="1"/>
    <xf numFmtId="14" fontId="0" fillId="8" borderId="0" xfId="0" applyNumberFormat="1" applyFill="1"/>
    <xf numFmtId="0" fontId="16" fillId="0" borderId="0" xfId="0" applyFont="1" applyBorder="1" applyAlignment="1">
      <alignment horizontal="center" wrapText="1"/>
    </xf>
    <xf numFmtId="0" fontId="41" fillId="0" borderId="0" xfId="0" applyFont="1" applyBorder="1" applyAlignment="1">
      <alignment horizontal="center" vertical="center" wrapText="1"/>
    </xf>
    <xf numFmtId="0" fontId="54" fillId="9" borderId="0" xfId="0" applyFont="1" applyFill="1"/>
    <xf numFmtId="0" fontId="55" fillId="0" borderId="0" xfId="0" applyFont="1" applyFill="1"/>
    <xf numFmtId="0" fontId="24" fillId="9" borderId="2" xfId="0" applyFont="1" applyFill="1" applyBorder="1" applyAlignment="1">
      <alignment horizontal="left" vertical="center"/>
    </xf>
    <xf numFmtId="0" fontId="24" fillId="23" borderId="0" xfId="0" applyFont="1" applyFill="1"/>
    <xf numFmtId="0" fontId="24" fillId="23" borderId="2" xfId="0" applyFont="1" applyFill="1" applyBorder="1" applyAlignment="1">
      <alignment horizontal="left" vertical="center"/>
    </xf>
    <xf numFmtId="0" fontId="24" fillId="9" borderId="0" xfId="0" applyFont="1" applyFill="1" applyAlignment="1">
      <alignment vertical="center" wrapText="1"/>
    </xf>
    <xf numFmtId="0" fontId="36" fillId="9" borderId="2" xfId="0" applyFont="1" applyFill="1" applyBorder="1" applyAlignment="1">
      <alignment vertical="center"/>
    </xf>
    <xf numFmtId="0" fontId="24" fillId="9" borderId="0" xfId="1" applyNumberFormat="1" applyFont="1" applyFill="1" applyBorder="1" applyAlignment="1"/>
    <xf numFmtId="0" fontId="5" fillId="9" borderId="2" xfId="0" applyFont="1" applyFill="1" applyBorder="1" applyAlignment="1">
      <alignment vertical="center"/>
    </xf>
    <xf numFmtId="0" fontId="24" fillId="0" borderId="0" xfId="0" applyFont="1" applyAlignment="1">
      <alignment wrapText="1"/>
    </xf>
    <xf numFmtId="0" fontId="5" fillId="19" borderId="0" xfId="0" applyFont="1" applyFill="1"/>
    <xf numFmtId="0" fontId="4" fillId="8" borderId="0" xfId="1" applyNumberFormat="1" applyFont="1" applyFill="1" applyBorder="1" applyAlignment="1"/>
    <xf numFmtId="0" fontId="4" fillId="0" borderId="0" xfId="0" applyFont="1" applyFill="1"/>
    <xf numFmtId="0" fontId="46" fillId="0" borderId="2" xfId="0" applyFont="1" applyFill="1" applyBorder="1"/>
    <xf numFmtId="0" fontId="24" fillId="0" borderId="0" xfId="1" applyNumberFormat="1" applyFont="1" applyFill="1" applyBorder="1" applyAlignment="1"/>
    <xf numFmtId="0" fontId="24" fillId="0" borderId="0" xfId="0" applyFont="1" applyFill="1"/>
    <xf numFmtId="0" fontId="4" fillId="0" borderId="0" xfId="1" applyNumberFormat="1" applyFont="1" applyFill="1" applyBorder="1" applyAlignment="1"/>
    <xf numFmtId="0" fontId="4" fillId="0" borderId="10" xfId="1" applyNumberFormat="1" applyFont="1" applyFill="1" applyBorder="1" applyAlignment="1">
      <alignment horizontal="left" vertical="center"/>
    </xf>
    <xf numFmtId="0" fontId="46" fillId="0" borderId="0" xfId="0" applyFont="1" applyFill="1" applyBorder="1"/>
    <xf numFmtId="0" fontId="24" fillId="0" borderId="0" xfId="0" applyFont="1" applyFill="1" applyAlignment="1">
      <alignment vertical="center" wrapText="1"/>
    </xf>
    <xf numFmtId="0" fontId="4" fillId="0" borderId="0" xfId="0" applyFont="1" applyFill="1" applyAlignment="1">
      <alignment wrapText="1"/>
    </xf>
    <xf numFmtId="0" fontId="5" fillId="19" borderId="9" xfId="0" applyFont="1" applyFill="1" applyBorder="1"/>
    <xf numFmtId="0" fontId="24" fillId="19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19" borderId="0" xfId="0" applyFont="1" applyFill="1" applyAlignment="1">
      <alignment wrapText="1"/>
    </xf>
    <xf numFmtId="0" fontId="51" fillId="0" borderId="0" xfId="0" applyFont="1"/>
    <xf numFmtId="0" fontId="5" fillId="0" borderId="9" xfId="0" applyFont="1" applyBorder="1"/>
    <xf numFmtId="0" fontId="24" fillId="0" borderId="9" xfId="0" applyFont="1" applyBorder="1"/>
    <xf numFmtId="0" fontId="4" fillId="0" borderId="9" xfId="0" applyFont="1" applyBorder="1"/>
    <xf numFmtId="0" fontId="6" fillId="3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2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</cellXfs>
  <cellStyles count="3">
    <cellStyle name="Neutral 2" xfId="2"/>
    <cellStyle name="Normal" xfId="0" builtinId="0"/>
    <cellStyle name="Normal 2" xfId="1"/>
  </cellStyles>
  <dxfs count="80"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</dxfs>
  <tableStyles count="2" defaultTableStyle="TableStyleMedium2" defaultPivotStyle="PivotStyleLight16">
    <tableStyle name="Estilo de tabla 1" pivot="0" count="0"/>
    <tableStyle name="Estilo de tabla 2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LG26V" displayName="LG26V" ref="B4:X70" totalsRowShown="0">
  <autoFilter ref="B4:X70"/>
  <tableColumns count="23">
    <tableColumn id="1" name="CODIGO "/>
    <tableColumn id="2" name="DESCRIPCION " dataDxfId="79"/>
    <tableColumn id="3" name="STOCK JUEGOS" dataDxfId="78">
      <calculatedColumnFormula>(LG26V[[#This Row],[CANTIDAD INICIAL JUEGO ]]+LG26V[[#This Row],[ENTRADAS JUEGOS ]]-LG26V[[#This Row],[SALIDAS JUEGOS]])</calculatedColumnFormula>
    </tableColumn>
    <tableColumn id="4" name="STOCK BARRAS" dataDxfId="77">
      <calculatedColumnFormula>(LG26V[[#This Row],[CANTIDAD INICIAL BARRAS]]+LG26V[[#This Row],[ENTRADAS BARRAS]]-LG26V[[#This Row],[SALIDA BARRAS]])</calculatedColumnFormula>
    </tableColumn>
    <tableColumn id="5" name="&quot;J&quot; PRECIO VENTA " dataDxfId="76"/>
    <tableColumn id="6" name="&quot;J&quot;PRECIO COMPRA " dataDxfId="75"/>
    <tableColumn id="7" name="BARRAS" dataDxfId="74"/>
    <tableColumn id="8" name="&quot;B&quot;PRECIO VENTA " dataDxfId="73">
      <calculatedColumnFormula>(LG26V[[#This Row],["J" PRECIO VENTA ]]/LG26V[[#This Row],[BARRAS]])</calculatedColumnFormula>
    </tableColumn>
    <tableColumn id="9" name="&quot;B&quot;PRECIO COMPRA" dataDxfId="72">
      <calculatedColumnFormula>(LG26V[[#This Row],["J"PRECIO COMPRA ]]/LG26V[[#This Row],[BARRAS]])</calculatedColumnFormula>
    </tableColumn>
    <tableColumn id="10" name="ENTRADAS JUEGOS " dataDxfId="71">
      <calculatedColumnFormula>SUMIF(entradas26[CODIGO],LG26V[[#This Row],[CODIGO ]],entradas26[[CAN JUEGOS ]])</calculatedColumnFormula>
    </tableColumn>
    <tableColumn id="11" name="ENTRADAS BARRAS" dataDxfId="70">
      <calculatedColumnFormula>SUMIF(entradas26[CODIGO],LG26V[[#This Row],[CODIGO ]],entradas26[CAN BARRAS])</calculatedColumnFormula>
    </tableColumn>
    <tableColumn id="12" name="SALIDAS JUEGOS" dataDxfId="69">
      <calculatedColumnFormula>SUMIF(salidas26[[CODIGO ]],LG26V[[#This Row],[CODIGO ]],salidas26[[CANT JUEGOS ]])</calculatedColumnFormula>
    </tableColumn>
    <tableColumn id="13" name="SALIDA BARRAS" dataDxfId="68">
      <calculatedColumnFormula>SUMIF(salidas26[[CODIGO ]],LG26V[[#This Row],[CODIGO ]],salidas26[CANT BARRAS])</calculatedColumnFormula>
    </tableColumn>
    <tableColumn id="14" name="CAPITAL JUEGOS " dataDxfId="67">
      <calculatedColumnFormula>(LG26V[[#This Row],["J"PRECIO COMPRA ]]*LG26V[[#This Row],[STOCK JUEGOS]])</calculatedColumnFormula>
    </tableColumn>
    <tableColumn id="15" name="CAPITAL/GANANCIA/JUEGOS " dataDxfId="66">
      <calculatedColumnFormula>(LG26V[[#This Row],["J" PRECIO VENTA ]]*LG26V[[#This Row],[STOCK JUEGOS]])</calculatedColumnFormula>
    </tableColumn>
    <tableColumn id="16" name="CAPITAL BARRA" dataDxfId="65">
      <calculatedColumnFormula>(LG26V[[#This Row],["B"PRECIO COMPRA]]*LG26V[[#This Row],[STOCK BARRAS]])</calculatedColumnFormula>
    </tableColumn>
    <tableColumn id="17" name="CAP GAN BARRAS" dataDxfId="64">
      <calculatedColumnFormula>(LG26V[[#This Row],["B"PRECIO VENTA ]]*LG26V[[#This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  <tableColumn id="23" name="CODIGO 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samgung26" displayName="samgung26" ref="B4:X74" totalsRowShown="0">
  <autoFilter ref="B4:X74"/>
  <sortState ref="B5:X67">
    <sortCondition ref="B5"/>
  </sortState>
  <tableColumns count="23">
    <tableColumn id="1" name="CODIGO "/>
    <tableColumn id="2" name="DESCRIPCION " dataDxfId="63"/>
    <tableColumn id="3" name="STOCK JUEGOS">
      <calculatedColumnFormula>(samgung26[[#This Row],[CANTIDAD INICIAL JUEGO ]]+samgung26[[#This Row],[ENTRADAS JUEGOS ]]-samgung26[[#This Row],[SALIDAS JUEGOS]])</calculatedColumnFormula>
    </tableColumn>
    <tableColumn id="4" name="STOCK BARRAS">
      <calculatedColumnFormula>(samgung26[[#This Row],[CANTIDAD INICIAL BARRAS]]+samgung26[[#This Row],[ENTRADAS BARRAS]]-samgung26[[#This Row],[SALIDA BARRAS]])</calculatedColumnFormula>
    </tableColumn>
    <tableColumn id="5" name="&quot;J&quot; PRECIO VENTA " dataDxfId="62"/>
    <tableColumn id="6" name="&quot;J&quot;PRECIO COMPRA " dataDxfId="61"/>
    <tableColumn id="7" name="BARRAS" dataDxfId="60"/>
    <tableColumn id="8" name="&quot;B&quot;PRECIO VENTA ">
      <calculatedColumnFormula>(samgung26[[#This Row],["J" PRECIO VENTA ]]/samgung26[[#This Row],[BARRAS]])</calculatedColumnFormula>
    </tableColumn>
    <tableColumn id="9" name="&quot;B&quot;PRECIO COMPRA">
      <calculatedColumnFormula>(samgung26[[#This Row],["J"PRECIO COMPRA ]]/samgung26[[#This Row],[BARRAS]])</calculatedColumnFormula>
    </tableColumn>
    <tableColumn id="10" name="ENTRADAS JUEGOS ">
      <calculatedColumnFormula>SUMIF(entradas26[CODIGO],samgung26[[#This Row],[CODIGO ]],entradas26[[CAN JUEGOS ]])</calculatedColumnFormula>
    </tableColumn>
    <tableColumn id="11" name="ENTRADAS BARRAS">
      <calculatedColumnFormula>SUMIF(entradas26[CODIGO],samgung26[[#This Row],[CODIGO ]],entradas26[CAN BARRAS])</calculatedColumnFormula>
    </tableColumn>
    <tableColumn id="12" name="SALIDAS JUEGOS">
      <calculatedColumnFormula>SUMIF(salidas26[[CODIGO ]],samgung26[[#This Row],[CODIGO ]],salidas26[[CANT JUEGOS ]])</calculatedColumnFormula>
    </tableColumn>
    <tableColumn id="13" name="SALIDA BARRAS">
      <calculatedColumnFormula>SUMIF(salidas26[[CODIGO ]],samgung26[[#This Row],[CODIGO ]],salidas26[CANT BARRAS])</calculatedColumnFormula>
    </tableColumn>
    <tableColumn id="14" name="CAPITAL JUEGOS ">
      <calculatedColumnFormula>(samgung26[[#This Row],["J"PRECIO COMPRA ]]*samgung26[[#This Row],[STOCK JUEGOS]])</calculatedColumnFormula>
    </tableColumn>
    <tableColumn id="15" name="CAPITAL/GANANCIA/JUEGOS ">
      <calculatedColumnFormula>(samgung26[[#This Row],["J" PRECIO VENTA ]]*samgung26[[#This Row],[STOCK JUEGOS]])</calculatedColumnFormula>
    </tableColumn>
    <tableColumn id="16" name="CAPITAL BARRA">
      <calculatedColumnFormula>(samgung26[[#This Row],["B"PRECIO COMPRA]]*samgung26[[#This Row],[STOCK BARRAS]])</calculatedColumnFormula>
    </tableColumn>
    <tableColumn id="17" name="CAP GAN BARRAS">
      <calculatedColumnFormula>(samgung26[[#This Row],["B"PRECIO VENTA ]]*samgung26[[#This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  <tableColumn id="23" name="CODIGO 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haier26" displayName="haier26" ref="B4:V20" totalsRowShown="0">
  <autoFilter ref="B4:V20"/>
  <tableColumns count="21">
    <tableColumn id="1" name="CODIGO "/>
    <tableColumn id="2" name="DESCRIPCION " dataDxfId="59" dataCellStyle="Neutral 2"/>
    <tableColumn id="3" name="STOCK JUEGOS" dataDxfId="58">
      <calculatedColumnFormula>(haier26[[#This Row],[CANTIDAD INICIAL JUEGO ]]+haier26[[#This Row],[ENTRADAS JUEGOS ]]-haier26[[#This Row],[SALIDAS JUEGOS]])</calculatedColumnFormula>
    </tableColumn>
    <tableColumn id="4" name="STOCK BARRAS">
      <calculatedColumnFormula>(haier26[[#This Row],[CANTIDAD INICIAL BARRAS]]+haier26[[#This Row],[ENTRADAS BARRAS]]-haier26[[#This Row],[SALIDA BARRAS]])</calculatedColumnFormula>
    </tableColumn>
    <tableColumn id="5" name="&quot;J&quot; PRECIO VENTA " dataDxfId="57"/>
    <tableColumn id="6" name="&quot;J&quot;PRECIO COMPRA " dataDxfId="56"/>
    <tableColumn id="7" name="BARRAS" dataDxfId="55"/>
    <tableColumn id="8" name="&quot;B&quot;PRECIO VENTA ">
      <calculatedColumnFormula>(haier26[[#This Row],["J" PRECIO VENTA ]]/haier26[[#This Row],[BARRAS]])</calculatedColumnFormula>
    </tableColumn>
    <tableColumn id="9" name="&quot;B&quot;PRECIO COMPRA">
      <calculatedColumnFormula>(haier26[[#This Row],["J"PRECIO COMPRA ]]/haier26[[#This Row],[BARRAS]])</calculatedColumnFormula>
    </tableColumn>
    <tableColumn id="10" name="ENTRADAS JUEGOS ">
      <calculatedColumnFormula>SUMIF(entradas26[CODIGO],haier26[[#This Row],[CODIGO ]],entradas26[[CAN JUEGOS ]])</calculatedColumnFormula>
    </tableColumn>
    <tableColumn id="11" name="ENTRADAS BARRAS">
      <calculatedColumnFormula>SUMIF(entradas26[CODIGO],haier26[[#This Row],[CODIGO ]],entradas26[CAN BARRAS])</calculatedColumnFormula>
    </tableColumn>
    <tableColumn id="12" name="SALIDAS JUEGOS">
      <calculatedColumnFormula>SUMIF(salidas26[[CODIGO ]],haier26[[#This Row],[CODIGO ]],salidas26[[CANT JUEGOS ]])</calculatedColumnFormula>
    </tableColumn>
    <tableColumn id="13" name="SALIDA BARRAS">
      <calculatedColumnFormula>SUMIF(salidas26[[CODIGO ]],haier26[[#This Row],[CODIGO ]],salidas26[CANT BARRAS])</calculatedColumnFormula>
    </tableColumn>
    <tableColumn id="14" name="CAPITAL JUEGOS ">
      <calculatedColumnFormula>(haier26[[#This Row],["J"PRECIO COMPRA ]]*haier26[[#This Row],[STOCK JUEGOS]])</calculatedColumnFormula>
    </tableColumn>
    <tableColumn id="15" name="CAPITAL/GANANCIA/JUEGOS ">
      <calculatedColumnFormula>(haier26[[#This Row],["J" PRECIO VENTA ]]*haier26[[#This Row],[STOCK JUEGOS]])</calculatedColumnFormula>
    </tableColumn>
    <tableColumn id="16" name="CAPITAL BARRA">
      <calculatedColumnFormula>(haier26[[#This Row],["B"PRECIO COMPRA]]*haier26[[#This Row],[STOCK BARRAS]])</calculatedColumnFormula>
    </tableColumn>
    <tableColumn id="17" name="CAP GAN BARRAS">
      <calculatedColumnFormula>(haier26[[#This Row],["B"PRECIO VENTA ]]*haier26[[#This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daewoo26" displayName="daewoo26" ref="B4:W14" totalsRowShown="0">
  <autoFilter ref="B4:W14"/>
  <tableColumns count="22">
    <tableColumn id="1" name="CODIGO "/>
    <tableColumn id="2" name="DESCRIPCION " dataDxfId="54"/>
    <tableColumn id="3" name="STOCK JUEGOS">
      <calculatedColumnFormula>(daewoo26[[#This Row],[CANTIDAD INICIAL JUEGO ]]+daewoo26[[#This Row],[ENTRADAS JUEGOS ]]-daewoo26[[#This Row],[SALIDAS JUEGOS]])</calculatedColumnFormula>
    </tableColumn>
    <tableColumn id="4" name="STOCK BARRAS">
      <calculatedColumnFormula>(daewoo26[[#This Row],[CANTIDAD INICIAL BARRAS]]+daewoo26[[#This Row],[ENTRADAS BARRAS]]-daewoo26[[#This Row],[SALIDA BARRAS]])</calculatedColumnFormula>
    </tableColumn>
    <tableColumn id="5" name="&quot;J&quot; PRECIO VENTA " dataDxfId="53"/>
    <tableColumn id="6" name="&quot;J&quot;PRECIO COMPRA " dataDxfId="52"/>
    <tableColumn id="7" name="BARRAS" dataDxfId="51"/>
    <tableColumn id="8" name="&quot;B&quot;PRECIO VENTA ">
      <calculatedColumnFormula>(daewoo26[[#This Row],["J" PRECIO VENTA ]]/daewoo26[[#This Row],[BARRAS]])</calculatedColumnFormula>
    </tableColumn>
    <tableColumn id="9" name="&quot;B&quot;PRECIO COMPRA">
      <calculatedColumnFormula>(daewoo26[[#This Row],["J"PRECIO COMPRA ]]/daewoo26[[#This Row],[BARRAS]])</calculatedColumnFormula>
    </tableColumn>
    <tableColumn id="10" name="ENTRADAS JUEGOS ">
      <calculatedColumnFormula>SUMIF(entradas26[CODIGO],daewoo26[[#This Row],[CODIGO ]],entradas26[[CAN JUEGOS ]])</calculatedColumnFormula>
    </tableColumn>
    <tableColumn id="11" name="ENTRADAS BARRAS">
      <calculatedColumnFormula>SUMIF(entradas26[CODIGO],daewoo26[[#This Row],[CODIGO ]],entradas26[CAN BARRAS])</calculatedColumnFormula>
    </tableColumn>
    <tableColumn id="12" name="SALIDAS JUEGOS">
      <calculatedColumnFormula>SUMIF(salidas26[[CODIGO ]],daewoo26[[#This Row],[CODIGO ]],salidas26[[CANT JUEGOS ]])</calculatedColumnFormula>
    </tableColumn>
    <tableColumn id="13" name="SALIDA BARRAS">
      <calculatedColumnFormula>SUMIF(salidas26[[CODIGO ]],daewoo26[[#This Row],[CODIGO ]],salidas26[CANT BARRAS])</calculatedColumnFormula>
    </tableColumn>
    <tableColumn id="14" name="CAPITAL JUEGOS ">
      <calculatedColumnFormula>(daewoo26[[#This Row],["J"PRECIO COMPRA ]]*daewoo26[[#This Row],[STOCK JUEGOS]])</calculatedColumnFormula>
    </tableColumn>
    <tableColumn id="15" name="CAPITAL/GANANCIA/JUEGOS ">
      <calculatedColumnFormula>(daewoo26[[#This Row],["J" PRECIO VENTA ]]*daewoo26[[#This Row],[STOCK JUEGOS]])</calculatedColumnFormula>
    </tableColumn>
    <tableColumn id="16" name="CAPITAL BARRA">
      <calculatedColumnFormula>(daewoo26[[#This Row],["B"PRECIO COMPRA]]*daewoo26[[#This Row],[STOCK BARRAS]])</calculatedColumnFormula>
    </tableColumn>
    <tableColumn id="17" name="CAP GAN BARRAS">
      <calculatedColumnFormula>(daewoo26[[#This Row],["B"PRECIO VENTA ]]*daewoo26[[#This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sony26" displayName="sony26" ref="B4:V34" totalsRowShown="0">
  <autoFilter ref="B4:V34"/>
  <tableColumns count="21">
    <tableColumn id="1" name="CODIGO "/>
    <tableColumn id="2" name="DESCRIPCION " dataDxfId="50"/>
    <tableColumn id="3" name="STOCK JUEGOS">
      <calculatedColumnFormula>(sony26[[#This Row],[CANTIDAD INICIAL JUEGO ]]+sony26[[#This Row],[ENTRADAS JUEGOS ]]-sony26[[#This Row],[SALIDAS JUEGOS]])</calculatedColumnFormula>
    </tableColumn>
    <tableColumn id="4" name="STOCK BARRAS">
      <calculatedColumnFormula>(sony26[[#This Row],[CANTIDAD INICIAL BARRAS]]+sony26[[#This Row],[ENTRADAS BARRAS]]-sony26[[#This Row],[SALIDA BARRAS]])</calculatedColumnFormula>
    </tableColumn>
    <tableColumn id="5" name="&quot;J&quot; PRECIO VENTA " dataDxfId="49"/>
    <tableColumn id="6" name="&quot;J&quot;PRECIO COMPRA " dataDxfId="48"/>
    <tableColumn id="7" name="BARRAS" dataDxfId="47"/>
    <tableColumn id="8" name="&quot;B&quot;PRECIO VENTA ">
      <calculatedColumnFormula>(sony26[[#This Row],["J" PRECIO VENTA ]]/sony26[[#This Row],[BARRAS]])</calculatedColumnFormula>
    </tableColumn>
    <tableColumn id="9" name="&quot;B&quot;PRECIO COMPRA">
      <calculatedColumnFormula>(sony26[[#This Row],["J"PRECIO COMPRA ]]/sony26[[#This Row],[BARRAS]])</calculatedColumnFormula>
    </tableColumn>
    <tableColumn id="10" name="ENTRADAS JUEGOS ">
      <calculatedColumnFormula>SUMIF(entradas26[CODIGO],sony26[[#This Row],[CODIGO ]],entradas26[[CAN JUEGOS ]])</calculatedColumnFormula>
    </tableColumn>
    <tableColumn id="11" name="ENTRADAS BARRAS">
      <calculatedColumnFormula>SUMIF(entradas26[CODIGO],sony26[[#This Row],[CODIGO ]],entradas26[CAN BARRAS])</calculatedColumnFormula>
    </tableColumn>
    <tableColumn id="12" name="SALIDAS JUEGOS">
      <calculatedColumnFormula>SUMIF(salidas26[[CODIGO ]],sony26[[#This Row],[CODIGO ]],salidas26[[CANT JUEGOS ]])</calculatedColumnFormula>
    </tableColumn>
    <tableColumn id="13" name="SALIDA BARRAS">
      <calculatedColumnFormula>SUMIF(salidas26[[CODIGO ]],sony26[[#This Row],[CODIGO ]],salidas26[CANT BARRAS])</calculatedColumnFormula>
    </tableColumn>
    <tableColumn id="14" name="CAPITAL JUEGOS ">
      <calculatedColumnFormula>(sony26[[#This Row],["J"PRECIO COMPRA ]]*sony26[[#This Row],[STOCK JUEGOS]])</calculatedColumnFormula>
    </tableColumn>
    <tableColumn id="15" name="CAPITAL/GANANCIA/JUEGOS ">
      <calculatedColumnFormula>(sony26[[#This Row],["J" PRECIO VENTA ]]*sony26[[#This Row],[STOCK JUEGOS]])</calculatedColumnFormula>
    </tableColumn>
    <tableColumn id="16" name="CAPITAL BARRA">
      <calculatedColumnFormula>(sony26[[#This Row],["B"PRECIO COMPRA]]*sony26[[#This Row],[STOCK BARRAS]])</calculatedColumnFormula>
    </tableColumn>
    <tableColumn id="17" name="CAP GAN BARRAS">
      <calculatedColumnFormula>(sony26[[#This Row],["B"PRECIO VENTA ]]*sony26[[#This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philips26" displayName="philips26" ref="B4:V13" totalsRowShown="0">
  <autoFilter ref="B4:V13"/>
  <tableColumns count="21">
    <tableColumn id="1" name="CODIGO "/>
    <tableColumn id="2" name="DESCRIPCION " dataDxfId="46"/>
    <tableColumn id="3" name="STOCK JUEGOS">
      <calculatedColumnFormula>(philips26[[#This Row],[CANTIDAD INICIAL JUEGO ]]+philips26[[#This Row],[ENTRADAS JUEGOS ]]-philips26[[#This Row],[SALIDAS JUEGOS]])</calculatedColumnFormula>
    </tableColumn>
    <tableColumn id="4" name="STOCK BARRAS">
      <calculatedColumnFormula>(philips26[[#This Row],[CANTIDAD INICIAL BARRAS]]+philips26[[#This Row],[ENTRADAS BARRAS]]-philips26[[#This Row],[SALIDA BARRAS]])</calculatedColumnFormula>
    </tableColumn>
    <tableColumn id="5" name="&quot;J&quot; PRECIO VENTA " dataDxfId="45"/>
    <tableColumn id="6" name="&quot;J&quot;PRECIO COMPRA " dataDxfId="44"/>
    <tableColumn id="7" name="BARRAS" dataDxfId="43"/>
    <tableColumn id="8" name="&quot;B&quot;PRECIO VENTA ">
      <calculatedColumnFormula>(philips26[[#This Row],["J" PRECIO VENTA ]]/philips26[[#This Row],[BARRAS]])</calculatedColumnFormula>
    </tableColumn>
    <tableColumn id="9" name="&quot;B&quot;PRECIO COMPRA">
      <calculatedColumnFormula>(philips26[[#This Row],["J"PRECIO COMPRA ]]/philips26[[#This Row],[BARRAS]])</calculatedColumnFormula>
    </tableColumn>
    <tableColumn id="10" name="ENTRADAS JUEGOS ">
      <calculatedColumnFormula>SUMIF(entradas26[CODIGO],philips26[[#This Row],[CODIGO ]],entradas26[[CAN JUEGOS ]])</calculatedColumnFormula>
    </tableColumn>
    <tableColumn id="11" name="ENTRADAS BARRAS">
      <calculatedColumnFormula>SUMIF(entradas26[CODIGO],philips26[[#This Row],[CODIGO ]],entradas26[CAN BARRAS])</calculatedColumnFormula>
    </tableColumn>
    <tableColumn id="12" name="SALIDAS JUEGOS">
      <calculatedColumnFormula>SUMIF(salidas26[[CODIGO ]],philips26[[#This Row],[CODIGO ]],salidas26[[CANT JUEGOS ]])</calculatedColumnFormula>
    </tableColumn>
    <tableColumn id="13" name="SALIDA BARRAS">
      <calculatedColumnFormula>SUMIF(salidas26[[CODIGO ]],philips26[[#This Row],[CODIGO ]],salidas26[CANT BARRAS])</calculatedColumnFormula>
    </tableColumn>
    <tableColumn id="14" name="CAPITAL JUEGOS ">
      <calculatedColumnFormula>(philips26[[#This Row],["J"PRECIO COMPRA ]]*philips26[[#This Row],[STOCK JUEGOS]])</calculatedColumnFormula>
    </tableColumn>
    <tableColumn id="15" name="CAPITAL/GANANCIA/JUEGOS ">
      <calculatedColumnFormula>(philips26[[#This Row],["J" PRECIO VENTA ]]*philips26[[#This Row],[STOCK JUEGOS]])</calculatedColumnFormula>
    </tableColumn>
    <tableColumn id="16" name="CAPITAL BARRA">
      <calculatedColumnFormula>(philips26[[#This Row],["B"PRECIO COMPRA]]*philips26[[#This Row],[STOCK BARRAS]])</calculatedColumnFormula>
    </tableColumn>
    <tableColumn id="17" name="CAP GAN BARRAS">
      <calculatedColumnFormula>(philips26[[#This Row],["B"PRECIO VENTA ]]*philips26[[#This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oshiba26" displayName="toshiba26" ref="A4:V13" totalsRowShown="0">
  <autoFilter ref="A4:V13"/>
  <tableColumns count="22">
    <tableColumn id="1" name="CODIGO "/>
    <tableColumn id="2" name="DESCRIPCION " dataDxfId="42"/>
    <tableColumn id="3" name="STOCK JUEGOS" dataDxfId="41">
      <calculatedColumnFormula>(toshiba26[[#This Row],[CANTIDAD INICIAL JUEGO ]]+toshiba26[[#This Row],[ENTRADAS JUEGOS ]]-toshiba26[[#This Row],[SALIDAS JUEGOS]])</calculatedColumnFormula>
    </tableColumn>
    <tableColumn id="4" name="STOCK BARRAS">
      <calculatedColumnFormula>(toshiba26[[#This Row],[CANTIDAD INICIAL BARRAS]]+toshiba26[[#This Row],[ENTRADAS BARRAS]]-toshiba26[[#This Row],[SALIDA BARRAS]])</calculatedColumnFormula>
    </tableColumn>
    <tableColumn id="5" name="&quot;J&quot; PRECIO VENTA " dataDxfId="40"/>
    <tableColumn id="6" name="&quot;J&quot;PRECIO COMPRA " dataDxfId="39"/>
    <tableColumn id="7" name="BARRAS" dataDxfId="38"/>
    <tableColumn id="8" name="&quot;B&quot;PRECIO VENTA ">
      <calculatedColumnFormula>(toshiba26[[#This Row],["J" PRECIO VENTA ]]/toshiba26[[#This Row],[BARRAS]])</calculatedColumnFormula>
    </tableColumn>
    <tableColumn id="9" name="&quot;B&quot;PRECIO COMPRA">
      <calculatedColumnFormula>(toshiba26[[#This Row],["J"PRECIO COMPRA ]]/toshiba26[[#This Row],[BARRAS]])</calculatedColumnFormula>
    </tableColumn>
    <tableColumn id="10" name="ENTRADAS JUEGOS ">
      <calculatedColumnFormula>SUMIF(entradas26[CODIGO],toshiba26[[#This Row],[CODIGO ]],entradas26[[CAN JUEGOS ]])</calculatedColumnFormula>
    </tableColumn>
    <tableColumn id="11" name="ENTRADAS BARRAS">
      <calculatedColumnFormula>SUMIF(entradas26[CODIGO],toshiba26[[#This Row],[CODIGO ]],entradas26[CAN BARRAS])</calculatedColumnFormula>
    </tableColumn>
    <tableColumn id="12" name="SALIDAS JUEGOS">
      <calculatedColumnFormula>SUMIF(salidas26[[CODIGO ]],toshiba26[[#This Row],[CODIGO ]],salidas26[[CANT JUEGOS ]])</calculatedColumnFormula>
    </tableColumn>
    <tableColumn id="13" name="SALIDA BARRAS">
      <calculatedColumnFormula>SUMIF(salidas26[[CODIGO ]],toshiba26[[#This Row],[CODIGO ]],salidas26[CANT BARRAS])</calculatedColumnFormula>
    </tableColumn>
    <tableColumn id="14" name="CAPITAL JUEGOS ">
      <calculatedColumnFormula>(toshiba26[[#This Row],["J"PRECIO COMPRA ]]*toshiba26[[#This Row],[STOCK JUEGOS]])</calculatedColumnFormula>
    </tableColumn>
    <tableColumn id="15" name="CAPITAL/GANANCIA/JUEGOS ">
      <calculatedColumnFormula>(toshiba26[[#This Row],["J" PRECIO VENTA ]]*toshiba26[[#This Row],[STOCK JUEGOS]])</calculatedColumnFormula>
    </tableColumn>
    <tableColumn id="16" name="CAPITAL BARRA">
      <calculatedColumnFormula>(toshiba26[[#This Row],["B"PRECIO COMPRA]]*toshiba26[[#This Row],[STOCK BARRAS]])</calculatedColumnFormula>
    </tableColumn>
    <tableColumn id="17" name="CAP GAN BARRAS">
      <calculatedColumnFormula>(toshiba26[[#This Row],["B"PRECIO VENTA ]]*toshiba26[[#This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15" name="HISENSE26" displayName="HISENSE26" ref="A4:T10" totalsRowShown="0">
  <autoFilter ref="A4:T10"/>
  <tableColumns count="20">
    <tableColumn id="1" name="CODIGO "/>
    <tableColumn id="2" name="DESCRIPCION " dataDxfId="37"/>
    <tableColumn id="3" name="STOCK JUEGOS">
      <calculatedColumnFormula>(HISENSE26[[#This Row],[CANTIDAD INICIAL JUEGO ]]+HISENSE26[[#This Row],[ENTRADAS JUEGOS ]]-HISENSE26[[#This Row],[SALIDAS JUEGOS]])</calculatedColumnFormula>
    </tableColumn>
    <tableColumn id="4" name="STOCK BARRAS">
      <calculatedColumnFormula>(HISENSE26[[#This Row],[CANTIDAD INICIAL BARRAS]]+HISENSE26[[#This Row],[ENTRADAS BARRAS]]-HISENSE26[[#This Row],[SALIDA BARRAS]])</calculatedColumnFormula>
    </tableColumn>
    <tableColumn id="5" name="&quot;J&quot; PRECIO VENTA " dataDxfId="36"/>
    <tableColumn id="6" name="&quot;J&quot;PRECIO COMPRA " dataDxfId="35"/>
    <tableColumn id="7" name="BARRAS" dataDxfId="34"/>
    <tableColumn id="8" name="&quot;B&quot;PRECIO VENTA ">
      <calculatedColumnFormula>(HISENSE26[[#This Row],["J" PRECIO VENTA ]]/HISENSE26[[#This Row],[BARRAS]])</calculatedColumnFormula>
    </tableColumn>
    <tableColumn id="9" name="&quot;B&quot;PRECIO COMPRA">
      <calculatedColumnFormula>(HISENSE26[[#This Row],["J"PRECIO COMPRA ]]/HISENSE26[[#This Row],[BARRAS]])</calculatedColumnFormula>
    </tableColumn>
    <tableColumn id="10" name="ENTRADAS JUEGOS ">
      <calculatedColumnFormula>SUMIF(entradas26[CODIGO],HISENSE26[[#This Row],[CODIGO ]],entradas26[[CAN JUEGOS ]])</calculatedColumnFormula>
    </tableColumn>
    <tableColumn id="11" name="ENTRADAS BARRAS">
      <calculatedColumnFormula>SUMIF(entradas26[CODIGO],HISENSE26[[#This Row],[CODIGO ]],entradas26[CAN BARRAS])</calculatedColumnFormula>
    </tableColumn>
    <tableColumn id="12" name="SALIDAS JUEGOS">
      <calculatedColumnFormula>SUMIF(salidas26[[CODIGO ]],HISENSE26[[#This Row],[CODIGO ]],salidas26[[CANT JUEGOS ]])</calculatedColumnFormula>
    </tableColumn>
    <tableColumn id="13" name="SALIDA BARRAS">
      <calculatedColumnFormula>SUMIF(salidas26[[CODIGO ]],HISENSE26[[#This Row],[CODIGO ]],salidas26[CANT BARRAS])</calculatedColumnFormula>
    </tableColumn>
    <tableColumn id="14" name="CAPITAL JUEGOS ">
      <calculatedColumnFormula>(HISENSE26[[#This Row],["J"PRECIO COMPRA ]]*HISENSE26[[#This Row],[STOCK JUEGOS]])</calculatedColumnFormula>
    </tableColumn>
    <tableColumn id="15" name="CAPITAL/GANANCIA/JUEGOS ">
      <calculatedColumnFormula>(HISENSE26[[#This Row],["J" PRECIO VENTA ]]*HISENSE26[[#This Row],[STOCK JUEGOS]])</calculatedColumnFormula>
    </tableColumn>
    <tableColumn id="16" name="CAPITAL BARRA">
      <calculatedColumnFormula>(HISENSE26[[#This Row],["B"PRECIO COMPRA]]*HISENSE26[[#This Row],[STOCK BARRAS]])</calculatedColumnFormula>
    </tableColumn>
    <tableColumn id="17" name="CAP GAN BARRAS">
      <calculatedColumnFormula>(HISENSE26[[#This Row],["B"PRECIO VENTA ]]*HISENSE26[[#This Row],[STOCK BARRAS]])</calculatedColumnFormula>
    </tableColumn>
    <tableColumn id="18" name="CANTIDAD INICIAL JUEGO " dataDxfId="33"/>
    <tableColumn id="19" name="CANTIDAD INICIAL BARRAS" dataDxfId="32"/>
    <tableColumn id="20" name="PRECIO EN $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14" name="SKYW26" displayName="SKYW26" ref="A4:T13" totalsRowShown="0">
  <autoFilter ref="A4:T13"/>
  <tableColumns count="20">
    <tableColumn id="1" name="CODIGO "/>
    <tableColumn id="2" name="DESCRIPCION " dataDxfId="31"/>
    <tableColumn id="3" name="STOCK JUEGOS">
      <calculatedColumnFormula>(SKYW26[[#This Row],[CANTIDAD INICIAL JUEGO ]]+SKYW26[[#This Row],[ENTRADAS JUEGOS ]]-SKYW26[[#This Row],[SALIDAS JUEGOS]])</calculatedColumnFormula>
    </tableColumn>
    <tableColumn id="4" name="STOCK BARRAS">
      <calculatedColumnFormula>(SKYW26[[#This Row],[CANTIDAD INICIAL BARRAS]]+SKYW26[[#This Row],[ENTRADAS BARRAS]]-SKYW26[[#This Row],[SALIDA BARRAS]])</calculatedColumnFormula>
    </tableColumn>
    <tableColumn id="5" name="&quot;J&quot; PRECIO VENTA "/>
    <tableColumn id="6" name="&quot;J&quot;PRECIO COMPRA " dataDxfId="30"/>
    <tableColumn id="7" name="BARRAS" dataDxfId="29"/>
    <tableColumn id="8" name="&quot;B&quot;PRECIO VENTA ">
      <calculatedColumnFormula>(SKYW26[[#This Row],["J" PRECIO VENTA ]]/SKYW26[[#This Row],[BARRAS]])</calculatedColumnFormula>
    </tableColumn>
    <tableColumn id="9" name="&quot;B&quot;PRECIO COMPRA">
      <calculatedColumnFormula>(SKYW26[[#This Row],["J"PRECIO COMPRA ]]/SKYW26[[#This Row],[BARRAS]])</calculatedColumnFormula>
    </tableColumn>
    <tableColumn id="10" name="ENTRADAS JUEGOS ">
      <calculatedColumnFormula>SUMIF(entradas26[CODIGO],SKYW26[[#This Row],[CODIGO ]],entradas26[[CAN JUEGOS ]])</calculatedColumnFormula>
    </tableColumn>
    <tableColumn id="11" name="ENTRADAS BARRAS">
      <calculatedColumnFormula>SUMIF(entradas26[CODIGO],SKYW26[[#This Row],[CODIGO ]],entradas26[CAN BARRAS])</calculatedColumnFormula>
    </tableColumn>
    <tableColumn id="12" name="SALIDAS JUEGOS">
      <calculatedColumnFormula>SUMIF(salidas26[[CODIGO ]],SKYW26[[#This Row],[CODIGO ]],salidas26[[CANT JUEGOS ]])</calculatedColumnFormula>
    </tableColumn>
    <tableColumn id="13" name="SALIDA BARRAS">
      <calculatedColumnFormula>SUMIF(salidas26[[CODIGO ]],SKYW26[[#This Row],[CODIGO ]],salidas26[CANT BARRAS])</calculatedColumnFormula>
    </tableColumn>
    <tableColumn id="14" name="CAPITAL JUEGOS ">
      <calculatedColumnFormula>(SKYW26[[#This Row],["J"PRECIO COMPRA ]]*SKYW26[[#This Row],[STOCK JUEGOS]])</calculatedColumnFormula>
    </tableColumn>
    <tableColumn id="15" name="CAPITAL/GANANCIA/JUEGOS ">
      <calculatedColumnFormula>(SKYW26[[#This Row],["J" PRECIO VENTA ]]*SKYW26[[#This Row],[STOCK JUEGOS]])</calculatedColumnFormula>
    </tableColumn>
    <tableColumn id="16" name="CAPITAL BARRA">
      <calculatedColumnFormula>(SKYW26[[#This Row],["B"PRECIO COMPRA]]*SKYW26[[#This Row],[STOCK BARRAS]])</calculatedColumnFormula>
    </tableColumn>
    <tableColumn id="17" name="CAP GAN BARRAS">
      <calculatedColumnFormula>(SKYW26[[#This Row],["B"PRECIO VENTA ]]*SKYW26[[#This Row],[STOCK BARRAS]])</calculatedColumnFormula>
    </tableColumn>
    <tableColumn id="18" name="CANTIDAD INICIAL JUEGO " dataDxfId="28"/>
    <tableColumn id="19" name="CANTIDAD INICIAL BARRAS" dataDxfId="27"/>
    <tableColumn id="20" name="PRECIO EN $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premier26" displayName="premier26" ref="B4:W20" totalsRowShown="0">
  <autoFilter ref="B4:W20"/>
  <tableColumns count="22">
    <tableColumn id="1" name="CODIGO " dataDxfId="26"/>
    <tableColumn id="2" name="DESCRIPCION " dataDxfId="25"/>
    <tableColumn id="3" name="STOCK JUEGOS">
      <calculatedColumnFormula>(premier26[[#This Row],[CANTIDAD INICIAL JUEGO ]]+premier26[[#This Row],[ENTRADAS JUEGOS ]]-premier26[[#This Row],[SALIDAS JUEGOS]])</calculatedColumnFormula>
    </tableColumn>
    <tableColumn id="4" name="STOCK BARRAS">
      <calculatedColumnFormula>(premier26[[#This Row],[CANTIDAD INICIAL BARRAS]]+premier26[[#This Row],[ENTRADAS BARRAS]]-premier26[[#This Row],[SALIDA BARRAS]])</calculatedColumnFormula>
    </tableColumn>
    <tableColumn id="5" name="&quot;J&quot; PRECIO VENTA " dataDxfId="24"/>
    <tableColumn id="6" name="&quot;J&quot;PRECIO COMPRA "/>
    <tableColumn id="7" name="BARRAS"/>
    <tableColumn id="8" name="&quot;B&quot;PRECIO VENTA ">
      <calculatedColumnFormula>(premier26[[#This Row],["J" PRECIO VENTA ]]/premier26[[#This Row],[BARRAS]])</calculatedColumnFormula>
    </tableColumn>
    <tableColumn id="9" name="&quot;B&quot;PRECIO COMPRA">
      <calculatedColumnFormula>(premier26[[#This Row],["J"PRECIO COMPRA ]]/premier26[[#This Row],[BARRAS]])</calculatedColumnFormula>
    </tableColumn>
    <tableColumn id="10" name="ENTRADAS JUEGOS ">
      <calculatedColumnFormula>SUMIF(entradas26[CODIGO],premier26[[#This Row],[CODIGO ]],entradas26[[CAN JUEGOS ]])</calculatedColumnFormula>
    </tableColumn>
    <tableColumn id="11" name="ENTRADAS BARRAS">
      <calculatedColumnFormula>SUMIF(entradas26[CODIGO],premier26[[#This Row],[CODIGO ]],entradas26[CAN BARRAS])</calculatedColumnFormula>
    </tableColumn>
    <tableColumn id="12" name="SALIDAS JUEGOS">
      <calculatedColumnFormula>SUMIF(salidas26[[CODIGO ]],premier26[[#This Row],[CODIGO ]],salidas26[[CANT JUEGOS ]])</calculatedColumnFormula>
    </tableColumn>
    <tableColumn id="13" name="SALIDA BARRAS">
      <calculatedColumnFormula>SUMIF(salidas26[[CODIGO ]],premier26[[#This Row],[CODIGO ]],salidas26[CANT BARRAS])</calculatedColumnFormula>
    </tableColumn>
    <tableColumn id="14" name="CAPITAL JUEGOS ">
      <calculatedColumnFormula>(premier26[[#This Row],["J"PRECIO COMPRA ]]*premier26[[#This Row],[STOCK JUEGOS]])</calculatedColumnFormula>
    </tableColumn>
    <tableColumn id="15" name="CAPITAL/GANANCIA/JUEGOS ">
      <calculatedColumnFormula>(premier26[[#This Row],["J" PRECIO VENTA ]]*premier26[[#This Row],[STOCK JUEGOS]])</calculatedColumnFormula>
    </tableColumn>
    <tableColumn id="16" name="CAPITAL BARRA">
      <calculatedColumnFormula>(premier26[[#This Row],["B"PRECIO COMPRA]]*premier26[[#This Row],[STOCK BARRAS]])</calculatedColumnFormula>
    </tableColumn>
    <tableColumn id="17" name="CAP GAN BARRAS">
      <calculatedColumnFormula>(premier26[[#This Row],["B"PRECIO VENTA ]]*premier26[[#This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3" name="MASTERG26" displayName="MASTERG26" ref="A3:T9" totalsRowShown="0">
  <autoFilter ref="A3:T9"/>
  <tableColumns count="20">
    <tableColumn id="1" name="CODIGO "/>
    <tableColumn id="2" name="DESCRIPCION " dataDxfId="23"/>
    <tableColumn id="3" name="STOCK JUEGOS">
      <calculatedColumnFormula>(MASTERG26[[#This Row],[CANTIDAD INICIAL JUEGO ]]+MASTERG26[[#This Row],[ENTRADAS JUEGOS ]]-MASTERG26[[#This Row],[SALIDAS JUEGOS]])</calculatedColumnFormula>
    </tableColumn>
    <tableColumn id="4" name="STOCK BARRAS">
      <calculatedColumnFormula>(MASTERG26[[#This Row],[CANTIDAD INICIAL BARRAS]]+MASTERG26[[#This Row],[ENTRADAS BARRAS]]-MASTERG26[[#This Row],[SALIDA BARRAS]])</calculatedColumnFormula>
    </tableColumn>
    <tableColumn id="5" name="&quot;J&quot; PRECIO VENTA "/>
    <tableColumn id="6" name="&quot;J&quot;PRECIO COMPRA "/>
    <tableColumn id="7" name="BARRAS"/>
    <tableColumn id="8" name="&quot;B&quot;PRECIO VENTA ">
      <calculatedColumnFormula>(MASTERG26[[#This Row],["J" PRECIO VENTA ]]/MASTERG26[[#This Row],[BARRAS]])</calculatedColumnFormula>
    </tableColumn>
    <tableColumn id="9" name="&quot;B&quot;PRECIO COMPRA">
      <calculatedColumnFormula>(MASTERG26[[#This Row],["J"PRECIO COMPRA ]]/MASTERG26[[#This Row],[BARRAS]])</calculatedColumnFormula>
    </tableColumn>
    <tableColumn id="10" name="ENTRADAS JUEGOS ">
      <calculatedColumnFormula>SUMIF(entradas26[CODIGO],MASTERG26[[#This Row],[CODIGO ]],entradas26[[CAN JUEGOS ]])</calculatedColumnFormula>
    </tableColumn>
    <tableColumn id="11" name="ENTRADAS BARRAS">
      <calculatedColumnFormula>SUMIF(entradas26[CODIGO],MASTERG26[[#This Row],[CODIGO ]],entradas26[CAN BARRAS])</calculatedColumnFormula>
    </tableColumn>
    <tableColumn id="12" name="SALIDAS JUEGOS">
      <calculatedColumnFormula>SUMIF(salidas26[[CODIGO ]],MASTERG26[[#This Row],[CODIGO ]],salidas26[[CANT JUEGOS ]])</calculatedColumnFormula>
    </tableColumn>
    <tableColumn id="13" name="SALIDA BARRAS">
      <calculatedColumnFormula>SUMIF(salidas26[[CODIGO ]],MASTERG26[[#This Row],[CODIGO ]],salidas26[CANT BARRAS])</calculatedColumnFormula>
    </tableColumn>
    <tableColumn id="14" name="CAPITAL JUEGOS ">
      <calculatedColumnFormula>(MASTERG26[[#This Row],["J"PRECIO COMPRA ]]*MASTERG26[[#This Row],[STOCK JUEGOS]])</calculatedColumnFormula>
    </tableColumn>
    <tableColumn id="15" name="CAPITAL/GANANCIA/JUEGOS ">
      <calculatedColumnFormula>(MASTERG26[[#This Row],["J" PRECIO VENTA ]]*MASTERG26[[#This Row],[STOCK JUEGOS]])</calculatedColumnFormula>
    </tableColumn>
    <tableColumn id="16" name="CAPITAL BARRA">
      <calculatedColumnFormula>(MASTERG26[[#This Row],["B"PRECIO COMPRA]]*MASTERG26[[#This Row],[STOCK BARRAS]])</calculatedColumnFormula>
    </tableColumn>
    <tableColumn id="17" name="CAP GAN BARRAS" dataDxfId="22">
      <calculatedColumnFormula>(MASTERG26[[#This Row],["B"PRECIO VENTA ]]*MASTERG26[[#This Row],[STOCK BARRAS]])</calculatedColumnFormula>
    </tableColumn>
    <tableColumn id="18" name="CANTIDAD INICIAL JUEGO "/>
    <tableColumn id="19" name="CANTIDAD INICIAL BARRAS"/>
    <tableColumn id="20" name="PRECIO EN $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8" name="chino26" displayName="chino26" ref="B4:X45" totalsRowShown="0">
  <autoFilter ref="B4:X45"/>
  <sortState ref="B5:W50">
    <sortCondition ref="C4:C50"/>
  </sortState>
  <tableColumns count="23">
    <tableColumn id="1" name="CODIGO " dataDxfId="21"/>
    <tableColumn id="2" name="DESCRIPCION " dataDxfId="20"/>
    <tableColumn id="3" name="STOCK JUEGOS" dataDxfId="19">
      <calculatedColumnFormula>(chino26[[#This Row],[CANTIDAD INICIAL JUEGO ]]+chino26[[#This Row],[ENTRADAS JUEGOS ]]-chino26[[#This Row],[SALIDAS JUEGOS]])</calculatedColumnFormula>
    </tableColumn>
    <tableColumn id="4" name="STOCK BARRAS" dataDxfId="18">
      <calculatedColumnFormula>(chino26[[#This Row],[CANTIDAD INICIAL BARRAS]]+chino26[[#This Row],[ENTRADAS BARRAS]]-chino26[[#This Row],[SALIDA BARRAS]])</calculatedColumnFormula>
    </tableColumn>
    <tableColumn id="5" name="&quot;J&quot; PRECIO VENTA " dataDxfId="17"/>
    <tableColumn id="6" name="&quot;J&quot;PRECIO COMPRA "/>
    <tableColumn id="7" name="BARRAS"/>
    <tableColumn id="8" name="&quot;B&quot;PRECIO VENTA " dataDxfId="16">
      <calculatedColumnFormula>(chino26[[#This Row],["J" PRECIO VENTA ]]/chino26[[#This Row],[BARRAS]])</calculatedColumnFormula>
    </tableColumn>
    <tableColumn id="9" name="&quot;B&quot;PRECIO COMPRA" dataDxfId="15">
      <calculatedColumnFormula>(chino26[[#This Row],["J"PRECIO COMPRA ]]/chino26[[#This Row],[BARRAS]])</calculatedColumnFormula>
    </tableColumn>
    <tableColumn id="10" name="ENTRADAS JUEGOS " dataDxfId="14">
      <calculatedColumnFormula>SUMIF(entradas26[CODIGO],chino26[[#This Row],[CODIGO ]],entradas26[[CAN JUEGOS ]])</calculatedColumnFormula>
    </tableColumn>
    <tableColumn id="11" name="ENTRADAS BARRAS" dataDxfId="13">
      <calculatedColumnFormula>SUMIF(entradas26[CODIGO],chino26[[#This Row],[CODIGO ]],entradas26[CAN BARRAS])</calculatedColumnFormula>
    </tableColumn>
    <tableColumn id="12" name="SALIDAS JUEGOS" dataDxfId="12">
      <calculatedColumnFormula>SUMIF(salidas26[[CODIGO ]],chino26[[#This Row],[CODIGO ]],salidas26[[CANT JUEGOS ]])</calculatedColumnFormula>
    </tableColumn>
    <tableColumn id="13" name="SALIDA BARRAS" dataDxfId="11">
      <calculatedColumnFormula>SUMIF(salidas26[[CODIGO ]],chino26[[#This Row],[CODIGO ]],salidas26[CANT BARRAS])</calculatedColumnFormula>
    </tableColumn>
    <tableColumn id="14" name="CAPITAL JUEGOS " dataDxfId="10">
      <calculatedColumnFormula>(chino26[[#This Row],["J"PRECIO COMPRA ]]*chino26[[#This Row],[STOCK JUEGOS]])</calculatedColumnFormula>
    </tableColumn>
    <tableColumn id="15" name="CAPITAL/GANANCIA/JUEGOS " dataDxfId="9">
      <calculatedColumnFormula>(chino26[[#This Row],["J" PRECIO VENTA ]]*chino26[[#This Row],[STOCK JUEGOS]])</calculatedColumnFormula>
    </tableColumn>
    <tableColumn id="16" name="CAPITAL BARRA" dataDxfId="8">
      <calculatedColumnFormula>(chino26[[#This Row],["B"PRECIO COMPRA]]*chino26[[#This Row],[STOCK BARRAS]])</calculatedColumnFormula>
    </tableColumn>
    <tableColumn id="17" name="CAP GAN BARRAS" dataDxfId="7">
      <calculatedColumnFormula>(chino26[[#This Row],["B"PRECIO VENTA ]]*chino26[[#This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  <tableColumn id="23" name="CODIGO 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9" name="aocyjvc26" displayName="aocyjvc26" ref="B4:W13" totalsRowShown="0">
  <autoFilter ref="B4:W13"/>
  <sortState ref="B5:W14">
    <sortCondition ref="B5"/>
  </sortState>
  <tableColumns count="22">
    <tableColumn id="1" name="CODIGO "/>
    <tableColumn id="2" name="DESCRIPCION " dataDxfId="6"/>
    <tableColumn id="3" name="STOCK JUEGOS">
      <calculatedColumnFormula>(aocyjvc26[[#This Row],[CANTIDAD INICIAL JUEGO ]]+aocyjvc26[[#This Row],[ENTRADAS JUEGOS ]]-aocyjvc26[[#This Row],[SALIDAS JUEGOS]])</calculatedColumnFormula>
    </tableColumn>
    <tableColumn id="4" name="STOCK BARRAS">
      <calculatedColumnFormula>(aocyjvc26[[#This Row],[CANTIDAD INICIAL BARRAS]]+aocyjvc26[[#This Row],[ENTRADAS BARRAS]]-aocyjvc26[[#This Row],[SALIDA BARRAS]])</calculatedColumnFormula>
    </tableColumn>
    <tableColumn id="5" name="&quot;J&quot; PRECIO VENTA " dataDxfId="5"/>
    <tableColumn id="6" name="&quot;J&quot;PRECIO COMPRA "/>
    <tableColumn id="7" name="BARRAS"/>
    <tableColumn id="8" name="&quot;B&quot;PRECIO VENTA ">
      <calculatedColumnFormula>(aocyjvc26[[#This Row],["J" PRECIO VENTA ]]/aocyjvc26[[#This Row],[BARRAS]])</calculatedColumnFormula>
    </tableColumn>
    <tableColumn id="9" name="&quot;B&quot;PRECIO COMPRA">
      <calculatedColumnFormula>(aocyjvc26[[#This Row],["J"PRECIO COMPRA ]]/aocyjvc26[[#This Row],[BARRAS]])</calculatedColumnFormula>
    </tableColumn>
    <tableColumn id="10" name="ENTRADAS JUEGOS ">
      <calculatedColumnFormula>SUMIF(entradas26[CODIGO],aocyjvc26[[#This Row],[CODIGO ]],entradas26[[CAN JUEGOS ]])</calculatedColumnFormula>
    </tableColumn>
    <tableColumn id="11" name="ENTRADAS BARRAS">
      <calculatedColumnFormula>SUMIF(entradas26[CODIGO],aocyjvc26[[#This Row],[CODIGO ]],entradas26[CAN BARRAS])</calculatedColumnFormula>
    </tableColumn>
    <tableColumn id="12" name="SALIDAS JUEGOS">
      <calculatedColumnFormula>SUMIF(salidas26[[CODIGO ]],aocyjvc26[[#This Row],[CODIGO ]],salidas26[[CANT JUEGOS ]])</calculatedColumnFormula>
    </tableColumn>
    <tableColumn id="13" name="SALIDA BARRAS">
      <calculatedColumnFormula>SUMIF(salidas26[[CODIGO ]],aocyjvc26[[#This Row],[CODIGO ]],salidas26[CANT BARRAS])</calculatedColumnFormula>
    </tableColumn>
    <tableColumn id="14" name="CAPITAL JUEGOS ">
      <calculatedColumnFormula>(aocyjvc26[[#This Row],["J"PRECIO COMPRA ]]*aocyjvc26[[#This Row],[STOCK JUEGOS]])</calculatedColumnFormula>
    </tableColumn>
    <tableColumn id="15" name="CAPITAL/GANANCIA/JUEGOS ">
      <calculatedColumnFormula>(aocyjvc26[[#This Row],["J" PRECIO VENTA ]]*aocyjvc26[[#This Row],[STOCK JUEGOS]])</calculatedColumnFormula>
    </tableColumn>
    <tableColumn id="16" name="CAPITAL BARRA">
      <calculatedColumnFormula>(aocyjvc26[[#This Row],["B"PRECIO COMPRA]]*aocyjvc26[[#This Row],[STOCK BARRAS]])</calculatedColumnFormula>
    </tableColumn>
    <tableColumn id="17" name="CAP GAN BARRAS">
      <calculatedColumnFormula>(aocyjvc26[[#This Row],["B"PRECIO VENTA ]]*aocyjvc26[[#This Row],[STOCK BARRAS]])</calculatedColumnFormula>
    </tableColumn>
    <tableColumn id="18" name="CANTIDAD INICIAL JUEGO "/>
    <tableColumn id="19" name="CANTIDAD INICIAL BARRAS"/>
    <tableColumn id="20" name="PRECIO EN $"/>
    <tableColumn id="21" name="CODIGO 2"/>
    <tableColumn id="22" name="CODIGO 3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1" name="salidas26" displayName="salidas26" ref="A6:M2050" totalsRowShown="0">
  <autoFilter ref="A6:M2050"/>
  <tableColumns count="13">
    <tableColumn id="1" name="Nº DE REGISTRO"/>
    <tableColumn id="2" name="CODIGO "/>
    <tableColumn id="3" name="DESCRIPCION" dataDxfId="4">
      <calculatedColumnFormula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calculatedColumnFormula>
    </tableColumn>
    <tableColumn id="4" name="FECHA"/>
    <tableColumn id="5" name="PRECIO JUEGO" dataDxfId="3">
      <calculatedColumnFormula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calculatedColumnFormula>
    </tableColumn>
    <tableColumn id="12" name="PRECIO BARRA" dataDxfId="2">
      <calculatedColumnFormula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calculatedColumnFormula>
    </tableColumn>
    <tableColumn id="6" name="CANT JUEGOS "/>
    <tableColumn id="7" name="CANT BARRAS"/>
    <tableColumn id="8" name="PRE A VENDER JUEGO">
      <calculatedColumnFormula>(salidas26[[#This Row],[CANT JUEGOS ]]*salidas26[[#This Row],[PRECIO JUEGO]])</calculatedColumnFormula>
    </tableColumn>
    <tableColumn id="13" name="PRE A VENDER BARRAS">
      <calculatedColumnFormula>(salidas26[[#This Row],[CANT BARRAS]]*salidas26[[#This Row],[PRECIO BARRA]])</calculatedColumnFormula>
    </tableColumn>
    <tableColumn id="9" name="PRECIO VENDIDO "/>
    <tableColumn id="10" name="P/NP"/>
    <tableColumn id="11" name="DETALL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2" name="entradas26" displayName="entradas26" ref="A6:I260" totalsRowShown="0" headerRowDxfId="1">
  <autoFilter ref="A6:I260"/>
  <tableColumns count="9">
    <tableColumn id="1" name="CODIGO"/>
    <tableColumn id="2" name="DESCRIPCION" dataDxfId="0">
      <calculatedColumnFormula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calculatedColumnFormula>
    </tableColumn>
    <tableColumn id="3" name="FECHA "/>
    <tableColumn id="4" name="CAN JUEGOS "/>
    <tableColumn id="5" name="CAN BARRAS"/>
    <tableColumn id="6" name="PRECIO"/>
    <tableColumn id="7" name="PRECIO UNITARIO">
      <calculatedColumnFormula>(entradas26[[#This Row],[PRECIO]]/entradas26[[#This Row],[CAN JUEGOS ]])</calculatedColumnFormula>
    </tableColumn>
    <tableColumn id="8" name="DETALLE"/>
    <tableColumn id="9" name="Columna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0"/>
  <sheetViews>
    <sheetView topLeftCell="A16" zoomScaleNormal="100" workbookViewId="0">
      <selection activeCell="U25" sqref="U25"/>
    </sheetView>
  </sheetViews>
  <sheetFormatPr baseColWidth="10" defaultColWidth="11.42578125" defaultRowHeight="15"/>
  <cols>
    <col min="1" max="1" width="5.42578125" customWidth="1"/>
    <col min="2" max="2" width="9.42578125" customWidth="1"/>
    <col min="3" max="3" width="27.5703125" bestFit="1" customWidth="1"/>
    <col min="4" max="4" width="8.5703125" customWidth="1"/>
    <col min="5" max="5" width="4.140625" customWidth="1"/>
    <col min="6" max="6" width="6.5703125" customWidth="1"/>
    <col min="7" max="7" width="4.28515625" customWidth="1"/>
    <col min="8" max="8" width="4.85546875" hidden="1" customWidth="1"/>
    <col min="9" max="9" width="5.28515625" hidden="1" customWidth="1"/>
    <col min="10" max="11" width="3.5703125" hidden="1" customWidth="1"/>
    <col min="12" max="12" width="2.42578125" hidden="1" customWidth="1"/>
    <col min="13" max="13" width="2.85546875" hidden="1" customWidth="1"/>
    <col min="14" max="14" width="3.42578125" hidden="1" customWidth="1"/>
    <col min="15" max="15" width="6.140625" hidden="1" customWidth="1"/>
    <col min="16" max="16" width="1.7109375" hidden="1" customWidth="1"/>
    <col min="17" max="17" width="8.5703125" hidden="1" customWidth="1"/>
    <col min="18" max="18" width="9.7109375" hidden="1" customWidth="1"/>
    <col min="19" max="19" width="5.7109375" customWidth="1"/>
    <col min="20" max="20" width="7.5703125" customWidth="1"/>
    <col min="21" max="21" width="8.28515625" customWidth="1"/>
    <col min="22" max="22" width="8.7109375" customWidth="1"/>
    <col min="23" max="23" width="28" customWidth="1"/>
    <col min="24" max="24" width="11.42578125" customWidth="1"/>
  </cols>
  <sheetData>
    <row r="2" spans="1:24" ht="15" customHeight="1">
      <c r="B2" s="242" t="s">
        <v>0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 spans="1:24" ht="15" customHeight="1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</row>
    <row r="4" spans="1:24" ht="46.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  <c r="W4" t="s">
        <v>22</v>
      </c>
      <c r="X4" t="s">
        <v>132</v>
      </c>
    </row>
    <row r="5" spans="1:24" ht="15.75">
      <c r="A5">
        <v>1</v>
      </c>
      <c r="B5" s="19">
        <v>1000</v>
      </c>
      <c r="C5" s="20" t="s">
        <v>23</v>
      </c>
      <c r="D5">
        <f>(LG26V[[#This Row],[CANTIDAD INICIAL JUEGO ]]+LG26V[[#This Row],[ENTRADAS JUEGOS ]]-LG26V[[#This Row],[SALIDAS JUEGOS]])</f>
        <v>14</v>
      </c>
      <c r="E5">
        <f>(LG26V[[#This Row],[CANTIDAD INICIAL BARRAS]]+LG26V[[#This Row],[ENTRADAS BARRAS]]-LG26V[[#This Row],[SALIDA BARRAS]])</f>
        <v>1</v>
      </c>
      <c r="F5" s="34">
        <v>80</v>
      </c>
      <c r="G5" s="18">
        <v>43</v>
      </c>
      <c r="H5" s="18">
        <v>3</v>
      </c>
      <c r="I5">
        <f>(LG26V[[#This Row],["J" PRECIO VENTA ]]/LG26V[[#This Row],[BARRAS]])</f>
        <v>26.666666666666668</v>
      </c>
      <c r="J5">
        <f>(LG26V[[#This Row],["J"PRECIO COMPRA ]]/LG26V[[#This Row],[BARRAS]])</f>
        <v>14.333333333333334</v>
      </c>
      <c r="K5">
        <f>SUMIF(entradas26[CODIGO],LG26V[[#This Row],[CODIGO ]],entradas26[[CAN JUEGOS ]])</f>
        <v>20</v>
      </c>
      <c r="L5">
        <f>SUMIF(entradas26[CODIGO],LG26V[[#This Row],[CODIGO ]],entradas26[CAN BARRAS])</f>
        <v>0</v>
      </c>
      <c r="M5">
        <f>SUMIF(salidas26[[CODIGO ]],LG26V[[#This Row],[CODIGO ]],salidas26[[CANT JUEGOS ]])</f>
        <v>15</v>
      </c>
      <c r="N5">
        <f>SUMIF(salidas26[[CODIGO ]],LG26V[[#This Row],[CODIGO ]],salidas26[CANT BARRAS])</f>
        <v>0</v>
      </c>
      <c r="O5">
        <f>(LG26V[[#This Row],["J"PRECIO COMPRA ]]*LG26V[[#This Row],[STOCK JUEGOS]])</f>
        <v>602</v>
      </c>
      <c r="P5">
        <f>(LG26V[[#This Row],["J" PRECIO VENTA ]]*LG26V[[#This Row],[STOCK JUEGOS]])</f>
        <v>1120</v>
      </c>
      <c r="Q5">
        <f>(LG26V[[#This Row],["B"PRECIO COMPRA]]*LG26V[[#This Row],[STOCK BARRAS]])</f>
        <v>14.333333333333334</v>
      </c>
      <c r="R5">
        <f>(LG26V[[#This Row],["B"PRECIO VENTA ]]*LG26V[[#This Row],[STOCK BARRAS]])</f>
        <v>26.666666666666668</v>
      </c>
      <c r="S5" s="28">
        <v>9</v>
      </c>
      <c r="T5" s="28">
        <v>1</v>
      </c>
      <c r="U5">
        <v>1.8</v>
      </c>
      <c r="W5" t="s">
        <v>24</v>
      </c>
    </row>
    <row r="6" spans="1:24" ht="15.75">
      <c r="A6">
        <v>2</v>
      </c>
      <c r="B6" s="19">
        <v>1003</v>
      </c>
      <c r="C6" s="20" t="s">
        <v>25</v>
      </c>
      <c r="D6">
        <f>(LG26V[[#This Row],[CANTIDAD INICIAL JUEGO ]]+LG26V[[#This Row],[ENTRADAS JUEGOS ]]-LG26V[[#This Row],[SALIDAS JUEGOS]])</f>
        <v>-5</v>
      </c>
      <c r="E6">
        <f>(LG26V[[#This Row],[CANTIDAD INICIAL BARRAS]]+LG26V[[#This Row],[ENTRADAS BARRAS]]-LG26V[[#This Row],[SALIDA BARRAS]])</f>
        <v>2</v>
      </c>
      <c r="F6" s="34">
        <v>80</v>
      </c>
      <c r="G6" s="18">
        <v>30</v>
      </c>
      <c r="H6" s="18">
        <v>3</v>
      </c>
      <c r="I6">
        <f>(LG26V[[#This Row],["J" PRECIO VENTA ]]/LG26V[[#This Row],[BARRAS]])</f>
        <v>26.666666666666668</v>
      </c>
      <c r="J6">
        <f>(LG26V[[#This Row],["J"PRECIO COMPRA ]]/LG26V[[#This Row],[BARRAS]])</f>
        <v>10</v>
      </c>
      <c r="K6">
        <f>SUMIF(entradas26[CODIGO],LG26V[[#This Row],[CODIGO ]],entradas26[[CAN JUEGOS ]])</f>
        <v>0</v>
      </c>
      <c r="L6">
        <f>SUMIF(entradas26[CODIGO],LG26V[[#This Row],[CODIGO ]],entradas26[CAN BARRAS])</f>
        <v>0</v>
      </c>
      <c r="M6">
        <f>SUMIF(salidas26[[CODIGO ]],LG26V[[#This Row],[CODIGO ]],salidas26[[CANT JUEGOS ]])</f>
        <v>12</v>
      </c>
      <c r="N6">
        <f>SUMIF(salidas26[[CODIGO ]],LG26V[[#This Row],[CODIGO ]],salidas26[CANT BARRAS])</f>
        <v>0</v>
      </c>
      <c r="O6">
        <f>(LG26V[[#This Row],["J"PRECIO COMPRA ]]*LG26V[[#This Row],[STOCK JUEGOS]])</f>
        <v>-150</v>
      </c>
      <c r="P6">
        <f>(LG26V[[#This Row],["J" PRECIO VENTA ]]*LG26V[[#This Row],[STOCK JUEGOS]])</f>
        <v>-400</v>
      </c>
      <c r="Q6">
        <f>(LG26V[[#This Row],["B"PRECIO COMPRA]]*LG26V[[#This Row],[STOCK BARRAS]])</f>
        <v>20</v>
      </c>
      <c r="R6">
        <f>(LG26V[[#This Row],["B"PRECIO VENTA ]]*LG26V[[#This Row],[STOCK BARRAS]])</f>
        <v>53.333333333333336</v>
      </c>
      <c r="S6" s="28">
        <v>7</v>
      </c>
      <c r="T6" s="28">
        <v>2</v>
      </c>
      <c r="U6">
        <v>1.38</v>
      </c>
      <c r="W6" t="s">
        <v>26</v>
      </c>
    </row>
    <row r="7" spans="1:24" ht="15.75">
      <c r="A7">
        <v>3</v>
      </c>
      <c r="B7" s="19">
        <v>1006</v>
      </c>
      <c r="C7" s="20" t="s">
        <v>27</v>
      </c>
      <c r="D7">
        <f>(LG26V[[#This Row],[CANTIDAD INICIAL JUEGO ]]+LG26V[[#This Row],[ENTRADAS JUEGOS ]]-LG26V[[#This Row],[SALIDAS JUEGOS]])</f>
        <v>30</v>
      </c>
      <c r="E7">
        <f>(LG26V[[#This Row],[CANTIDAD INICIAL BARRAS]]+LG26V[[#This Row],[ENTRADAS BARRAS]]-LG26V[[#This Row],[SALIDA BARRAS]])</f>
        <v>1</v>
      </c>
      <c r="F7" s="34">
        <v>80</v>
      </c>
      <c r="G7" s="18">
        <v>48</v>
      </c>
      <c r="H7" s="18">
        <v>3</v>
      </c>
      <c r="I7">
        <f>(LG26V[[#This Row],["J" PRECIO VENTA ]]/LG26V[[#This Row],[BARRAS]])</f>
        <v>26.666666666666668</v>
      </c>
      <c r="J7">
        <f>(LG26V[[#This Row],["J"PRECIO COMPRA ]]/LG26V[[#This Row],[BARRAS]])</f>
        <v>16</v>
      </c>
      <c r="K7">
        <f>SUMIF(entradas26[CODIGO],LG26V[[#This Row],[CODIGO ]],entradas26[[CAN JUEGOS ]])</f>
        <v>20</v>
      </c>
      <c r="L7">
        <f>SUMIF(entradas26[CODIGO],LG26V[[#This Row],[CODIGO ]],entradas26[CAN BARRAS])</f>
        <v>0</v>
      </c>
      <c r="M7">
        <f>SUMIF(salidas26[[CODIGO ]],LG26V[[#This Row],[CODIGO ]],salidas26[[CANT JUEGOS ]])</f>
        <v>2</v>
      </c>
      <c r="N7">
        <f>SUMIF(salidas26[[CODIGO ]],LG26V[[#This Row],[CODIGO ]],salidas26[CANT BARRAS])</f>
        <v>0</v>
      </c>
      <c r="O7">
        <f>(LG26V[[#This Row],["J"PRECIO COMPRA ]]*LG26V[[#This Row],[STOCK JUEGOS]])</f>
        <v>1440</v>
      </c>
      <c r="P7">
        <f>(LG26V[[#This Row],["J" PRECIO VENTA ]]*LG26V[[#This Row],[STOCK JUEGOS]])</f>
        <v>2400</v>
      </c>
      <c r="Q7">
        <f>(LG26V[[#This Row],["B"PRECIO COMPRA]]*LG26V[[#This Row],[STOCK BARRAS]])</f>
        <v>16</v>
      </c>
      <c r="R7">
        <f>(LG26V[[#This Row],["B"PRECIO VENTA ]]*LG26V[[#This Row],[STOCK BARRAS]])</f>
        <v>26.666666666666668</v>
      </c>
      <c r="S7" s="28">
        <v>12</v>
      </c>
      <c r="T7" s="28">
        <v>1</v>
      </c>
      <c r="U7">
        <v>1.8</v>
      </c>
      <c r="W7" t="s">
        <v>28</v>
      </c>
    </row>
    <row r="8" spans="1:24" ht="15.75">
      <c r="A8">
        <v>5</v>
      </c>
      <c r="B8" s="19">
        <v>1011</v>
      </c>
      <c r="C8" s="23" t="s">
        <v>30</v>
      </c>
      <c r="D8" s="26">
        <f>(LG26V[[#This Row],[CANTIDAD INICIAL JUEGO ]]+LG26V[[#This Row],[ENTRADAS JUEGOS ]]-LG26V[[#This Row],[SALIDAS JUEGOS]])</f>
        <v>0</v>
      </c>
      <c r="E8" s="26">
        <f>(LG26V[[#This Row],[CANTIDAD INICIAL BARRAS]]+LG26V[[#This Row],[ENTRADAS BARRAS]]-LG26V[[#This Row],[SALIDA BARRAS]])</f>
        <v>0</v>
      </c>
      <c r="F8" s="34">
        <v>70</v>
      </c>
      <c r="G8" s="18">
        <v>30</v>
      </c>
      <c r="H8" s="18">
        <v>2</v>
      </c>
      <c r="I8" s="26">
        <f>(LG26V[[#This Row],["J" PRECIO VENTA ]]/LG26V[[#This Row],[BARRAS]])</f>
        <v>35</v>
      </c>
      <c r="J8" s="26">
        <f>(LG26V[[#This Row],["J"PRECIO COMPRA ]]/LG26V[[#This Row],[BARRAS]])</f>
        <v>15</v>
      </c>
      <c r="K8" s="26">
        <f>SUMIF(entradas26[CODIGO],LG26V[[#This Row],[CODIGO ]],entradas26[[CAN JUEGOS ]])</f>
        <v>0</v>
      </c>
      <c r="L8" s="26">
        <f>SUMIF(entradas26[CODIGO],LG26V[[#This Row],[CODIGO ]],entradas26[CAN BARRAS])</f>
        <v>0</v>
      </c>
      <c r="M8" s="26">
        <f>SUMIF(salidas26[[CODIGO ]],LG26V[[#This Row],[CODIGO ]],salidas26[[CANT JUEGOS ]])</f>
        <v>8</v>
      </c>
      <c r="N8" s="26">
        <f>SUMIF(salidas26[[CODIGO ]],LG26V[[#This Row],[CODIGO ]],salidas26[CANT BARRAS])</f>
        <v>0</v>
      </c>
      <c r="O8" s="26">
        <f>(LG26V[[#This Row],["J"PRECIO COMPRA ]]*LG26V[[#This Row],[STOCK JUEGOS]])</f>
        <v>0</v>
      </c>
      <c r="P8" s="26">
        <f>(LG26V[[#This Row],["J" PRECIO VENTA ]]*LG26V[[#This Row],[STOCK JUEGOS]])</f>
        <v>0</v>
      </c>
      <c r="Q8" s="26">
        <f>(LG26V[[#This Row],["B"PRECIO COMPRA]]*LG26V[[#This Row],[STOCK BARRAS]])</f>
        <v>0</v>
      </c>
      <c r="R8" s="26">
        <f>(LG26V[[#This Row],["B"PRECIO VENTA ]]*LG26V[[#This Row],[STOCK BARRAS]])</f>
        <v>0</v>
      </c>
      <c r="S8" s="28">
        <v>8</v>
      </c>
      <c r="T8" s="28"/>
      <c r="U8">
        <v>1.3</v>
      </c>
      <c r="W8" t="s">
        <v>31</v>
      </c>
    </row>
    <row r="9" spans="1:24" ht="15.75">
      <c r="A9">
        <v>6</v>
      </c>
      <c r="B9" s="19">
        <v>1012</v>
      </c>
      <c r="C9" s="21" t="s">
        <v>32</v>
      </c>
      <c r="D9" s="26">
        <f>(LG26V[[#This Row],[CANTIDAD INICIAL JUEGO ]]+LG26V[[#This Row],[ENTRADAS JUEGOS ]]-LG26V[[#This Row],[SALIDAS JUEGOS]])</f>
        <v>20</v>
      </c>
      <c r="E9" s="26">
        <f>(LG26V[[#This Row],[CANTIDAD INICIAL BARRAS]]+LG26V[[#This Row],[ENTRADAS BARRAS]]-LG26V[[#This Row],[SALIDA BARRAS]])</f>
        <v>0</v>
      </c>
      <c r="F9" s="34">
        <v>90</v>
      </c>
      <c r="G9" s="18">
        <v>60</v>
      </c>
      <c r="H9" s="18">
        <v>3</v>
      </c>
      <c r="I9" s="26">
        <f>(LG26V[[#This Row],["J" PRECIO VENTA ]]/LG26V[[#This Row],[BARRAS]])</f>
        <v>30</v>
      </c>
      <c r="J9" s="26">
        <f>(LG26V[[#This Row],["J"PRECIO COMPRA ]]/LG26V[[#This Row],[BARRAS]])</f>
        <v>20</v>
      </c>
      <c r="K9" s="26">
        <f>SUMIF(entradas26[CODIGO],LG26V[[#This Row],[CODIGO ]],entradas26[[CAN JUEGOS ]])</f>
        <v>20</v>
      </c>
      <c r="L9" s="26">
        <f>SUMIF(entradas26[CODIGO],LG26V[[#This Row],[CODIGO ]],entradas26[CAN BARRAS])</f>
        <v>0</v>
      </c>
      <c r="M9" s="26">
        <f>SUMIF(salidas26[[CODIGO ]],LG26V[[#This Row],[CODIGO ]],salidas26[[CANT JUEGOS ]])</f>
        <v>34</v>
      </c>
      <c r="N9" s="26">
        <f>SUMIF(salidas26[[CODIGO ]],LG26V[[#This Row],[CODIGO ]],salidas26[CANT BARRAS])</f>
        <v>0</v>
      </c>
      <c r="O9" s="26">
        <f>(LG26V[[#This Row],["J"PRECIO COMPRA ]]*LG26V[[#This Row],[STOCK JUEGOS]])</f>
        <v>1200</v>
      </c>
      <c r="P9" s="26">
        <f>(LG26V[[#This Row],["J" PRECIO VENTA ]]*LG26V[[#This Row],[STOCK JUEGOS]])</f>
        <v>1800</v>
      </c>
      <c r="Q9" s="26">
        <f>(LG26V[[#This Row],["B"PRECIO COMPRA]]*LG26V[[#This Row],[STOCK BARRAS]])</f>
        <v>0</v>
      </c>
      <c r="R9" s="26">
        <f>(LG26V[[#This Row],["B"PRECIO VENTA ]]*LG26V[[#This Row],[STOCK BARRAS]])</f>
        <v>0</v>
      </c>
      <c r="S9" s="33">
        <v>34</v>
      </c>
      <c r="T9" s="33"/>
      <c r="U9">
        <v>3</v>
      </c>
      <c r="W9" t="s">
        <v>33</v>
      </c>
    </row>
    <row r="10" spans="1:24" ht="15.75">
      <c r="A10">
        <v>7</v>
      </c>
      <c r="B10" s="19">
        <v>1015</v>
      </c>
      <c r="C10" s="21" t="s">
        <v>34</v>
      </c>
      <c r="D10" s="26">
        <f>(LG26V[[#This Row],[CANTIDAD INICIAL JUEGO ]]+LG26V[[#This Row],[ENTRADAS JUEGOS ]]-LG26V[[#This Row],[SALIDAS JUEGOS]])</f>
        <v>23</v>
      </c>
      <c r="E10" s="26">
        <f>(LG26V[[#This Row],[CANTIDAD INICIAL BARRAS]]+LG26V[[#This Row],[ENTRADAS BARRAS]]-LG26V[[#This Row],[SALIDA BARRAS]])</f>
        <v>2</v>
      </c>
      <c r="F10" s="34">
        <v>80</v>
      </c>
      <c r="G10" s="18">
        <v>34.200000000000003</v>
      </c>
      <c r="H10" s="18">
        <v>3</v>
      </c>
      <c r="I10" s="26">
        <f>(LG26V[[#This Row],["J" PRECIO VENTA ]]/LG26V[[#This Row],[BARRAS]])</f>
        <v>26.666666666666668</v>
      </c>
      <c r="J10" s="26">
        <f>(LG26V[[#This Row],["J"PRECIO COMPRA ]]/LG26V[[#This Row],[BARRAS]])</f>
        <v>11.4</v>
      </c>
      <c r="K10" s="26">
        <f>SUMIF(entradas26[CODIGO],LG26V[[#This Row],[CODIGO ]],entradas26[[CAN JUEGOS ]])</f>
        <v>40</v>
      </c>
      <c r="L10" s="26">
        <f>SUMIF(entradas26[CODIGO],LG26V[[#This Row],[CODIGO ]],entradas26[CAN BARRAS])</f>
        <v>6</v>
      </c>
      <c r="M10" s="26">
        <f>SUMIF(salidas26[[CODIGO ]],LG26V[[#This Row],[CODIGO ]],salidas26[[CANT JUEGOS ]])</f>
        <v>42</v>
      </c>
      <c r="N10" s="26">
        <f>SUMIF(salidas26[[CODIGO ]],LG26V[[#This Row],[CODIGO ]],salidas26[CANT BARRAS])</f>
        <v>6</v>
      </c>
      <c r="O10" s="26">
        <f>(LG26V[[#This Row],["J"PRECIO COMPRA ]]*LG26V[[#This Row],[STOCK JUEGOS]])</f>
        <v>786.6</v>
      </c>
      <c r="P10" s="26">
        <f>(LG26V[[#This Row],["J" PRECIO VENTA ]]*LG26V[[#This Row],[STOCK JUEGOS]])</f>
        <v>1840</v>
      </c>
      <c r="Q10" s="26">
        <f>(LG26V[[#This Row],["B"PRECIO COMPRA]]*LG26V[[#This Row],[STOCK BARRAS]])</f>
        <v>22.8</v>
      </c>
      <c r="R10" s="26">
        <f>(LG26V[[#This Row],["B"PRECIO VENTA ]]*LG26V[[#This Row],[STOCK BARRAS]])</f>
        <v>53.333333333333336</v>
      </c>
      <c r="S10" s="28">
        <v>25</v>
      </c>
      <c r="T10" s="28">
        <v>2</v>
      </c>
      <c r="U10">
        <v>1.8</v>
      </c>
      <c r="W10" t="s">
        <v>35</v>
      </c>
    </row>
    <row r="11" spans="1:24" ht="15.75">
      <c r="A11">
        <v>8</v>
      </c>
      <c r="B11" s="19">
        <v>1018</v>
      </c>
      <c r="C11" s="20" t="s">
        <v>36</v>
      </c>
      <c r="D11" s="26">
        <f>(LG26V[[#This Row],[CANTIDAD INICIAL JUEGO ]]+LG26V[[#This Row],[ENTRADAS JUEGOS ]]-LG26V[[#This Row],[SALIDAS JUEGOS]])</f>
        <v>15</v>
      </c>
      <c r="E11" s="26">
        <f>(LG26V[[#This Row],[CANTIDAD INICIAL BARRAS]]+LG26V[[#This Row],[ENTRADAS BARRAS]]-LG26V[[#This Row],[SALIDA BARRAS]])</f>
        <v>0</v>
      </c>
      <c r="F11" s="34">
        <v>80</v>
      </c>
      <c r="G11" s="18">
        <v>38</v>
      </c>
      <c r="H11" s="18">
        <v>2</v>
      </c>
      <c r="I11" s="26">
        <f>(LG26V[[#This Row],["J" PRECIO VENTA ]]/LG26V[[#This Row],[BARRAS]])</f>
        <v>40</v>
      </c>
      <c r="J11" s="26">
        <f>(LG26V[[#This Row],["J"PRECIO COMPRA ]]/LG26V[[#This Row],[BARRAS]])</f>
        <v>19</v>
      </c>
      <c r="K11" s="26">
        <f>SUMIF(entradas26[CODIGO],LG26V[[#This Row],[CODIGO ]],entradas26[[CAN JUEGOS ]])</f>
        <v>0</v>
      </c>
      <c r="L11" s="26">
        <f>SUMIF(entradas26[CODIGO],LG26V[[#This Row],[CODIGO ]],entradas26[CAN BARRAS])</f>
        <v>0</v>
      </c>
      <c r="M11" s="26">
        <f>SUMIF(salidas26[[CODIGO ]],LG26V[[#This Row],[CODIGO ]],salidas26[[CANT JUEGOS ]])</f>
        <v>3</v>
      </c>
      <c r="N11" s="26">
        <f>SUMIF(salidas26[[CODIGO ]],LG26V[[#This Row],[CODIGO ]],salidas26[CANT BARRAS])</f>
        <v>0</v>
      </c>
      <c r="O11" s="26">
        <f>(LG26V[[#This Row],["J"PRECIO COMPRA ]]*LG26V[[#This Row],[STOCK JUEGOS]])</f>
        <v>570</v>
      </c>
      <c r="P11" s="26">
        <f>(LG26V[[#This Row],["J" PRECIO VENTA ]]*LG26V[[#This Row],[STOCK JUEGOS]])</f>
        <v>1200</v>
      </c>
      <c r="Q11" s="26">
        <f>(LG26V[[#This Row],["B"PRECIO COMPRA]]*LG26V[[#This Row],[STOCK BARRAS]])</f>
        <v>0</v>
      </c>
      <c r="R11" s="26">
        <f>(LG26V[[#This Row],["B"PRECIO VENTA ]]*LG26V[[#This Row],[STOCK BARRAS]])</f>
        <v>0</v>
      </c>
      <c r="S11" s="28">
        <v>18</v>
      </c>
      <c r="T11" s="28"/>
      <c r="U11">
        <v>1.45</v>
      </c>
      <c r="W11" t="s">
        <v>37</v>
      </c>
    </row>
    <row r="12" spans="1:24" ht="15.75">
      <c r="A12">
        <v>9</v>
      </c>
      <c r="B12" s="19">
        <v>1021</v>
      </c>
      <c r="C12" s="20" t="s">
        <v>38</v>
      </c>
      <c r="D12" s="26">
        <f>(LG26V[[#This Row],[CANTIDAD INICIAL JUEGO ]]+LG26V[[#This Row],[ENTRADAS JUEGOS ]]-LG26V[[#This Row],[SALIDAS JUEGOS]])</f>
        <v>1</v>
      </c>
      <c r="E12" s="26">
        <f>(LG26V[[#This Row],[CANTIDAD INICIAL BARRAS]]+LG26V[[#This Row],[ENTRADAS BARRAS]]-LG26V[[#This Row],[SALIDA BARRAS]])</f>
        <v>0</v>
      </c>
      <c r="F12" s="34">
        <v>120</v>
      </c>
      <c r="G12" s="18">
        <v>80</v>
      </c>
      <c r="H12" s="18">
        <v>4</v>
      </c>
      <c r="I12" s="26">
        <f>(LG26V[[#This Row],["J" PRECIO VENTA ]]/LG26V[[#This Row],[BARRAS]])</f>
        <v>30</v>
      </c>
      <c r="J12" s="26">
        <f>(LG26V[[#This Row],["J"PRECIO COMPRA ]]/LG26V[[#This Row],[BARRAS]])</f>
        <v>20</v>
      </c>
      <c r="K12" s="26">
        <f>SUMIF(entradas26[CODIGO],LG26V[[#This Row],[CODIGO ]],entradas26[[CAN JUEGOS ]])</f>
        <v>0</v>
      </c>
      <c r="L12" s="26">
        <f>SUMIF(entradas26[CODIGO],LG26V[[#This Row],[CODIGO ]],entradas26[CAN BARRAS])</f>
        <v>0</v>
      </c>
      <c r="M12" s="26">
        <f>SUMIF(salidas26[[CODIGO ]],LG26V[[#This Row],[CODIGO ]],salidas26[[CANT JUEGOS ]])</f>
        <v>0</v>
      </c>
      <c r="N12" s="26">
        <f>SUMIF(salidas26[[CODIGO ]],LG26V[[#This Row],[CODIGO ]],salidas26[CANT BARRAS])</f>
        <v>0</v>
      </c>
      <c r="O12" s="26">
        <f>(LG26V[[#This Row],["J"PRECIO COMPRA ]]*LG26V[[#This Row],[STOCK JUEGOS]])</f>
        <v>80</v>
      </c>
      <c r="P12" s="26">
        <f>(LG26V[[#This Row],["J" PRECIO VENTA ]]*LG26V[[#This Row],[STOCK JUEGOS]])</f>
        <v>120</v>
      </c>
      <c r="Q12" s="26">
        <f>(LG26V[[#This Row],["B"PRECIO COMPRA]]*LG26V[[#This Row],[STOCK BARRAS]])</f>
        <v>0</v>
      </c>
      <c r="R12" s="26">
        <f>(LG26V[[#This Row],["B"PRECIO VENTA ]]*LG26V[[#This Row],[STOCK BARRAS]])</f>
        <v>0</v>
      </c>
      <c r="S12" s="28">
        <v>1</v>
      </c>
      <c r="T12" s="28"/>
    </row>
    <row r="13" spans="1:24" ht="15.75">
      <c r="A13">
        <v>10</v>
      </c>
      <c r="B13" s="19">
        <v>1024</v>
      </c>
      <c r="C13" s="20" t="s">
        <v>39</v>
      </c>
      <c r="D13" s="26">
        <f>(LG26V[[#This Row],[CANTIDAD INICIAL JUEGO ]]+LG26V[[#This Row],[ENTRADAS JUEGOS ]]-LG26V[[#This Row],[SALIDAS JUEGOS]])</f>
        <v>14</v>
      </c>
      <c r="E13" s="26">
        <f>(LG26V[[#This Row],[CANTIDAD INICIAL BARRAS]]+LG26V[[#This Row],[ENTRADAS BARRAS]]-LG26V[[#This Row],[SALIDA BARRAS]])</f>
        <v>0</v>
      </c>
      <c r="F13" s="34">
        <v>100</v>
      </c>
      <c r="G13" s="18">
        <v>64</v>
      </c>
      <c r="H13" s="18">
        <v>3</v>
      </c>
      <c r="I13" s="26">
        <f>(LG26V[[#This Row],["J" PRECIO VENTA ]]/LG26V[[#This Row],[BARRAS]])</f>
        <v>33.333333333333336</v>
      </c>
      <c r="J13" s="26">
        <f>(LG26V[[#This Row],["J"PRECIO COMPRA ]]/LG26V[[#This Row],[BARRAS]])</f>
        <v>21.333333333333332</v>
      </c>
      <c r="K13" s="26">
        <f>SUMIF(entradas26[CODIGO],LG26V[[#This Row],[CODIGO ]],entradas26[[CAN JUEGOS ]])</f>
        <v>0</v>
      </c>
      <c r="L13" s="26">
        <f>SUMIF(entradas26[CODIGO],LG26V[[#This Row],[CODIGO ]],entradas26[CAN BARRAS])</f>
        <v>0</v>
      </c>
      <c r="M13" s="26">
        <f>SUMIF(salidas26[[CODIGO ]],LG26V[[#This Row],[CODIGO ]],salidas26[[CANT JUEGOS ]])</f>
        <v>8</v>
      </c>
      <c r="N13" s="26">
        <f>SUMIF(salidas26[[CODIGO ]],LG26V[[#This Row],[CODIGO ]],salidas26[CANT BARRAS])</f>
        <v>0</v>
      </c>
      <c r="O13" s="26">
        <f>(LG26V[[#This Row],["J"PRECIO COMPRA ]]*LG26V[[#This Row],[STOCK JUEGOS]])</f>
        <v>896</v>
      </c>
      <c r="P13" s="26">
        <f>(LG26V[[#This Row],["J" PRECIO VENTA ]]*LG26V[[#This Row],[STOCK JUEGOS]])</f>
        <v>1400</v>
      </c>
      <c r="Q13" s="26">
        <f>(LG26V[[#This Row],["B"PRECIO COMPRA]]*LG26V[[#This Row],[STOCK BARRAS]])</f>
        <v>0</v>
      </c>
      <c r="R13" s="26">
        <f>(LG26V[[#This Row],["B"PRECIO VENTA ]]*LG26V[[#This Row],[STOCK BARRAS]])</f>
        <v>0</v>
      </c>
      <c r="S13" s="29">
        <v>22</v>
      </c>
      <c r="T13" s="29"/>
      <c r="U13">
        <v>2.4</v>
      </c>
      <c r="W13" t="s">
        <v>40</v>
      </c>
    </row>
    <row r="14" spans="1:24" ht="15.75">
      <c r="A14">
        <v>11</v>
      </c>
      <c r="B14" s="19">
        <v>1027</v>
      </c>
      <c r="C14" s="20" t="s">
        <v>41</v>
      </c>
      <c r="D14" s="26">
        <f>(LG26V[[#This Row],[CANTIDAD INICIAL JUEGO ]]+LG26V[[#This Row],[ENTRADAS JUEGOS ]]-LG26V[[#This Row],[SALIDAS JUEGOS]])</f>
        <v>26</v>
      </c>
      <c r="E14" s="26">
        <f>(LG26V[[#This Row],[CANTIDAD INICIAL BARRAS]]+LG26V[[#This Row],[ENTRADAS BARRAS]]-LG26V[[#This Row],[SALIDA BARRAS]])</f>
        <v>0</v>
      </c>
      <c r="F14" s="34">
        <v>120</v>
      </c>
      <c r="G14" s="18">
        <v>70</v>
      </c>
      <c r="H14" s="18">
        <v>4</v>
      </c>
      <c r="I14" s="26">
        <f>(LG26V[[#This Row],["J" PRECIO VENTA ]]/LG26V[[#This Row],[BARRAS]])</f>
        <v>30</v>
      </c>
      <c r="J14" s="26">
        <f>(LG26V[[#This Row],["J"PRECIO COMPRA ]]/LG26V[[#This Row],[BARRAS]])</f>
        <v>17.5</v>
      </c>
      <c r="K14" s="26">
        <f>SUMIF(entradas26[CODIGO],LG26V[[#This Row],[CODIGO ]],entradas26[[CAN JUEGOS ]])</f>
        <v>20</v>
      </c>
      <c r="L14" s="26">
        <f>SUMIF(entradas26[CODIGO],LG26V[[#This Row],[CODIGO ]],entradas26[CAN BARRAS])</f>
        <v>0</v>
      </c>
      <c r="M14" s="26">
        <f>SUMIF(salidas26[[CODIGO ]],LG26V[[#This Row],[CODIGO ]],salidas26[[CANT JUEGOS ]])</f>
        <v>4</v>
      </c>
      <c r="N14" s="26">
        <f>SUMIF(salidas26[[CODIGO ]],LG26V[[#This Row],[CODIGO ]],salidas26[CANT BARRAS])</f>
        <v>0</v>
      </c>
      <c r="O14" s="26">
        <f>(LG26V[[#This Row],["J"PRECIO COMPRA ]]*LG26V[[#This Row],[STOCK JUEGOS]])</f>
        <v>1820</v>
      </c>
      <c r="P14" s="26">
        <f>(LG26V[[#This Row],["J" PRECIO VENTA ]]*LG26V[[#This Row],[STOCK JUEGOS]])</f>
        <v>3120</v>
      </c>
      <c r="Q14" s="26">
        <f>(LG26V[[#This Row],["B"PRECIO COMPRA]]*LG26V[[#This Row],[STOCK BARRAS]])</f>
        <v>0</v>
      </c>
      <c r="R14" s="26">
        <f>(LG26V[[#This Row],["B"PRECIO VENTA ]]*LG26V[[#This Row],[STOCK BARRAS]])</f>
        <v>0</v>
      </c>
      <c r="S14" s="28">
        <v>10</v>
      </c>
      <c r="T14" s="28"/>
      <c r="U14">
        <v>3.7</v>
      </c>
      <c r="W14" t="s">
        <v>42</v>
      </c>
    </row>
    <row r="15" spans="1:24" ht="15.75">
      <c r="A15">
        <v>12</v>
      </c>
      <c r="B15" s="19">
        <v>1028</v>
      </c>
      <c r="C15" s="20" t="s">
        <v>43</v>
      </c>
      <c r="D15" s="26">
        <f>(LG26V[[#This Row],[CANTIDAD INICIAL JUEGO ]]+LG26V[[#This Row],[ENTRADAS JUEGOS ]]-LG26V[[#This Row],[SALIDAS JUEGOS]])</f>
        <v>3</v>
      </c>
      <c r="E15" s="26">
        <f>(LG26V[[#This Row],[CANTIDAD INICIAL BARRAS]]+LG26V[[#This Row],[ENTRADAS BARRAS]]-LG26V[[#This Row],[SALIDA BARRAS]])</f>
        <v>0</v>
      </c>
      <c r="F15" s="34">
        <v>90</v>
      </c>
      <c r="G15" s="18">
        <v>50</v>
      </c>
      <c r="H15" s="18">
        <v>1</v>
      </c>
      <c r="I15" s="26">
        <f>(LG26V[[#This Row],["J" PRECIO VENTA ]]/LG26V[[#This Row],[BARRAS]])</f>
        <v>90</v>
      </c>
      <c r="J15" s="26">
        <f>(LG26V[[#This Row],["J"PRECIO COMPRA ]]/LG26V[[#This Row],[BARRAS]])</f>
        <v>50</v>
      </c>
      <c r="K15" s="26">
        <f>SUMIF(entradas26[CODIGO],LG26V[[#This Row],[CODIGO ]],entradas26[[CAN JUEGOS ]])</f>
        <v>0</v>
      </c>
      <c r="L15" s="26">
        <f>SUMIF(entradas26[CODIGO],LG26V[[#This Row],[CODIGO ]],entradas26[CAN BARRAS])</f>
        <v>0</v>
      </c>
      <c r="M15" s="26">
        <f>SUMIF(salidas26[[CODIGO ]],LG26V[[#This Row],[CODIGO ]],salidas26[[CANT JUEGOS ]])</f>
        <v>0</v>
      </c>
      <c r="N15" s="26">
        <f>SUMIF(salidas26[[CODIGO ]],LG26V[[#This Row],[CODIGO ]],salidas26[CANT BARRAS])</f>
        <v>0</v>
      </c>
      <c r="O15" s="26">
        <f>(LG26V[[#This Row],["J"PRECIO COMPRA ]]*LG26V[[#This Row],[STOCK JUEGOS]])</f>
        <v>150</v>
      </c>
      <c r="P15" s="26">
        <f>(LG26V[[#This Row],["J" PRECIO VENTA ]]*LG26V[[#This Row],[STOCK JUEGOS]])</f>
        <v>270</v>
      </c>
      <c r="Q15" s="26">
        <f>(LG26V[[#This Row],["B"PRECIO COMPRA]]*LG26V[[#This Row],[STOCK BARRAS]])</f>
        <v>0</v>
      </c>
      <c r="R15" s="26">
        <f>(LG26V[[#This Row],["B"PRECIO VENTA ]]*LG26V[[#This Row],[STOCK BARRAS]])</f>
        <v>0</v>
      </c>
      <c r="S15" s="28">
        <v>3</v>
      </c>
      <c r="T15" s="28"/>
    </row>
    <row r="16" spans="1:24" ht="15.75">
      <c r="A16">
        <v>13</v>
      </c>
      <c r="B16" s="19">
        <v>1030</v>
      </c>
      <c r="C16" s="21" t="s">
        <v>44</v>
      </c>
      <c r="D16" s="26">
        <f>(LG26V[[#This Row],[CANTIDAD INICIAL JUEGO ]]+LG26V[[#This Row],[ENTRADAS JUEGOS ]]-LG26V[[#This Row],[SALIDAS JUEGOS]])</f>
        <v>9</v>
      </c>
      <c r="E16" s="26">
        <f>(LG26V[[#This Row],[CANTIDAD INICIAL BARRAS]]+LG26V[[#This Row],[ENTRADAS BARRAS]]-LG26V[[#This Row],[SALIDA BARRAS]])</f>
        <v>0</v>
      </c>
      <c r="F16" s="34">
        <v>200</v>
      </c>
      <c r="G16" s="18">
        <v>110</v>
      </c>
      <c r="H16" s="18">
        <v>8</v>
      </c>
      <c r="I16" s="26">
        <f>(LG26V[[#This Row],["J" PRECIO VENTA ]]/LG26V[[#This Row],[BARRAS]])</f>
        <v>25</v>
      </c>
      <c r="J16" s="26">
        <f>(LG26V[[#This Row],["J"PRECIO COMPRA ]]/LG26V[[#This Row],[BARRAS]])</f>
        <v>13.75</v>
      </c>
      <c r="K16" s="26">
        <f>SUMIF(entradas26[CODIGO],LG26V[[#This Row],[CODIGO ]],entradas26[[CAN JUEGOS ]])</f>
        <v>0</v>
      </c>
      <c r="L16" s="26">
        <f>SUMIF(entradas26[CODIGO],LG26V[[#This Row],[CODIGO ]],entradas26[CAN BARRAS])</f>
        <v>0</v>
      </c>
      <c r="M16" s="26">
        <f>SUMIF(salidas26[[CODIGO ]],LG26V[[#This Row],[CODIGO ]],salidas26[[CANT JUEGOS ]])</f>
        <v>0</v>
      </c>
      <c r="N16" s="26">
        <f>SUMIF(salidas26[[CODIGO ]],LG26V[[#This Row],[CODIGO ]],salidas26[CANT BARRAS])</f>
        <v>0</v>
      </c>
      <c r="O16" s="26">
        <f>(LG26V[[#This Row],["J"PRECIO COMPRA ]]*LG26V[[#This Row],[STOCK JUEGOS]])</f>
        <v>990</v>
      </c>
      <c r="P16" s="26">
        <f>(LG26V[[#This Row],["J" PRECIO VENTA ]]*LG26V[[#This Row],[STOCK JUEGOS]])</f>
        <v>1800</v>
      </c>
      <c r="Q16" s="26">
        <f>(LG26V[[#This Row],["B"PRECIO COMPRA]]*LG26V[[#This Row],[STOCK BARRAS]])</f>
        <v>0</v>
      </c>
      <c r="R16" s="26">
        <f>(LG26V[[#This Row],["B"PRECIO VENTA ]]*LG26V[[#This Row],[STOCK BARRAS]])</f>
        <v>0</v>
      </c>
      <c r="S16" s="28">
        <v>9</v>
      </c>
      <c r="T16" s="28"/>
      <c r="U16">
        <v>5.5</v>
      </c>
      <c r="W16" t="s">
        <v>45</v>
      </c>
    </row>
    <row r="17" spans="1:23" ht="15.75">
      <c r="A17">
        <v>14</v>
      </c>
      <c r="B17" s="19">
        <v>1033</v>
      </c>
      <c r="C17" s="20" t="s">
        <v>46</v>
      </c>
      <c r="D17" s="26">
        <f>(LG26V[[#This Row],[CANTIDAD INICIAL JUEGO ]]+LG26V[[#This Row],[ENTRADAS JUEGOS ]]-LG26V[[#This Row],[SALIDAS JUEGOS]])</f>
        <v>27</v>
      </c>
      <c r="E17" s="26">
        <f>(LG26V[[#This Row],[CANTIDAD INICIAL BARRAS]]+LG26V[[#This Row],[ENTRADAS BARRAS]]-LG26V[[#This Row],[SALIDA BARRAS]])</f>
        <v>0</v>
      </c>
      <c r="F17" s="34">
        <v>180</v>
      </c>
      <c r="G17" s="18">
        <v>130</v>
      </c>
      <c r="H17" s="18">
        <v>8</v>
      </c>
      <c r="I17" s="26">
        <f>(LG26V[[#This Row],["J" PRECIO VENTA ]]/LG26V[[#This Row],[BARRAS]])</f>
        <v>22.5</v>
      </c>
      <c r="J17" s="26">
        <f>(LG26V[[#This Row],["J"PRECIO COMPRA ]]/LG26V[[#This Row],[BARRAS]])</f>
        <v>16.25</v>
      </c>
      <c r="K17" s="26">
        <f>SUMIF(entradas26[CODIGO],LG26V[[#This Row],[CODIGO ]],entradas26[[CAN JUEGOS ]])</f>
        <v>55</v>
      </c>
      <c r="L17" s="26">
        <f>SUMIF(entradas26[CODIGO],LG26V[[#This Row],[CODIGO ]],entradas26[CAN BARRAS])</f>
        <v>0</v>
      </c>
      <c r="M17" s="26">
        <f>SUMIF(salidas26[[CODIGO ]],LG26V[[#This Row],[CODIGO ]],salidas26[[CANT JUEGOS ]])</f>
        <v>52</v>
      </c>
      <c r="N17" s="26">
        <f>SUMIF(salidas26[[CODIGO ]],LG26V[[#This Row],[CODIGO ]],salidas26[CANT BARRAS])</f>
        <v>0</v>
      </c>
      <c r="O17" s="26">
        <f>(LG26V[[#This Row],["J"PRECIO COMPRA ]]*LG26V[[#This Row],[STOCK JUEGOS]])</f>
        <v>3510</v>
      </c>
      <c r="P17" s="26">
        <f>(LG26V[[#This Row],["J" PRECIO VENTA ]]*LG26V[[#This Row],[STOCK JUEGOS]])</f>
        <v>4860</v>
      </c>
      <c r="Q17" s="26">
        <f>(LG26V[[#This Row],["B"PRECIO COMPRA]]*LG26V[[#This Row],[STOCK BARRAS]])</f>
        <v>0</v>
      </c>
      <c r="R17" s="26">
        <f>(LG26V[[#This Row],["B"PRECIO VENTA ]]*LG26V[[#This Row],[STOCK BARRAS]])</f>
        <v>0</v>
      </c>
      <c r="S17" s="28">
        <v>24</v>
      </c>
      <c r="T17" s="28"/>
      <c r="U17">
        <v>5.4</v>
      </c>
      <c r="W17" t="s">
        <v>47</v>
      </c>
    </row>
    <row r="18" spans="1:23" ht="15.75">
      <c r="B18" s="19">
        <v>1034</v>
      </c>
      <c r="C18" s="74" t="s">
        <v>933</v>
      </c>
      <c r="D18" s="26">
        <f>(LG26V[[#This Row],[CANTIDAD INICIAL JUEGO ]]+LG26V[[#This Row],[ENTRADAS JUEGOS ]]-LG26V[[#This Row],[SALIDAS JUEGOS]])</f>
        <v>19</v>
      </c>
      <c r="E18" s="26">
        <f>(LG26V[[#This Row],[CANTIDAD INICIAL BARRAS]]+LG26V[[#This Row],[ENTRADAS BARRAS]]-LG26V[[#This Row],[SALIDA BARRAS]])</f>
        <v>0</v>
      </c>
      <c r="F18" s="34">
        <v>180</v>
      </c>
      <c r="G18" s="18">
        <v>84</v>
      </c>
      <c r="H18" s="18"/>
      <c r="I18" s="26" t="e">
        <f>(LG26V[[#This Row],["J" PRECIO VENTA ]]/LG26V[[#This Row],[BARRAS]])</f>
        <v>#DIV/0!</v>
      </c>
      <c r="J18" s="26" t="e">
        <f>(LG26V[[#This Row],["J"PRECIO COMPRA ]]/LG26V[[#This Row],[BARRAS]])</f>
        <v>#DIV/0!</v>
      </c>
      <c r="K18" s="26">
        <f>SUMIF(entradas26[CODIGO],LG26V[[#This Row],[CODIGO ]],entradas26[[CAN JUEGOS ]])</f>
        <v>20</v>
      </c>
      <c r="L18" s="26">
        <f>SUMIF(entradas26[CODIGO],LG26V[[#This Row],[CODIGO ]],entradas26[CAN BARRAS])</f>
        <v>0</v>
      </c>
      <c r="M18" s="26">
        <f>SUMIF(salidas26[[CODIGO ]],LG26V[[#This Row],[CODIGO ]],salidas26[[CANT JUEGOS ]])</f>
        <v>1</v>
      </c>
      <c r="N18" s="26">
        <f>SUMIF(salidas26[[CODIGO ]],LG26V[[#This Row],[CODIGO ]],salidas26[CANT BARRAS])</f>
        <v>0</v>
      </c>
      <c r="O18" s="26">
        <f>(LG26V[[#This Row],["J"PRECIO COMPRA ]]*LG26V[[#This Row],[STOCK JUEGOS]])</f>
        <v>1596</v>
      </c>
      <c r="P18" s="26">
        <f>(LG26V[[#This Row],["J" PRECIO VENTA ]]*LG26V[[#This Row],[STOCK JUEGOS]])</f>
        <v>3420</v>
      </c>
      <c r="Q18" s="26" t="e">
        <f>(LG26V[[#This Row],["B"PRECIO COMPRA]]*LG26V[[#This Row],[STOCK BARRAS]])</f>
        <v>#DIV/0!</v>
      </c>
      <c r="R18" s="26" t="e">
        <f>(LG26V[[#This Row],["B"PRECIO VENTA ]]*LG26V[[#This Row],[STOCK BARRAS]])</f>
        <v>#DIV/0!</v>
      </c>
      <c r="S18" s="28"/>
      <c r="T18" s="28"/>
      <c r="U18">
        <v>4.2</v>
      </c>
      <c r="W18" t="s">
        <v>934</v>
      </c>
    </row>
    <row r="19" spans="1:23" ht="15.75">
      <c r="A19">
        <v>15</v>
      </c>
      <c r="B19" s="19">
        <v>1036</v>
      </c>
      <c r="C19" s="20" t="s">
        <v>48</v>
      </c>
      <c r="D19" s="26">
        <f>(LG26V[[#This Row],[CANTIDAD INICIAL JUEGO ]]+LG26V[[#This Row],[ENTRADAS JUEGOS ]]-LG26V[[#This Row],[SALIDAS JUEGOS]])</f>
        <v>10</v>
      </c>
      <c r="E19" s="26">
        <f>(LG26V[[#This Row],[CANTIDAD INICIAL BARRAS]]+LG26V[[#This Row],[ENTRADAS BARRAS]]-LG26V[[#This Row],[SALIDA BARRAS]])</f>
        <v>6</v>
      </c>
      <c r="F19" s="34">
        <v>180</v>
      </c>
      <c r="G19" s="18">
        <v>96.9</v>
      </c>
      <c r="H19" s="18">
        <v>10</v>
      </c>
      <c r="I19" s="26">
        <f>(LG26V[[#This Row],["J" PRECIO VENTA ]]/LG26V[[#This Row],[BARRAS]])</f>
        <v>18</v>
      </c>
      <c r="J19" s="26">
        <f>(LG26V[[#This Row],["J"PRECIO COMPRA ]]/LG26V[[#This Row],[BARRAS]])</f>
        <v>9.6900000000000013</v>
      </c>
      <c r="K19" s="26">
        <f>SUMIF(entradas26[CODIGO],LG26V[[#This Row],[CODIGO ]],entradas26[[CAN JUEGOS ]])</f>
        <v>20</v>
      </c>
      <c r="L19" s="26">
        <f>SUMIF(entradas26[CODIGO],LG26V[[#This Row],[CODIGO ]],entradas26[CAN BARRAS])</f>
        <v>0</v>
      </c>
      <c r="M19" s="26">
        <f>SUMIF(salidas26[[CODIGO ]],LG26V[[#This Row],[CODIGO ]],salidas26[[CANT JUEGOS ]])</f>
        <v>21</v>
      </c>
      <c r="N19" s="26">
        <f>SUMIF(salidas26[[CODIGO ]],LG26V[[#This Row],[CODIGO ]],salidas26[CANT BARRAS])</f>
        <v>0</v>
      </c>
      <c r="O19" s="26">
        <f>(LG26V[[#This Row],["J"PRECIO COMPRA ]]*LG26V[[#This Row],[STOCK JUEGOS]])</f>
        <v>969</v>
      </c>
      <c r="P19" s="26">
        <f>(LG26V[[#This Row],["J" PRECIO VENTA ]]*LG26V[[#This Row],[STOCK JUEGOS]])</f>
        <v>1800</v>
      </c>
      <c r="Q19" s="26">
        <f>(LG26V[[#This Row],["B"PRECIO COMPRA]]*LG26V[[#This Row],[STOCK BARRAS]])</f>
        <v>58.140000000000008</v>
      </c>
      <c r="R19" s="26">
        <f>(LG26V[[#This Row],["B"PRECIO VENTA ]]*LG26V[[#This Row],[STOCK BARRAS]])</f>
        <v>108</v>
      </c>
      <c r="S19" s="28">
        <v>11</v>
      </c>
      <c r="T19" s="28">
        <v>6</v>
      </c>
      <c r="U19">
        <v>5.0999999999999996</v>
      </c>
      <c r="W19" t="s">
        <v>49</v>
      </c>
    </row>
    <row r="20" spans="1:23" ht="15.75">
      <c r="A20">
        <v>16</v>
      </c>
      <c r="B20" s="19">
        <v>1039</v>
      </c>
      <c r="C20" s="23" t="s">
        <v>50</v>
      </c>
      <c r="D20" s="26">
        <f>(LG26V[[#This Row],[CANTIDAD INICIAL JUEGO ]]+LG26V[[#This Row],[ENTRADAS JUEGOS ]]-LG26V[[#This Row],[SALIDAS JUEGOS]])</f>
        <v>15</v>
      </c>
      <c r="E20" s="26">
        <f>(LG26V[[#This Row],[CANTIDAD INICIAL BARRAS]]+LG26V[[#This Row],[ENTRADAS BARRAS]]-LG26V[[#This Row],[SALIDA BARRAS]])</f>
        <v>16</v>
      </c>
      <c r="F20" s="34">
        <v>200</v>
      </c>
      <c r="G20" s="18">
        <v>105</v>
      </c>
      <c r="H20" s="18">
        <v>10</v>
      </c>
      <c r="I20" s="26">
        <f>(LG26V[[#This Row],["J" PRECIO VENTA ]]/LG26V[[#This Row],[BARRAS]])</f>
        <v>20</v>
      </c>
      <c r="J20" s="26">
        <f>(LG26V[[#This Row],["J"PRECIO COMPRA ]]/LG26V[[#This Row],[BARRAS]])</f>
        <v>10.5</v>
      </c>
      <c r="K20" s="26">
        <f>SUMIF(entradas26[CODIGO],LG26V[[#This Row],[CODIGO ]],entradas26[[CAN JUEGOS ]])</f>
        <v>0</v>
      </c>
      <c r="L20" s="26">
        <f>SUMIF(entradas26[CODIGO],LG26V[[#This Row],[CODIGO ]],entradas26[CAN BARRAS])</f>
        <v>0</v>
      </c>
      <c r="M20" s="26">
        <f>SUMIF(salidas26[[CODIGO ]],LG26V[[#This Row],[CODIGO ]],salidas26[[CANT JUEGOS ]])</f>
        <v>2</v>
      </c>
      <c r="N20" s="26">
        <f>SUMIF(salidas26[[CODIGO ]],LG26V[[#This Row],[CODIGO ]],salidas26[CANT BARRAS])</f>
        <v>0</v>
      </c>
      <c r="O20" s="26">
        <f>(LG26V[[#This Row],["J"PRECIO COMPRA ]]*LG26V[[#This Row],[STOCK JUEGOS]])</f>
        <v>1575</v>
      </c>
      <c r="P20" s="26">
        <f>(LG26V[[#This Row],["J" PRECIO VENTA ]]*LG26V[[#This Row],[STOCK JUEGOS]])</f>
        <v>3000</v>
      </c>
      <c r="Q20" s="26">
        <f>(LG26V[[#This Row],["B"PRECIO COMPRA]]*LG26V[[#This Row],[STOCK BARRAS]])</f>
        <v>168</v>
      </c>
      <c r="R20" s="26">
        <f>(LG26V[[#This Row],["B"PRECIO VENTA ]]*LG26V[[#This Row],[STOCK BARRAS]])</f>
        <v>320</v>
      </c>
      <c r="S20" s="28">
        <v>17</v>
      </c>
      <c r="T20" s="28">
        <v>16</v>
      </c>
      <c r="U20">
        <v>5.64</v>
      </c>
      <c r="W20" t="s">
        <v>51</v>
      </c>
    </row>
    <row r="21" spans="1:23" ht="15.75">
      <c r="A21">
        <v>17</v>
      </c>
      <c r="B21" s="19">
        <v>1042</v>
      </c>
      <c r="C21" s="20" t="s">
        <v>52</v>
      </c>
      <c r="D21" s="26">
        <f>(LG26V[[#This Row],[CANTIDAD INICIAL JUEGO ]]+LG26V[[#This Row],[ENTRADAS JUEGOS ]]-LG26V[[#This Row],[SALIDAS JUEGOS]])</f>
        <v>6</v>
      </c>
      <c r="E21" s="26">
        <f>(LG26V[[#This Row],[CANTIDAD INICIAL BARRAS]]+LG26V[[#This Row],[ENTRADAS BARRAS]]-LG26V[[#This Row],[SALIDA BARRAS]])</f>
        <v>2</v>
      </c>
      <c r="F21" s="34">
        <v>250</v>
      </c>
      <c r="G21" s="18">
        <v>245</v>
      </c>
      <c r="H21" s="18">
        <v>10</v>
      </c>
      <c r="I21" s="26">
        <f>(LG26V[[#This Row],["J" PRECIO VENTA ]]/LG26V[[#This Row],[BARRAS]])</f>
        <v>25</v>
      </c>
      <c r="J21" s="26">
        <f>(LG26V[[#This Row],["J"PRECIO COMPRA ]]/LG26V[[#This Row],[BARRAS]])</f>
        <v>24.5</v>
      </c>
      <c r="K21" s="26">
        <f>SUMIF(entradas26[CODIGO],LG26V[[#This Row],[CODIGO ]],entradas26[[CAN JUEGOS ]])</f>
        <v>0</v>
      </c>
      <c r="L21" s="26">
        <f>SUMIF(entradas26[CODIGO],LG26V[[#This Row],[CODIGO ]],entradas26[CAN BARRAS])</f>
        <v>10</v>
      </c>
      <c r="M21" s="26">
        <f>SUMIF(salidas26[[CODIGO ]],LG26V[[#This Row],[CODIGO ]],salidas26[[CANT JUEGOS ]])</f>
        <v>2</v>
      </c>
      <c r="N21" s="26">
        <f>SUMIF(salidas26[[CODIGO ]],LG26V[[#This Row],[CODIGO ]],salidas26[CANT BARRAS])</f>
        <v>8</v>
      </c>
      <c r="O21" s="26">
        <f>(LG26V[[#This Row],["J"PRECIO COMPRA ]]*LG26V[[#This Row],[STOCK JUEGOS]])</f>
        <v>1470</v>
      </c>
      <c r="P21" s="26">
        <f>(LG26V[[#This Row],["J" PRECIO VENTA ]]*LG26V[[#This Row],[STOCK JUEGOS]])</f>
        <v>1500</v>
      </c>
      <c r="Q21" s="26">
        <f>(LG26V[[#This Row],["B"PRECIO COMPRA]]*LG26V[[#This Row],[STOCK BARRAS]])</f>
        <v>49</v>
      </c>
      <c r="R21" s="26">
        <f>(LG26V[[#This Row],["B"PRECIO VENTA ]]*LG26V[[#This Row],[STOCK BARRAS]])</f>
        <v>50</v>
      </c>
      <c r="S21" s="28">
        <v>8</v>
      </c>
      <c r="T21" s="28"/>
      <c r="U21">
        <v>7.85</v>
      </c>
      <c r="W21" t="s">
        <v>53</v>
      </c>
    </row>
    <row r="22" spans="1:23" ht="15.75">
      <c r="A22">
        <v>18</v>
      </c>
      <c r="B22" s="19">
        <v>1045</v>
      </c>
      <c r="C22" s="21" t="s">
        <v>54</v>
      </c>
      <c r="D22" s="26">
        <f>(LG26V[[#This Row],[CANTIDAD INICIAL JUEGO ]]+LG26V[[#This Row],[ENTRADAS JUEGOS ]]-LG26V[[#This Row],[SALIDAS JUEGOS]])</f>
        <v>12</v>
      </c>
      <c r="E22" s="26">
        <f>(LG26V[[#This Row],[CANTIDAD INICIAL BARRAS]]+LG26V[[#This Row],[ENTRADAS BARRAS]]-LG26V[[#This Row],[SALIDA BARRAS]])</f>
        <v>0</v>
      </c>
      <c r="F22" s="34">
        <v>140</v>
      </c>
      <c r="G22" s="18">
        <v>30</v>
      </c>
      <c r="H22" s="18">
        <v>1</v>
      </c>
      <c r="I22" s="26">
        <f>(LG26V[[#This Row],["J" PRECIO VENTA ]]/LG26V[[#This Row],[BARRAS]])</f>
        <v>140</v>
      </c>
      <c r="J22" s="26">
        <f>(LG26V[[#This Row],["J"PRECIO COMPRA ]]/LG26V[[#This Row],[BARRAS]])</f>
        <v>30</v>
      </c>
      <c r="K22" s="26">
        <f>SUMIF(entradas26[CODIGO],LG26V[[#This Row],[CODIGO ]],entradas26[[CAN JUEGOS ]])</f>
        <v>0</v>
      </c>
      <c r="L22" s="26">
        <f>SUMIF(entradas26[CODIGO],LG26V[[#This Row],[CODIGO ]],entradas26[CAN BARRAS])</f>
        <v>0</v>
      </c>
      <c r="M22" s="26">
        <f>SUMIF(salidas26[[CODIGO ]],LG26V[[#This Row],[CODIGO ]],salidas26[[CANT JUEGOS ]])</f>
        <v>1</v>
      </c>
      <c r="N22" s="26">
        <f>SUMIF(salidas26[[CODIGO ]],LG26V[[#This Row],[CODIGO ]],salidas26[CANT BARRAS])</f>
        <v>0</v>
      </c>
      <c r="O22" s="26">
        <f>(LG26V[[#This Row],["J"PRECIO COMPRA ]]*LG26V[[#This Row],[STOCK JUEGOS]])</f>
        <v>360</v>
      </c>
      <c r="P22" s="26">
        <f>(LG26V[[#This Row],["J" PRECIO VENTA ]]*LG26V[[#This Row],[STOCK JUEGOS]])</f>
        <v>1680</v>
      </c>
      <c r="Q22" s="26">
        <f>(LG26V[[#This Row],["B"PRECIO COMPRA]]*LG26V[[#This Row],[STOCK BARRAS]])</f>
        <v>0</v>
      </c>
      <c r="R22" s="26">
        <f>(LG26V[[#This Row],["B"PRECIO VENTA ]]*LG26V[[#This Row],[STOCK BARRAS]])</f>
        <v>0</v>
      </c>
      <c r="S22" s="28">
        <v>13</v>
      </c>
      <c r="T22" s="28"/>
      <c r="U22">
        <v>2.15</v>
      </c>
      <c r="W22" t="s">
        <v>55</v>
      </c>
    </row>
    <row r="23" spans="1:23" ht="15.75">
      <c r="A23">
        <v>19</v>
      </c>
      <c r="B23" s="19">
        <v>1048</v>
      </c>
      <c r="C23" s="20" t="s">
        <v>56</v>
      </c>
      <c r="D23" s="26">
        <f>(LG26V[[#This Row],[CANTIDAD INICIAL JUEGO ]]+LG26V[[#This Row],[ENTRADAS JUEGOS ]]-LG26V[[#This Row],[SALIDAS JUEGOS]])</f>
        <v>19</v>
      </c>
      <c r="E23" s="26">
        <f>(LG26V[[#This Row],[CANTIDAD INICIAL BARRAS]]+LG26V[[#This Row],[ENTRADAS BARRAS]]-LG26V[[#This Row],[SALIDA BARRAS]])</f>
        <v>3</v>
      </c>
      <c r="F23" s="34">
        <v>180</v>
      </c>
      <c r="G23" s="18">
        <v>96</v>
      </c>
      <c r="H23" s="18">
        <v>5</v>
      </c>
      <c r="I23" s="26">
        <f>(LG26V[[#This Row],["J" PRECIO VENTA ]]/LG26V[[#This Row],[BARRAS]])</f>
        <v>36</v>
      </c>
      <c r="J23" s="26">
        <f>(LG26V[[#This Row],["J"PRECIO COMPRA ]]/LG26V[[#This Row],[BARRAS]])</f>
        <v>19.2</v>
      </c>
      <c r="K23" s="26">
        <f>SUMIF(entradas26[CODIGO],LG26V[[#This Row],[CODIGO ]],entradas26[[CAN JUEGOS ]])</f>
        <v>20</v>
      </c>
      <c r="L23" s="26">
        <f>SUMIF(entradas26[CODIGO],LG26V[[#This Row],[CODIGO ]],entradas26[CAN BARRAS])</f>
        <v>0</v>
      </c>
      <c r="M23" s="26">
        <f>SUMIF(salidas26[[CODIGO ]],LG26V[[#This Row],[CODIGO ]],salidas26[[CANT JUEGOS ]])</f>
        <v>1</v>
      </c>
      <c r="N23" s="26">
        <f>SUMIF(salidas26[[CODIGO ]],LG26V[[#This Row],[CODIGO ]],salidas26[CANT BARRAS])</f>
        <v>0</v>
      </c>
      <c r="O23" s="26">
        <f>(LG26V[[#This Row],["J"PRECIO COMPRA ]]*LG26V[[#This Row],[STOCK JUEGOS]])</f>
        <v>1824</v>
      </c>
      <c r="P23" s="26">
        <f>(LG26V[[#This Row],["J" PRECIO VENTA ]]*LG26V[[#This Row],[STOCK JUEGOS]])</f>
        <v>3420</v>
      </c>
      <c r="Q23" s="26">
        <f>(LG26V[[#This Row],["B"PRECIO COMPRA]]*LG26V[[#This Row],[STOCK BARRAS]])</f>
        <v>57.599999999999994</v>
      </c>
      <c r="R23" s="26">
        <f>(LG26V[[#This Row],["B"PRECIO VENTA ]]*LG26V[[#This Row],[STOCK BARRAS]])</f>
        <v>108</v>
      </c>
      <c r="S23" s="28"/>
      <c r="T23" s="28">
        <v>3</v>
      </c>
      <c r="U23">
        <v>4.8</v>
      </c>
      <c r="W23" t="s">
        <v>899</v>
      </c>
    </row>
    <row r="24" spans="1:23" ht="15.75">
      <c r="A24">
        <v>20</v>
      </c>
      <c r="B24" s="19">
        <v>1049</v>
      </c>
      <c r="C24" s="21" t="s">
        <v>57</v>
      </c>
      <c r="D24" s="26">
        <f>(LG26V[[#This Row],[CANTIDAD INICIAL JUEGO ]]+LG26V[[#This Row],[ENTRADAS JUEGOS ]]-LG26V[[#This Row],[SALIDAS JUEGOS]])</f>
        <v>21</v>
      </c>
      <c r="E24" s="26">
        <f>(LG26V[[#This Row],[CANTIDAD INICIAL BARRAS]]+LG26V[[#This Row],[ENTRADAS BARRAS]]-LG26V[[#This Row],[SALIDA BARRAS]])</f>
        <v>0</v>
      </c>
      <c r="F24" s="34">
        <v>180</v>
      </c>
      <c r="G24" s="18">
        <v>65</v>
      </c>
      <c r="H24" s="18">
        <v>3</v>
      </c>
      <c r="I24" s="26">
        <f>(LG26V[[#This Row],["J" PRECIO VENTA ]]/LG26V[[#This Row],[BARRAS]])</f>
        <v>60</v>
      </c>
      <c r="J24" s="26">
        <f>(LG26V[[#This Row],["J"PRECIO COMPRA ]]/LG26V[[#This Row],[BARRAS]])</f>
        <v>21.666666666666668</v>
      </c>
      <c r="K24" s="26">
        <f>SUMIF(entradas26[CODIGO],LG26V[[#This Row],[CODIGO ]],entradas26[[CAN JUEGOS ]])</f>
        <v>20</v>
      </c>
      <c r="L24" s="26">
        <f>SUMIF(entradas26[CODIGO],LG26V[[#This Row],[CODIGO ]],entradas26[CAN BARRAS])</f>
        <v>0</v>
      </c>
      <c r="M24" s="26">
        <f>SUMIF(salidas26[[CODIGO ]],LG26V[[#This Row],[CODIGO ]],salidas26[[CANT JUEGOS ]])</f>
        <v>9</v>
      </c>
      <c r="N24" s="26">
        <f>SUMIF(salidas26[[CODIGO ]],LG26V[[#This Row],[CODIGO ]],salidas26[CANT BARRAS])</f>
        <v>0</v>
      </c>
      <c r="O24" s="26">
        <f>(LG26V[[#This Row],["J"PRECIO COMPRA ]]*LG26V[[#This Row],[STOCK JUEGOS]])</f>
        <v>1365</v>
      </c>
      <c r="P24" s="26">
        <f>(LG26V[[#This Row],["J" PRECIO VENTA ]]*LG26V[[#This Row],[STOCK JUEGOS]])</f>
        <v>3780</v>
      </c>
      <c r="Q24" s="26">
        <f>(LG26V[[#This Row],["B"PRECIO COMPRA]]*LG26V[[#This Row],[STOCK BARRAS]])</f>
        <v>0</v>
      </c>
      <c r="R24" s="26">
        <f>(LG26V[[#This Row],["B"PRECIO VENTA ]]*LG26V[[#This Row],[STOCK BARRAS]])</f>
        <v>0</v>
      </c>
      <c r="S24" s="28">
        <v>10</v>
      </c>
      <c r="T24" s="28"/>
      <c r="U24">
        <v>3</v>
      </c>
      <c r="W24" t="s">
        <v>58</v>
      </c>
    </row>
    <row r="25" spans="1:23" ht="15.75">
      <c r="A25">
        <v>21</v>
      </c>
      <c r="B25" s="19">
        <v>1057</v>
      </c>
      <c r="C25" s="20" t="s">
        <v>59</v>
      </c>
      <c r="D25" s="26">
        <f>(LG26V[[#This Row],[CANTIDAD INICIAL JUEGO ]]+LG26V[[#This Row],[ENTRADAS JUEGOS ]]-LG26V[[#This Row],[SALIDAS JUEGOS]])</f>
        <v>0</v>
      </c>
      <c r="E25" s="26">
        <f>(LG26V[[#This Row],[CANTIDAD INICIAL BARRAS]]+LG26V[[#This Row],[ENTRADAS BARRAS]]-LG26V[[#This Row],[SALIDA BARRAS]])</f>
        <v>0</v>
      </c>
      <c r="F25" s="34">
        <v>180</v>
      </c>
      <c r="G25" s="18">
        <v>100</v>
      </c>
      <c r="H25" s="18">
        <v>4</v>
      </c>
      <c r="I25" s="26">
        <f>(LG26V[[#This Row],["J" PRECIO VENTA ]]/LG26V[[#This Row],[BARRAS]])</f>
        <v>45</v>
      </c>
      <c r="J25" s="26">
        <f>(LG26V[[#This Row],["J"PRECIO COMPRA ]]/LG26V[[#This Row],[BARRAS]])</f>
        <v>25</v>
      </c>
      <c r="K25" s="26">
        <f>SUMIF(entradas26[CODIGO],LG26V[[#This Row],[CODIGO ]],entradas26[[CAN JUEGOS ]])</f>
        <v>0</v>
      </c>
      <c r="L25" s="26">
        <f>SUMIF(entradas26[CODIGO],LG26V[[#This Row],[CODIGO ]],entradas26[CAN BARRAS])</f>
        <v>0</v>
      </c>
      <c r="M25" s="26">
        <f>SUMIF(salidas26[[CODIGO ]],LG26V[[#This Row],[CODIGO ]],salidas26[[CANT JUEGOS ]])</f>
        <v>1</v>
      </c>
      <c r="N25" s="26">
        <f>SUMIF(salidas26[[CODIGO ]],LG26V[[#This Row],[CODIGO ]],salidas26[CANT BARRAS])</f>
        <v>0</v>
      </c>
      <c r="O25" s="26">
        <f>(LG26V[[#This Row],["J"PRECIO COMPRA ]]*LG26V[[#This Row],[STOCK JUEGOS]])</f>
        <v>0</v>
      </c>
      <c r="P25" s="26">
        <f>(LG26V[[#This Row],["J" PRECIO VENTA ]]*LG26V[[#This Row],[STOCK JUEGOS]])</f>
        <v>0</v>
      </c>
      <c r="Q25" s="26">
        <f>(LG26V[[#This Row],["B"PRECIO COMPRA]]*LG26V[[#This Row],[STOCK BARRAS]])</f>
        <v>0</v>
      </c>
      <c r="R25" s="26">
        <f>(LG26V[[#This Row],["B"PRECIO VENTA ]]*LG26V[[#This Row],[STOCK BARRAS]])</f>
        <v>0</v>
      </c>
      <c r="S25" s="28">
        <v>1</v>
      </c>
      <c r="T25" s="28"/>
      <c r="U25">
        <v>3.7</v>
      </c>
    </row>
    <row r="26" spans="1:23" ht="15.75">
      <c r="A26">
        <v>22</v>
      </c>
      <c r="B26" s="19">
        <v>1060</v>
      </c>
      <c r="C26" s="21" t="s">
        <v>60</v>
      </c>
      <c r="D26" s="26">
        <f>(LG26V[[#This Row],[CANTIDAD INICIAL JUEGO ]]+LG26V[[#This Row],[ENTRADAS JUEGOS ]]-LG26V[[#This Row],[SALIDAS JUEGOS]])</f>
        <v>10</v>
      </c>
      <c r="E26" s="26">
        <f>(LG26V[[#This Row],[CANTIDAD INICIAL BARRAS]]+LG26V[[#This Row],[ENTRADAS BARRAS]]-LG26V[[#This Row],[SALIDA BARRAS]])</f>
        <v>4</v>
      </c>
      <c r="F26" s="34">
        <v>180</v>
      </c>
      <c r="G26" s="18">
        <v>85</v>
      </c>
      <c r="H26" s="18">
        <v>6</v>
      </c>
      <c r="I26" s="26">
        <f>(LG26V[[#This Row],["J" PRECIO VENTA ]]/LG26V[[#This Row],[BARRAS]])</f>
        <v>30</v>
      </c>
      <c r="J26" s="26">
        <f>(LG26V[[#This Row],["J"PRECIO COMPRA ]]/LG26V[[#This Row],[BARRAS]])</f>
        <v>14.166666666666666</v>
      </c>
      <c r="K26" s="26">
        <f>SUMIF(entradas26[CODIGO],LG26V[[#This Row],[CODIGO ]],entradas26[[CAN JUEGOS ]])</f>
        <v>0</v>
      </c>
      <c r="L26" s="26">
        <f>SUMIF(entradas26[CODIGO],LG26V[[#This Row],[CODIGO ]],entradas26[CAN BARRAS])</f>
        <v>0</v>
      </c>
      <c r="M26" s="26">
        <f>SUMIF(salidas26[[CODIGO ]],LG26V[[#This Row],[CODIGO ]],salidas26[[CANT JUEGOS ]])</f>
        <v>6</v>
      </c>
      <c r="N26" s="26">
        <f>SUMIF(salidas26[[CODIGO ]],LG26V[[#This Row],[CODIGO ]],salidas26[CANT BARRAS])</f>
        <v>0</v>
      </c>
      <c r="O26" s="26">
        <f>(LG26V[[#This Row],["J"PRECIO COMPRA ]]*LG26V[[#This Row],[STOCK JUEGOS]])</f>
        <v>850</v>
      </c>
      <c r="P26" s="26">
        <f>(LG26V[[#This Row],["J" PRECIO VENTA ]]*LG26V[[#This Row],[STOCK JUEGOS]])</f>
        <v>1800</v>
      </c>
      <c r="Q26" s="26">
        <f>(LG26V[[#This Row],["B"PRECIO COMPRA]]*LG26V[[#This Row],[STOCK BARRAS]])</f>
        <v>56.666666666666664</v>
      </c>
      <c r="R26" s="26">
        <f>(LG26V[[#This Row],["B"PRECIO VENTA ]]*LG26V[[#This Row],[STOCK BARRAS]])</f>
        <v>120</v>
      </c>
      <c r="S26" s="28">
        <v>16</v>
      </c>
      <c r="T26" s="28">
        <v>4</v>
      </c>
      <c r="U26">
        <v>3.3</v>
      </c>
      <c r="W26" t="s">
        <v>61</v>
      </c>
    </row>
    <row r="27" spans="1:23" ht="15.75">
      <c r="A27">
        <v>23</v>
      </c>
      <c r="B27" s="19">
        <v>1063</v>
      </c>
      <c r="C27" s="23" t="s">
        <v>62</v>
      </c>
      <c r="D27" s="26">
        <f>(LG26V[[#This Row],[CANTIDAD INICIAL JUEGO ]]+LG26V[[#This Row],[ENTRADAS JUEGOS ]]-LG26V[[#This Row],[SALIDAS JUEGOS]])</f>
        <v>16</v>
      </c>
      <c r="E27" s="26">
        <f>(LG26V[[#This Row],[CANTIDAD INICIAL BARRAS]]+LG26V[[#This Row],[ENTRADAS BARRAS]]-LG26V[[#This Row],[SALIDA BARRAS]])</f>
        <v>3</v>
      </c>
      <c r="F27" s="34">
        <v>180</v>
      </c>
      <c r="G27" s="18">
        <v>82</v>
      </c>
      <c r="H27" s="18">
        <v>5</v>
      </c>
      <c r="I27" s="26">
        <f>(LG26V[[#This Row],["J" PRECIO VENTA ]]/LG26V[[#This Row],[BARRAS]])</f>
        <v>36</v>
      </c>
      <c r="J27" s="26">
        <f>(LG26V[[#This Row],["J"PRECIO COMPRA ]]/LG26V[[#This Row],[BARRAS]])</f>
        <v>16.399999999999999</v>
      </c>
      <c r="K27" s="26">
        <f>SUMIF(entradas26[CODIGO],LG26V[[#This Row],[CODIGO ]],entradas26[[CAN JUEGOS ]])</f>
        <v>0</v>
      </c>
      <c r="L27" s="26">
        <f>SUMIF(entradas26[CODIGO],LG26V[[#This Row],[CODIGO ]],entradas26[CAN BARRAS])</f>
        <v>5</v>
      </c>
      <c r="M27" s="26">
        <f>SUMIF(salidas26[[CODIGO ]],LG26V[[#This Row],[CODIGO ]],salidas26[[CANT JUEGOS ]])</f>
        <v>7</v>
      </c>
      <c r="N27" s="26">
        <f>SUMIF(salidas26[[CODIGO ]],LG26V[[#This Row],[CODIGO ]],salidas26[CANT BARRAS])</f>
        <v>4</v>
      </c>
      <c r="O27" s="26">
        <f>(LG26V[[#This Row],["J"PRECIO COMPRA ]]*LG26V[[#This Row],[STOCK JUEGOS]])</f>
        <v>1312</v>
      </c>
      <c r="P27" s="26">
        <f>(LG26V[[#This Row],["J" PRECIO VENTA ]]*LG26V[[#This Row],[STOCK JUEGOS]])</f>
        <v>2880</v>
      </c>
      <c r="Q27" s="26">
        <f>(LG26V[[#This Row],["B"PRECIO COMPRA]]*LG26V[[#This Row],[STOCK BARRAS]])</f>
        <v>49.199999999999996</v>
      </c>
      <c r="R27" s="26">
        <f>(LG26V[[#This Row],["B"PRECIO VENTA ]]*LG26V[[#This Row],[STOCK BARRAS]])</f>
        <v>108</v>
      </c>
      <c r="S27" s="28">
        <v>23</v>
      </c>
      <c r="T27" s="28">
        <v>2</v>
      </c>
      <c r="U27">
        <v>3.55</v>
      </c>
      <c r="W27" t="s">
        <v>63</v>
      </c>
    </row>
    <row r="28" spans="1:23" ht="15.75">
      <c r="A28">
        <v>24</v>
      </c>
      <c r="B28" s="19">
        <v>1064</v>
      </c>
      <c r="C28" s="74" t="s">
        <v>64</v>
      </c>
      <c r="D28" s="26">
        <f>(LG26V[[#This Row],[CANTIDAD INICIAL JUEGO ]]+LG26V[[#This Row],[ENTRADAS JUEGOS ]]-LG26V[[#This Row],[SALIDAS JUEGOS]])</f>
        <v>17</v>
      </c>
      <c r="E28" s="26">
        <f>(LG26V[[#This Row],[CANTIDAD INICIAL BARRAS]]+LG26V[[#This Row],[ENTRADAS BARRAS]]-LG26V[[#This Row],[SALIDA BARRAS]])</f>
        <v>0</v>
      </c>
      <c r="F28" s="34">
        <v>180</v>
      </c>
      <c r="G28" s="18">
        <v>104</v>
      </c>
      <c r="H28" s="18">
        <v>8</v>
      </c>
      <c r="I28" s="26">
        <f>(LG26V[[#This Row],["J" PRECIO VENTA ]]/LG26V[[#This Row],[BARRAS]])</f>
        <v>22.5</v>
      </c>
      <c r="J28" s="26">
        <f>(LG26V[[#This Row],["J"PRECIO COMPRA ]]/LG26V[[#This Row],[BARRAS]])</f>
        <v>13</v>
      </c>
      <c r="K28" s="26">
        <f>SUMIF(entradas26[CODIGO],LG26V[[#This Row],[CODIGO ]],entradas26[[CAN JUEGOS ]])</f>
        <v>0</v>
      </c>
      <c r="L28" s="26">
        <f>SUMIF(entradas26[CODIGO],LG26V[[#This Row],[CODIGO ]],entradas26[CAN BARRAS])</f>
        <v>0</v>
      </c>
      <c r="M28" s="26">
        <f>SUMIF(salidas26[[CODIGO ]],LG26V[[#This Row],[CODIGO ]],salidas26[[CANT JUEGOS ]])</f>
        <v>3</v>
      </c>
      <c r="N28" s="26">
        <f>SUMIF(salidas26[[CODIGO ]],LG26V[[#This Row],[CODIGO ]],salidas26[CANT BARRAS])</f>
        <v>0</v>
      </c>
      <c r="O28" s="26">
        <f>(LG26V[[#This Row],["J"PRECIO COMPRA ]]*LG26V[[#This Row],[STOCK JUEGOS]])</f>
        <v>1768</v>
      </c>
      <c r="P28" s="26">
        <f>(LG26V[[#This Row],["J" PRECIO VENTA ]]*LG26V[[#This Row],[STOCK JUEGOS]])</f>
        <v>3060</v>
      </c>
      <c r="Q28" s="26">
        <f>(LG26V[[#This Row],["B"PRECIO COMPRA]]*LG26V[[#This Row],[STOCK BARRAS]])</f>
        <v>0</v>
      </c>
      <c r="R28" s="26">
        <f>(LG26V[[#This Row],["B"PRECIO VENTA ]]*LG26V[[#This Row],[STOCK BARRAS]])</f>
        <v>0</v>
      </c>
      <c r="S28" s="28">
        <v>20</v>
      </c>
      <c r="T28" s="28"/>
      <c r="U28">
        <v>4.5</v>
      </c>
      <c r="W28" t="s">
        <v>65</v>
      </c>
    </row>
    <row r="29" spans="1:23" ht="15.75">
      <c r="B29" s="19">
        <v>1065</v>
      </c>
      <c r="C29" s="74" t="s">
        <v>751</v>
      </c>
      <c r="D29" s="26">
        <f>(LG26V[[#This Row],[CANTIDAD INICIAL JUEGO ]]+LG26V[[#This Row],[ENTRADAS JUEGOS ]]-LG26V[[#This Row],[SALIDAS JUEGOS]])</f>
        <v>19</v>
      </c>
      <c r="E29" s="26">
        <f>(LG26V[[#This Row],[CANTIDAD INICIAL BARRAS]]+LG26V[[#This Row],[ENTRADAS BARRAS]]-LG26V[[#This Row],[SALIDA BARRAS]])</f>
        <v>0</v>
      </c>
      <c r="F29" s="86">
        <v>180</v>
      </c>
      <c r="G29" s="18">
        <v>80</v>
      </c>
      <c r="H29" s="18"/>
      <c r="I29" s="26" t="e">
        <f>(LG26V[[#This Row],["J" PRECIO VENTA ]]/LG26V[[#This Row],[BARRAS]])</f>
        <v>#DIV/0!</v>
      </c>
      <c r="J29" s="26" t="e">
        <f>(LG26V[[#This Row],["J"PRECIO COMPRA ]]/LG26V[[#This Row],[BARRAS]])</f>
        <v>#DIV/0!</v>
      </c>
      <c r="K29" s="26">
        <f>SUMIF(entradas26[CODIGO],LG26V[[#This Row],[CODIGO ]],entradas26[[CAN JUEGOS ]])</f>
        <v>20</v>
      </c>
      <c r="L29" s="26">
        <f>SUMIF(entradas26[CODIGO],LG26V[[#This Row],[CODIGO ]],entradas26[CAN BARRAS])</f>
        <v>0</v>
      </c>
      <c r="M29" s="26">
        <f>SUMIF(salidas26[[CODIGO ]],LG26V[[#This Row],[CODIGO ]],salidas26[[CANT JUEGOS ]])</f>
        <v>1</v>
      </c>
      <c r="N29" s="26">
        <f>SUMIF(salidas26[[CODIGO ]],LG26V[[#This Row],[CODIGO ]],salidas26[CANT BARRAS])</f>
        <v>0</v>
      </c>
      <c r="O29" s="26">
        <f>(LG26V[[#This Row],["J"PRECIO COMPRA ]]*LG26V[[#This Row],[STOCK JUEGOS]])</f>
        <v>1520</v>
      </c>
      <c r="P29" s="26">
        <f>(LG26V[[#This Row],["J" PRECIO VENTA ]]*LG26V[[#This Row],[STOCK JUEGOS]])</f>
        <v>3420</v>
      </c>
      <c r="Q29" s="26" t="e">
        <f>(LG26V[[#This Row],["B"PRECIO COMPRA]]*LG26V[[#This Row],[STOCK BARRAS]])</f>
        <v>#DIV/0!</v>
      </c>
      <c r="R29" s="26" t="e">
        <f>(LG26V[[#This Row],["B"PRECIO VENTA ]]*LG26V[[#This Row],[STOCK BARRAS]])</f>
        <v>#DIV/0!</v>
      </c>
      <c r="S29" s="28"/>
      <c r="T29" s="28"/>
      <c r="U29">
        <v>4.2</v>
      </c>
      <c r="W29" t="s">
        <v>752</v>
      </c>
    </row>
    <row r="30" spans="1:23" ht="15.75">
      <c r="A30">
        <v>25</v>
      </c>
      <c r="B30" s="19">
        <v>1066</v>
      </c>
      <c r="C30" s="20" t="s">
        <v>66</v>
      </c>
      <c r="D30" s="26">
        <f>(LG26V[[#This Row],[CANTIDAD INICIAL JUEGO ]]+LG26V[[#This Row],[ENTRADAS JUEGOS ]]-LG26V[[#This Row],[SALIDAS JUEGOS]])</f>
        <v>25</v>
      </c>
      <c r="E30" s="26">
        <f>(LG26V[[#This Row],[CANTIDAD INICIAL BARRAS]]+LG26V[[#This Row],[ENTRADAS BARRAS]]-LG26V[[#This Row],[SALIDA BARRAS]])</f>
        <v>11</v>
      </c>
      <c r="F30" s="34">
        <v>240</v>
      </c>
      <c r="G30" s="18">
        <v>96</v>
      </c>
      <c r="H30" s="18">
        <v>12</v>
      </c>
      <c r="I30" s="26">
        <f>(LG26V[[#This Row],["J" PRECIO VENTA ]]/LG26V[[#This Row],[BARRAS]])</f>
        <v>20</v>
      </c>
      <c r="J30" s="26">
        <f>(LG26V[[#This Row],["J"PRECIO COMPRA ]]/LG26V[[#This Row],[BARRAS]])</f>
        <v>8</v>
      </c>
      <c r="K30" s="26">
        <f>SUMIF(entradas26[CODIGO],LG26V[[#This Row],[CODIGO ]],entradas26[[CAN JUEGOS ]])</f>
        <v>20</v>
      </c>
      <c r="L30" s="26">
        <f>SUMIF(entradas26[CODIGO],LG26V[[#This Row],[CODIGO ]],entradas26[CAN BARRAS])</f>
        <v>0</v>
      </c>
      <c r="M30" s="26">
        <f>SUMIF(salidas26[[CODIGO ]],LG26V[[#This Row],[CODIGO ]],salidas26[[CANT JUEGOS ]])</f>
        <v>6</v>
      </c>
      <c r="N30" s="26">
        <f>SUMIF(salidas26[[CODIGO ]],LG26V[[#This Row],[CODIGO ]],salidas26[CANT BARRAS])</f>
        <v>0</v>
      </c>
      <c r="O30" s="26">
        <f>(LG26V[[#This Row],["J"PRECIO COMPRA ]]*LG26V[[#This Row],[STOCK JUEGOS]])</f>
        <v>2400</v>
      </c>
      <c r="P30" s="26">
        <f>(LG26V[[#This Row],["J" PRECIO VENTA ]]*LG26V[[#This Row],[STOCK JUEGOS]])</f>
        <v>6000</v>
      </c>
      <c r="Q30" s="26">
        <f>(LG26V[[#This Row],["B"PRECIO COMPRA]]*LG26V[[#This Row],[STOCK BARRAS]])</f>
        <v>88</v>
      </c>
      <c r="R30" s="26">
        <f>(LG26V[[#This Row],["B"PRECIO VENTA ]]*LG26V[[#This Row],[STOCK BARRAS]])</f>
        <v>220</v>
      </c>
      <c r="S30" s="31">
        <v>11</v>
      </c>
      <c r="T30" s="31">
        <v>11</v>
      </c>
      <c r="U30">
        <v>4.8</v>
      </c>
      <c r="W30" t="s">
        <v>67</v>
      </c>
    </row>
    <row r="31" spans="1:23">
      <c r="A31">
        <v>26</v>
      </c>
      <c r="B31" s="19">
        <v>1067</v>
      </c>
      <c r="C31" s="20" t="s">
        <v>68</v>
      </c>
      <c r="D31" s="26">
        <f>(LG26V[[#This Row],[CANTIDAD INICIAL JUEGO ]]+LG26V[[#This Row],[ENTRADAS JUEGOS ]]-LG26V[[#This Row],[SALIDAS JUEGOS]])</f>
        <v>18</v>
      </c>
      <c r="E31" s="26">
        <f>(LG26V[[#This Row],[CANTIDAD INICIAL BARRAS]]+LG26V[[#This Row],[ENTRADAS BARRAS]]-LG26V[[#This Row],[SALIDA BARRAS]])</f>
        <v>0</v>
      </c>
      <c r="F31" s="30">
        <v>250</v>
      </c>
      <c r="G31" s="18">
        <v>150</v>
      </c>
      <c r="H31" s="18">
        <v>2</v>
      </c>
      <c r="I31" s="26">
        <f>(LG26V[[#This Row],["J" PRECIO VENTA ]]/LG26V[[#This Row],[BARRAS]])</f>
        <v>125</v>
      </c>
      <c r="J31" s="26">
        <f>(LG26V[[#This Row],["J"PRECIO COMPRA ]]/LG26V[[#This Row],[BARRAS]])</f>
        <v>75</v>
      </c>
      <c r="K31" s="26">
        <f>SUMIF(entradas26[CODIGO],LG26V[[#This Row],[CODIGO ]],entradas26[[CAN JUEGOS ]])</f>
        <v>20</v>
      </c>
      <c r="L31" s="26">
        <f>SUMIF(entradas26[CODIGO],LG26V[[#This Row],[CODIGO ]],entradas26[CAN BARRAS])</f>
        <v>0</v>
      </c>
      <c r="M31" s="26">
        <f>SUMIF(salidas26[[CODIGO ]],LG26V[[#This Row],[CODIGO ]],salidas26[[CANT JUEGOS ]])</f>
        <v>4</v>
      </c>
      <c r="N31" s="26">
        <f>SUMIF(salidas26[[CODIGO ]],LG26V[[#This Row],[CODIGO ]],salidas26[CANT BARRAS])</f>
        <v>0</v>
      </c>
      <c r="O31" s="26">
        <f>(LG26V[[#This Row],["J"PRECIO COMPRA ]]*LG26V[[#This Row],[STOCK JUEGOS]])</f>
        <v>2700</v>
      </c>
      <c r="P31" s="26">
        <f>(LG26V[[#This Row],["J" PRECIO VENTA ]]*LG26V[[#This Row],[STOCK JUEGOS]])</f>
        <v>4500</v>
      </c>
      <c r="Q31" s="26">
        <f>(LG26V[[#This Row],["B"PRECIO COMPRA]]*LG26V[[#This Row],[STOCK BARRAS]])</f>
        <v>0</v>
      </c>
      <c r="R31" s="26">
        <f>(LG26V[[#This Row],["B"PRECIO VENTA ]]*LG26V[[#This Row],[STOCK BARRAS]])</f>
        <v>0</v>
      </c>
      <c r="S31" s="28">
        <v>2</v>
      </c>
      <c r="T31" s="28"/>
      <c r="U31">
        <v>4.5999999999999996</v>
      </c>
      <c r="W31" t="s">
        <v>782</v>
      </c>
    </row>
    <row r="32" spans="1:23" ht="15.75">
      <c r="A32">
        <v>27</v>
      </c>
      <c r="B32" s="19">
        <v>1069</v>
      </c>
      <c r="C32" s="20" t="s">
        <v>69</v>
      </c>
      <c r="D32" s="26">
        <f>(LG26V[[#This Row],[CANTIDAD INICIAL JUEGO ]]+LG26V[[#This Row],[ENTRADAS JUEGOS ]]-LG26V[[#This Row],[SALIDAS JUEGOS]])</f>
        <v>22</v>
      </c>
      <c r="E32" s="26">
        <f>(LG26V[[#This Row],[CANTIDAD INICIAL BARRAS]]+LG26V[[#This Row],[ENTRADAS BARRAS]]-LG26V[[#This Row],[SALIDA BARRAS]])</f>
        <v>11</v>
      </c>
      <c r="F32" s="34">
        <v>250</v>
      </c>
      <c r="G32" s="18">
        <v>116</v>
      </c>
      <c r="H32" s="18">
        <v>8</v>
      </c>
      <c r="I32" s="26">
        <f>(LG26V[[#This Row],["J" PRECIO VENTA ]]/LG26V[[#This Row],[BARRAS]])</f>
        <v>31.25</v>
      </c>
      <c r="J32" s="26">
        <f>(LG26V[[#This Row],["J"PRECIO COMPRA ]]/LG26V[[#This Row],[BARRAS]])</f>
        <v>14.5</v>
      </c>
      <c r="K32" s="26">
        <f>SUMIF(entradas26[CODIGO],LG26V[[#This Row],[CODIGO ]],entradas26[[CAN JUEGOS ]])</f>
        <v>20</v>
      </c>
      <c r="L32" s="26">
        <f>SUMIF(entradas26[CODIGO],LG26V[[#This Row],[CODIGO ]],entradas26[CAN BARRAS])</f>
        <v>0</v>
      </c>
      <c r="M32" s="26">
        <f>SUMIF(salidas26[[CODIGO ]],LG26V[[#This Row],[CODIGO ]],salidas26[[CANT JUEGOS ]])</f>
        <v>19</v>
      </c>
      <c r="N32" s="26">
        <f>SUMIF(salidas26[[CODIGO ]],LG26V[[#This Row],[CODIGO ]],salidas26[CANT BARRAS])</f>
        <v>0</v>
      </c>
      <c r="O32" s="26">
        <f>(LG26V[[#This Row],["J"PRECIO COMPRA ]]*LG26V[[#This Row],[STOCK JUEGOS]])</f>
        <v>2552</v>
      </c>
      <c r="P32" s="26">
        <f>(LG26V[[#This Row],["J" PRECIO VENTA ]]*LG26V[[#This Row],[STOCK JUEGOS]])</f>
        <v>5500</v>
      </c>
      <c r="Q32" s="26">
        <f>(LG26V[[#This Row],["B"PRECIO COMPRA]]*LG26V[[#This Row],[STOCK BARRAS]])</f>
        <v>159.5</v>
      </c>
      <c r="R32" s="26">
        <f>(LG26V[[#This Row],["B"PRECIO VENTA ]]*LG26V[[#This Row],[STOCK BARRAS]])</f>
        <v>343.75</v>
      </c>
      <c r="S32" s="28">
        <v>21</v>
      </c>
      <c r="T32" s="28">
        <v>11</v>
      </c>
      <c r="U32">
        <v>6.1</v>
      </c>
      <c r="W32" t="s">
        <v>70</v>
      </c>
    </row>
    <row r="33" spans="1:23" ht="15.75">
      <c r="A33">
        <v>28</v>
      </c>
      <c r="B33" s="19">
        <v>1072</v>
      </c>
      <c r="C33" s="20" t="s">
        <v>71</v>
      </c>
      <c r="D33" s="26">
        <f>(LG26V[[#This Row],[CANTIDAD INICIAL JUEGO ]]+LG26V[[#This Row],[ENTRADAS JUEGOS ]]-LG26V[[#This Row],[SALIDAS JUEGOS]])</f>
        <v>15</v>
      </c>
      <c r="E33" s="26">
        <f>(LG26V[[#This Row],[CANTIDAD INICIAL BARRAS]]+LG26V[[#This Row],[ENTRADAS BARRAS]]-LG26V[[#This Row],[SALIDA BARRAS]])</f>
        <v>0</v>
      </c>
      <c r="F33" s="34">
        <v>200</v>
      </c>
      <c r="G33" s="18">
        <v>103</v>
      </c>
      <c r="H33" s="18">
        <v>2</v>
      </c>
      <c r="I33" s="26">
        <f>(LG26V[[#This Row],["J" PRECIO VENTA ]]/LG26V[[#This Row],[BARRAS]])</f>
        <v>100</v>
      </c>
      <c r="J33" s="26">
        <f>(LG26V[[#This Row],["J"PRECIO COMPRA ]]/LG26V[[#This Row],[BARRAS]])</f>
        <v>51.5</v>
      </c>
      <c r="K33" s="26">
        <f>SUMIF(entradas26[CODIGO],LG26V[[#This Row],[CODIGO ]],entradas26[[CAN JUEGOS ]])</f>
        <v>0</v>
      </c>
      <c r="L33" s="26">
        <f>SUMIF(entradas26[CODIGO],LG26V[[#This Row],[CODIGO ]],entradas26[CAN BARRAS])</f>
        <v>0</v>
      </c>
      <c r="M33" s="26">
        <f>SUMIF(salidas26[[CODIGO ]],LG26V[[#This Row],[CODIGO ]],salidas26[[CANT JUEGOS ]])</f>
        <v>3</v>
      </c>
      <c r="N33" s="26">
        <f>SUMIF(salidas26[[CODIGO ]],LG26V[[#This Row],[CODIGO ]],salidas26[CANT BARRAS])</f>
        <v>0</v>
      </c>
      <c r="O33" s="26">
        <f>(LG26V[[#This Row],["J"PRECIO COMPRA ]]*LG26V[[#This Row],[STOCK JUEGOS]])</f>
        <v>1545</v>
      </c>
      <c r="P33" s="26">
        <f>(LG26V[[#This Row],["J" PRECIO VENTA ]]*LG26V[[#This Row],[STOCK JUEGOS]])</f>
        <v>3000</v>
      </c>
      <c r="Q33" s="26">
        <f>(LG26V[[#This Row],["B"PRECIO COMPRA]]*LG26V[[#This Row],[STOCK BARRAS]])</f>
        <v>0</v>
      </c>
      <c r="R33" s="26">
        <f>(LG26V[[#This Row],["B"PRECIO VENTA ]]*LG26V[[#This Row],[STOCK BARRAS]])</f>
        <v>0</v>
      </c>
      <c r="S33" s="28">
        <v>18</v>
      </c>
      <c r="T33" s="28"/>
      <c r="W33" t="s">
        <v>72</v>
      </c>
    </row>
    <row r="34" spans="1:23" ht="15.75">
      <c r="A34">
        <v>29</v>
      </c>
      <c r="B34" s="19">
        <v>1073</v>
      </c>
      <c r="C34" s="21" t="s">
        <v>73</v>
      </c>
      <c r="D34" s="26">
        <f>(LG26V[[#This Row],[CANTIDAD INICIAL JUEGO ]]+LG26V[[#This Row],[ENTRADAS JUEGOS ]]-LG26V[[#This Row],[SALIDAS JUEGOS]])</f>
        <v>2</v>
      </c>
      <c r="E34" s="26">
        <f>(LG26V[[#This Row],[CANTIDAD INICIAL BARRAS]]+LG26V[[#This Row],[ENTRADAS BARRAS]]-LG26V[[#This Row],[SALIDA BARRAS]])</f>
        <v>0</v>
      </c>
      <c r="F34" s="34">
        <v>250</v>
      </c>
      <c r="G34" s="18">
        <v>135</v>
      </c>
      <c r="H34" s="18">
        <v>2</v>
      </c>
      <c r="I34" s="26">
        <f>(LG26V[[#This Row],["J" PRECIO VENTA ]]/LG26V[[#This Row],[BARRAS]])</f>
        <v>125</v>
      </c>
      <c r="J34" s="26">
        <f>(LG26V[[#This Row],["J"PRECIO COMPRA ]]/LG26V[[#This Row],[BARRAS]])</f>
        <v>67.5</v>
      </c>
      <c r="K34" s="26">
        <f>SUMIF(entradas26[CODIGO],LG26V[[#This Row],[CODIGO ]],entradas26[[CAN JUEGOS ]])</f>
        <v>0</v>
      </c>
      <c r="L34" s="26">
        <f>SUMIF(entradas26[CODIGO],LG26V[[#This Row],[CODIGO ]],entradas26[CAN BARRAS])</f>
        <v>0</v>
      </c>
      <c r="M34" s="26">
        <f>SUMIF(salidas26[[CODIGO ]],LG26V[[#This Row],[CODIGO ]],salidas26[[CANT JUEGOS ]])</f>
        <v>0</v>
      </c>
      <c r="N34" s="26">
        <f>SUMIF(salidas26[[CODIGO ]],LG26V[[#This Row],[CODIGO ]],salidas26[CANT BARRAS])</f>
        <v>0</v>
      </c>
      <c r="O34" s="26">
        <f>(LG26V[[#This Row],["J"PRECIO COMPRA ]]*LG26V[[#This Row],[STOCK JUEGOS]])</f>
        <v>270</v>
      </c>
      <c r="P34" s="26">
        <f>(LG26V[[#This Row],["J" PRECIO VENTA ]]*LG26V[[#This Row],[STOCK JUEGOS]])</f>
        <v>500</v>
      </c>
      <c r="Q34" s="26">
        <f>(LG26V[[#This Row],["B"PRECIO COMPRA]]*LG26V[[#This Row],[STOCK BARRAS]])</f>
        <v>0</v>
      </c>
      <c r="R34" s="26">
        <f>(LG26V[[#This Row],["B"PRECIO VENTA ]]*LG26V[[#This Row],[STOCK BARRAS]])</f>
        <v>0</v>
      </c>
      <c r="S34" s="28">
        <v>2</v>
      </c>
      <c r="T34" s="28"/>
    </row>
    <row r="35" spans="1:23" ht="15.75">
      <c r="B35" s="19">
        <v>1074</v>
      </c>
      <c r="C35" s="74" t="s">
        <v>895</v>
      </c>
      <c r="D35" s="26">
        <f>(LG26V[[#This Row],[CANTIDAD INICIAL JUEGO ]]+LG26V[[#This Row],[ENTRADAS JUEGOS ]]-LG26V[[#This Row],[SALIDAS JUEGOS]])</f>
        <v>20</v>
      </c>
      <c r="E35" s="26">
        <f>(LG26V[[#This Row],[CANTIDAD INICIAL BARRAS]]+LG26V[[#This Row],[ENTRADAS BARRAS]]-LG26V[[#This Row],[SALIDA BARRAS]])</f>
        <v>0</v>
      </c>
      <c r="F35" s="34">
        <v>220</v>
      </c>
      <c r="G35" s="18">
        <v>64</v>
      </c>
      <c r="H35" s="18"/>
      <c r="I35" s="26" t="e">
        <f>(LG26V[[#This Row],["J" PRECIO VENTA ]]/LG26V[[#This Row],[BARRAS]])</f>
        <v>#DIV/0!</v>
      </c>
      <c r="J35" s="26" t="e">
        <f>(LG26V[[#This Row],["J"PRECIO COMPRA ]]/LG26V[[#This Row],[BARRAS]])</f>
        <v>#DIV/0!</v>
      </c>
      <c r="K35" s="26">
        <f>SUMIF(entradas26[CODIGO],LG26V[[#This Row],[CODIGO ]],entradas26[[CAN JUEGOS ]])</f>
        <v>20</v>
      </c>
      <c r="L35" s="26">
        <f>SUMIF(entradas26[CODIGO],LG26V[[#This Row],[CODIGO ]],entradas26[CAN BARRAS])</f>
        <v>0</v>
      </c>
      <c r="M35" s="26">
        <f>SUMIF(salidas26[[CODIGO ]],LG26V[[#This Row],[CODIGO ]],salidas26[[CANT JUEGOS ]])</f>
        <v>0</v>
      </c>
      <c r="N35" s="26">
        <f>SUMIF(salidas26[[CODIGO ]],LG26V[[#This Row],[CODIGO ]],salidas26[CANT BARRAS])</f>
        <v>0</v>
      </c>
      <c r="O35" s="26">
        <f>(LG26V[[#This Row],["J"PRECIO COMPRA ]]*LG26V[[#This Row],[STOCK JUEGOS]])</f>
        <v>1280</v>
      </c>
      <c r="P35" s="26">
        <f>(LG26V[[#This Row],["J" PRECIO VENTA ]]*LG26V[[#This Row],[STOCK JUEGOS]])</f>
        <v>4400</v>
      </c>
      <c r="Q35" s="26" t="e">
        <f>(LG26V[[#This Row],["B"PRECIO COMPRA]]*LG26V[[#This Row],[STOCK BARRAS]])</f>
        <v>#DIV/0!</v>
      </c>
      <c r="R35" s="26" t="e">
        <f>(LG26V[[#This Row],["B"PRECIO VENTA ]]*LG26V[[#This Row],[STOCK BARRAS]])</f>
        <v>#DIV/0!</v>
      </c>
      <c r="S35" s="28"/>
      <c r="T35" s="28"/>
      <c r="U35">
        <v>3.2</v>
      </c>
      <c r="W35" t="s">
        <v>896</v>
      </c>
    </row>
    <row r="36" spans="1:23" ht="15.75">
      <c r="A36">
        <v>30</v>
      </c>
      <c r="B36" s="19">
        <v>1075</v>
      </c>
      <c r="C36" s="21" t="s">
        <v>74</v>
      </c>
      <c r="D36" s="26">
        <f>(LG26V[[#This Row],[CANTIDAD INICIAL JUEGO ]]+LG26V[[#This Row],[ENTRADAS JUEGOS ]]-LG26V[[#This Row],[SALIDAS JUEGOS]])</f>
        <v>17</v>
      </c>
      <c r="E36" s="26">
        <f>(LG26V[[#This Row],[CANTIDAD INICIAL BARRAS]]+LG26V[[#This Row],[ENTRADAS BARRAS]]-LG26V[[#This Row],[SALIDA BARRAS]])</f>
        <v>0</v>
      </c>
      <c r="F36" s="34">
        <v>240</v>
      </c>
      <c r="G36" s="18">
        <v>57</v>
      </c>
      <c r="H36" s="18">
        <v>8</v>
      </c>
      <c r="I36" s="26">
        <f>(LG26V[[#This Row],["J" PRECIO VENTA ]]/LG26V[[#This Row],[BARRAS]])</f>
        <v>30</v>
      </c>
      <c r="J36" s="26">
        <f>(LG26V[[#This Row],["J"PRECIO COMPRA ]]/LG26V[[#This Row],[BARRAS]])</f>
        <v>7.125</v>
      </c>
      <c r="K36" s="26">
        <f>SUMIF(entradas26[CODIGO],LG26V[[#This Row],[CODIGO ]],entradas26[[CAN JUEGOS ]])</f>
        <v>20</v>
      </c>
      <c r="L36" s="26">
        <f>SUMIF(entradas26[CODIGO],LG26V[[#This Row],[CODIGO ]],entradas26[CAN BARRAS])</f>
        <v>0</v>
      </c>
      <c r="M36" s="26">
        <f>SUMIF(salidas26[[CODIGO ]],LG26V[[#This Row],[CODIGO ]],salidas26[[CANT JUEGOS ]])</f>
        <v>9</v>
      </c>
      <c r="N36" s="26">
        <f>SUMIF(salidas26[[CODIGO ]],LG26V[[#This Row],[CODIGO ]],salidas26[CANT BARRAS])</f>
        <v>0</v>
      </c>
      <c r="O36" s="26">
        <f>(LG26V[[#This Row],["J"PRECIO COMPRA ]]*LG26V[[#This Row],[STOCK JUEGOS]])</f>
        <v>969</v>
      </c>
      <c r="P36" s="26">
        <f>(LG26V[[#This Row],["J" PRECIO VENTA ]]*LG26V[[#This Row],[STOCK JUEGOS]])</f>
        <v>4080</v>
      </c>
      <c r="Q36" s="26">
        <f>(LG26V[[#This Row],["B"PRECIO COMPRA]]*LG26V[[#This Row],[STOCK BARRAS]])</f>
        <v>0</v>
      </c>
      <c r="R36" s="26">
        <f>(LG26V[[#This Row],["B"PRECIO VENTA ]]*LG26V[[#This Row],[STOCK BARRAS]])</f>
        <v>0</v>
      </c>
      <c r="S36" s="28">
        <v>6</v>
      </c>
      <c r="T36" s="28"/>
      <c r="U36">
        <v>3</v>
      </c>
      <c r="W36" t="s">
        <v>75</v>
      </c>
    </row>
    <row r="37" spans="1:23" ht="15.75">
      <c r="A37">
        <v>31</v>
      </c>
      <c r="B37" s="19">
        <v>1076</v>
      </c>
      <c r="C37" s="21" t="s">
        <v>76</v>
      </c>
      <c r="D37" s="26">
        <f>(LG26V[[#This Row],[CANTIDAD INICIAL JUEGO ]]+LG26V[[#This Row],[ENTRADAS JUEGOS ]]-LG26V[[#This Row],[SALIDAS JUEGOS]])</f>
        <v>1</v>
      </c>
      <c r="E37" s="26">
        <f>(LG26V[[#This Row],[CANTIDAD INICIAL BARRAS]]+LG26V[[#This Row],[ENTRADAS BARRAS]]-LG26V[[#This Row],[SALIDA BARRAS]])</f>
        <v>0</v>
      </c>
      <c r="F37" s="34">
        <v>250</v>
      </c>
      <c r="G37" s="18">
        <v>200</v>
      </c>
      <c r="H37" s="18">
        <v>8</v>
      </c>
      <c r="I37" s="26">
        <f>(LG26V[[#This Row],["J" PRECIO VENTA ]]/LG26V[[#This Row],[BARRAS]])</f>
        <v>31.25</v>
      </c>
      <c r="J37" s="26">
        <f>(LG26V[[#This Row],["J"PRECIO COMPRA ]]/LG26V[[#This Row],[BARRAS]])</f>
        <v>25</v>
      </c>
      <c r="K37" s="26">
        <f>SUMIF(entradas26[CODIGO],LG26V[[#This Row],[CODIGO ]],entradas26[[CAN JUEGOS ]])</f>
        <v>0</v>
      </c>
      <c r="L37" s="26">
        <f>SUMIF(entradas26[CODIGO],LG26V[[#This Row],[CODIGO ]],entradas26[CAN BARRAS])</f>
        <v>0</v>
      </c>
      <c r="M37" s="26">
        <f>SUMIF(salidas26[[CODIGO ]],LG26V[[#This Row],[CODIGO ]],salidas26[[CANT JUEGOS ]])</f>
        <v>1</v>
      </c>
      <c r="N37" s="26">
        <f>SUMIF(salidas26[[CODIGO ]],LG26V[[#This Row],[CODIGO ]],salidas26[CANT BARRAS])</f>
        <v>0</v>
      </c>
      <c r="O37" s="26">
        <f>(LG26V[[#This Row],["J"PRECIO COMPRA ]]*LG26V[[#This Row],[STOCK JUEGOS]])</f>
        <v>200</v>
      </c>
      <c r="P37" s="26">
        <f>(LG26V[[#This Row],["J" PRECIO VENTA ]]*LG26V[[#This Row],[STOCK JUEGOS]])</f>
        <v>250</v>
      </c>
      <c r="Q37" s="26">
        <f>(LG26V[[#This Row],["B"PRECIO COMPRA]]*LG26V[[#This Row],[STOCK BARRAS]])</f>
        <v>0</v>
      </c>
      <c r="R37" s="26">
        <f>(LG26V[[#This Row],["B"PRECIO VENTA ]]*LG26V[[#This Row],[STOCK BARRAS]])</f>
        <v>0</v>
      </c>
      <c r="S37" s="28">
        <v>2</v>
      </c>
      <c r="T37" s="28"/>
    </row>
    <row r="38" spans="1:23" ht="15.75">
      <c r="A38">
        <v>32</v>
      </c>
      <c r="B38" s="19">
        <v>1078</v>
      </c>
      <c r="C38" s="21" t="s">
        <v>77</v>
      </c>
      <c r="D38" s="26">
        <f>(LG26V[[#This Row],[CANTIDAD INICIAL JUEGO ]]+LG26V[[#This Row],[ENTRADAS JUEGOS ]]-LG26V[[#This Row],[SALIDAS JUEGOS]])</f>
        <v>22</v>
      </c>
      <c r="E38" s="26">
        <f>(LG26V[[#This Row],[CANTIDAD INICIAL BARRAS]]+LG26V[[#This Row],[ENTRADAS BARRAS]]-LG26V[[#This Row],[SALIDA BARRAS]])</f>
        <v>9</v>
      </c>
      <c r="F38" s="34">
        <v>280</v>
      </c>
      <c r="G38" s="18">
        <v>144</v>
      </c>
      <c r="H38" s="18">
        <v>10</v>
      </c>
      <c r="I38" s="26">
        <f>(LG26V[[#This Row],["J" PRECIO VENTA ]]/LG26V[[#This Row],[BARRAS]])</f>
        <v>28</v>
      </c>
      <c r="J38" s="26">
        <f>(LG26V[[#This Row],["J"PRECIO COMPRA ]]/LG26V[[#This Row],[BARRAS]])</f>
        <v>14.4</v>
      </c>
      <c r="K38" s="26">
        <f>SUMIF(entradas26[CODIGO],LG26V[[#This Row],[CODIGO ]],entradas26[[CAN JUEGOS ]])</f>
        <v>20</v>
      </c>
      <c r="L38" s="26">
        <f>SUMIF(entradas26[CODIGO],LG26V[[#This Row],[CODIGO ]],entradas26[CAN BARRAS])</f>
        <v>0</v>
      </c>
      <c r="M38" s="26">
        <f>SUMIF(salidas26[[CODIGO ]],LG26V[[#This Row],[CODIGO ]],salidas26[[CANT JUEGOS ]])</f>
        <v>12</v>
      </c>
      <c r="N38" s="26">
        <f>SUMIF(salidas26[[CODIGO ]],LG26V[[#This Row],[CODIGO ]],salidas26[CANT BARRAS])</f>
        <v>0</v>
      </c>
      <c r="O38" s="26">
        <f>(LG26V[[#This Row],["J"PRECIO COMPRA ]]*LG26V[[#This Row],[STOCK JUEGOS]])</f>
        <v>3168</v>
      </c>
      <c r="P38" s="26">
        <f>(LG26V[[#This Row],["J" PRECIO VENTA ]]*LG26V[[#This Row],[STOCK JUEGOS]])</f>
        <v>6160</v>
      </c>
      <c r="Q38" s="26">
        <f>(LG26V[[#This Row],["B"PRECIO COMPRA]]*LG26V[[#This Row],[STOCK BARRAS]])</f>
        <v>129.6</v>
      </c>
      <c r="R38" s="26">
        <f>(LG26V[[#This Row],["B"PRECIO VENTA ]]*LG26V[[#This Row],[STOCK BARRAS]])</f>
        <v>252</v>
      </c>
      <c r="S38" s="28">
        <v>14</v>
      </c>
      <c r="T38" s="28">
        <v>9</v>
      </c>
      <c r="U38">
        <v>7.6</v>
      </c>
      <c r="W38" t="s">
        <v>78</v>
      </c>
    </row>
    <row r="39" spans="1:23" ht="15.75">
      <c r="A39">
        <v>33</v>
      </c>
      <c r="B39" s="19">
        <v>1081</v>
      </c>
      <c r="C39" s="20" t="s">
        <v>79</v>
      </c>
      <c r="D39" s="26">
        <f>(LG26V[[#This Row],[CANTIDAD INICIAL JUEGO ]]+LG26V[[#This Row],[ENTRADAS JUEGOS ]]-LG26V[[#This Row],[SALIDAS JUEGOS]])</f>
        <v>2</v>
      </c>
      <c r="E39" s="26">
        <f>(LG26V[[#This Row],[CANTIDAD INICIAL BARRAS]]+LG26V[[#This Row],[ENTRADAS BARRAS]]-LG26V[[#This Row],[SALIDA BARRAS]])</f>
        <v>0</v>
      </c>
      <c r="F39" s="34">
        <v>200</v>
      </c>
      <c r="G39" s="18">
        <v>120</v>
      </c>
      <c r="H39" s="18">
        <v>2</v>
      </c>
      <c r="I39" s="26">
        <f>(LG26V[[#This Row],["J" PRECIO VENTA ]]/LG26V[[#This Row],[BARRAS]])</f>
        <v>100</v>
      </c>
      <c r="J39" s="26">
        <f>(LG26V[[#This Row],["J"PRECIO COMPRA ]]/LG26V[[#This Row],[BARRAS]])</f>
        <v>60</v>
      </c>
      <c r="K39" s="26">
        <f>SUMIF(entradas26[CODIGO],LG26V[[#This Row],[CODIGO ]],entradas26[[CAN JUEGOS ]])</f>
        <v>0</v>
      </c>
      <c r="L39" s="26">
        <f>SUMIF(entradas26[CODIGO],LG26V[[#This Row],[CODIGO ]],entradas26[CAN BARRAS])</f>
        <v>0</v>
      </c>
      <c r="M39" s="26">
        <f>SUMIF(salidas26[[CODIGO ]],LG26V[[#This Row],[CODIGO ]],salidas26[[CANT JUEGOS ]])</f>
        <v>2</v>
      </c>
      <c r="N39" s="26">
        <f>SUMIF(salidas26[[CODIGO ]],LG26V[[#This Row],[CODIGO ]],salidas26[CANT BARRAS])</f>
        <v>0</v>
      </c>
      <c r="O39" s="26">
        <f>(LG26V[[#This Row],["J"PRECIO COMPRA ]]*LG26V[[#This Row],[STOCK JUEGOS]])</f>
        <v>240</v>
      </c>
      <c r="P39" s="26">
        <f>(LG26V[[#This Row],["J" PRECIO VENTA ]]*LG26V[[#This Row],[STOCK JUEGOS]])</f>
        <v>400</v>
      </c>
      <c r="Q39" s="26">
        <f>(LG26V[[#This Row],["B"PRECIO COMPRA]]*LG26V[[#This Row],[STOCK BARRAS]])</f>
        <v>0</v>
      </c>
      <c r="R39" s="26">
        <f>(LG26V[[#This Row],["B"PRECIO VENTA ]]*LG26V[[#This Row],[STOCK BARRAS]])</f>
        <v>0</v>
      </c>
      <c r="S39" s="28">
        <v>4</v>
      </c>
      <c r="T39" s="28"/>
    </row>
    <row r="40" spans="1:23" ht="15.75">
      <c r="A40">
        <v>34</v>
      </c>
      <c r="B40" s="19">
        <v>1084</v>
      </c>
      <c r="C40" s="20" t="s">
        <v>80</v>
      </c>
      <c r="D40" s="26">
        <f>(LG26V[[#This Row],[CANTIDAD INICIAL JUEGO ]]+LG26V[[#This Row],[ENTRADAS JUEGOS ]]-LG26V[[#This Row],[SALIDAS JUEGOS]])</f>
        <v>0</v>
      </c>
      <c r="E40" s="26">
        <f>(LG26V[[#This Row],[CANTIDAD INICIAL BARRAS]]+LG26V[[#This Row],[ENTRADAS BARRAS]]-LG26V[[#This Row],[SALIDA BARRAS]])</f>
        <v>6</v>
      </c>
      <c r="F40" s="34">
        <v>250</v>
      </c>
      <c r="G40" s="18">
        <v>120</v>
      </c>
      <c r="H40" s="18">
        <v>8</v>
      </c>
      <c r="I40" s="26">
        <f>(LG26V[[#This Row],["J" PRECIO VENTA ]]/LG26V[[#This Row],[BARRAS]])</f>
        <v>31.25</v>
      </c>
      <c r="J40" s="26">
        <f>(LG26V[[#This Row],["J"PRECIO COMPRA ]]/LG26V[[#This Row],[BARRAS]])</f>
        <v>15</v>
      </c>
      <c r="K40" s="26">
        <f>SUMIF(entradas26[CODIGO],LG26V[[#This Row],[CODIGO ]],entradas26[[CAN JUEGOS ]])</f>
        <v>0</v>
      </c>
      <c r="L40" s="26">
        <f>SUMIF(entradas26[CODIGO],LG26V[[#This Row],[CODIGO ]],entradas26[CAN BARRAS])</f>
        <v>0</v>
      </c>
      <c r="M40" s="26">
        <f>SUMIF(salidas26[[CODIGO ]],LG26V[[#This Row],[CODIGO ]],salidas26[[CANT JUEGOS ]])</f>
        <v>0</v>
      </c>
      <c r="N40" s="26">
        <f>SUMIF(salidas26[[CODIGO ]],LG26V[[#This Row],[CODIGO ]],salidas26[CANT BARRAS])</f>
        <v>0</v>
      </c>
      <c r="O40" s="26">
        <f>(LG26V[[#This Row],["J"PRECIO COMPRA ]]*LG26V[[#This Row],[STOCK JUEGOS]])</f>
        <v>0</v>
      </c>
      <c r="P40" s="26">
        <f>(LG26V[[#This Row],["J" PRECIO VENTA ]]*LG26V[[#This Row],[STOCK JUEGOS]])</f>
        <v>0</v>
      </c>
      <c r="Q40" s="26">
        <f>(LG26V[[#This Row],["B"PRECIO COMPRA]]*LG26V[[#This Row],[STOCK BARRAS]])</f>
        <v>90</v>
      </c>
      <c r="R40" s="26">
        <f>(LG26V[[#This Row],["B"PRECIO VENTA ]]*LG26V[[#This Row],[STOCK BARRAS]])</f>
        <v>187.5</v>
      </c>
      <c r="S40" s="28">
        <v>0</v>
      </c>
      <c r="T40" s="28">
        <v>6</v>
      </c>
    </row>
    <row r="41" spans="1:23" ht="15.75">
      <c r="A41">
        <v>35</v>
      </c>
      <c r="B41" s="19">
        <v>1087</v>
      </c>
      <c r="C41" s="20" t="s">
        <v>81</v>
      </c>
      <c r="D41" s="26">
        <f>(LG26V[[#This Row],[CANTIDAD INICIAL JUEGO ]]+LG26V[[#This Row],[ENTRADAS JUEGOS ]]-LG26V[[#This Row],[SALIDAS JUEGOS]])</f>
        <v>13</v>
      </c>
      <c r="E41" s="26">
        <f>(LG26V[[#This Row],[CANTIDAD INICIAL BARRAS]]+LG26V[[#This Row],[ENTRADAS BARRAS]]-LG26V[[#This Row],[SALIDA BARRAS]])</f>
        <v>7</v>
      </c>
      <c r="F41" s="34">
        <v>220</v>
      </c>
      <c r="G41" s="18">
        <v>114</v>
      </c>
      <c r="H41" s="18">
        <v>8</v>
      </c>
      <c r="I41" s="26">
        <f>(LG26V[[#This Row],["J" PRECIO VENTA ]]/LG26V[[#This Row],[BARRAS]])</f>
        <v>27.5</v>
      </c>
      <c r="J41" s="26">
        <f>(LG26V[[#This Row],["J"PRECIO COMPRA ]]/LG26V[[#This Row],[BARRAS]])</f>
        <v>14.25</v>
      </c>
      <c r="K41" s="26">
        <f>SUMIF(entradas26[CODIGO],LG26V[[#This Row],[CODIGO ]],entradas26[[CAN JUEGOS ]])</f>
        <v>0</v>
      </c>
      <c r="L41" s="26">
        <f>SUMIF(entradas26[CODIGO],LG26V[[#This Row],[CODIGO ]],entradas26[CAN BARRAS])</f>
        <v>0</v>
      </c>
      <c r="M41" s="26">
        <f>SUMIF(salidas26[[CODIGO ]],LG26V[[#This Row],[CODIGO ]],salidas26[[CANT JUEGOS ]])</f>
        <v>3</v>
      </c>
      <c r="N41" s="26">
        <f>SUMIF(salidas26[[CODIGO ]],LG26V[[#This Row],[CODIGO ]],salidas26[CANT BARRAS])</f>
        <v>0</v>
      </c>
      <c r="O41" s="26">
        <f>(LG26V[[#This Row],["J"PRECIO COMPRA ]]*LG26V[[#This Row],[STOCK JUEGOS]])</f>
        <v>1482</v>
      </c>
      <c r="P41" s="26">
        <f>(LG26V[[#This Row],["J" PRECIO VENTA ]]*LG26V[[#This Row],[STOCK JUEGOS]])</f>
        <v>2860</v>
      </c>
      <c r="Q41" s="26">
        <f>(LG26V[[#This Row],["B"PRECIO COMPRA]]*LG26V[[#This Row],[STOCK BARRAS]])</f>
        <v>99.75</v>
      </c>
      <c r="R41" s="26">
        <f>(LG26V[[#This Row],["B"PRECIO VENTA ]]*LG26V[[#This Row],[STOCK BARRAS]])</f>
        <v>192.5</v>
      </c>
      <c r="S41" s="28">
        <v>16</v>
      </c>
      <c r="T41" s="28">
        <v>7</v>
      </c>
      <c r="U41">
        <v>5.7</v>
      </c>
      <c r="W41" t="s">
        <v>82</v>
      </c>
    </row>
    <row r="42" spans="1:23" ht="15.75">
      <c r="A42">
        <v>36</v>
      </c>
      <c r="B42" s="19">
        <v>1090</v>
      </c>
      <c r="C42" s="21" t="s">
        <v>83</v>
      </c>
      <c r="D42" s="26">
        <f>(LG26V[[#This Row],[CANTIDAD INICIAL JUEGO ]]+LG26V[[#This Row],[ENTRADAS JUEGOS ]]-LG26V[[#This Row],[SALIDAS JUEGOS]])</f>
        <v>15</v>
      </c>
      <c r="E42" s="26">
        <f>(LG26V[[#This Row],[CANTIDAD INICIAL BARRAS]]+LG26V[[#This Row],[ENTRADAS BARRAS]]-LG26V[[#This Row],[SALIDA BARRAS]])</f>
        <v>0</v>
      </c>
      <c r="F42" s="34">
        <v>250</v>
      </c>
      <c r="G42" s="18">
        <v>63</v>
      </c>
      <c r="H42" s="18">
        <v>2</v>
      </c>
      <c r="I42" s="26">
        <f>(LG26V[[#This Row],["J" PRECIO VENTA ]]/LG26V[[#This Row],[BARRAS]])</f>
        <v>125</v>
      </c>
      <c r="J42" s="26">
        <f>(LG26V[[#This Row],["J"PRECIO COMPRA ]]/LG26V[[#This Row],[BARRAS]])</f>
        <v>31.5</v>
      </c>
      <c r="K42" s="26">
        <f>SUMIF(entradas26[CODIGO],LG26V[[#This Row],[CODIGO ]],entradas26[[CAN JUEGOS ]])</f>
        <v>0</v>
      </c>
      <c r="L42" s="26">
        <f>SUMIF(entradas26[CODIGO],LG26V[[#This Row],[CODIGO ]],entradas26[CAN BARRAS])</f>
        <v>0</v>
      </c>
      <c r="M42" s="26">
        <f>SUMIF(salidas26[[CODIGO ]],LG26V[[#This Row],[CODIGO ]],salidas26[[CANT JUEGOS ]])</f>
        <v>1</v>
      </c>
      <c r="N42" s="26">
        <f>SUMIF(salidas26[[CODIGO ]],LG26V[[#This Row],[CODIGO ]],salidas26[CANT BARRAS])</f>
        <v>0</v>
      </c>
      <c r="O42" s="26">
        <f>(LG26V[[#This Row],["J"PRECIO COMPRA ]]*LG26V[[#This Row],[STOCK JUEGOS]])</f>
        <v>945</v>
      </c>
      <c r="P42" s="26">
        <f>(LG26V[[#This Row],["J" PRECIO VENTA ]]*LG26V[[#This Row],[STOCK JUEGOS]])</f>
        <v>3750</v>
      </c>
      <c r="Q42" s="26">
        <f>(LG26V[[#This Row],["B"PRECIO COMPRA]]*LG26V[[#This Row],[STOCK BARRAS]])</f>
        <v>0</v>
      </c>
      <c r="R42" s="26">
        <f>(LG26V[[#This Row],["B"PRECIO VENTA ]]*LG26V[[#This Row],[STOCK BARRAS]])</f>
        <v>0</v>
      </c>
      <c r="S42" s="28">
        <v>16</v>
      </c>
      <c r="T42" s="28"/>
      <c r="U42">
        <v>4.5</v>
      </c>
      <c r="W42" t="s">
        <v>84</v>
      </c>
    </row>
    <row r="43" spans="1:23">
      <c r="A43">
        <v>37</v>
      </c>
      <c r="B43" s="19">
        <v>1094</v>
      </c>
      <c r="C43" s="74" t="s">
        <v>85</v>
      </c>
      <c r="D43" s="26">
        <f>(LG26V[[#This Row],[CANTIDAD INICIAL JUEGO ]]+LG26V[[#This Row],[ENTRADAS JUEGOS ]]-LG26V[[#This Row],[SALIDAS JUEGOS]])</f>
        <v>13</v>
      </c>
      <c r="E43" s="26">
        <f>(LG26V[[#This Row],[CANTIDAD INICIAL BARRAS]]+LG26V[[#This Row],[ENTRADAS BARRAS]]-LG26V[[#This Row],[SALIDA BARRAS]])</f>
        <v>6</v>
      </c>
      <c r="F43" s="35">
        <v>250</v>
      </c>
      <c r="G43" s="18">
        <v>96</v>
      </c>
      <c r="H43" s="18">
        <v>8</v>
      </c>
      <c r="I43" s="26">
        <f>(LG26V[[#This Row],["J" PRECIO VENTA ]]/LG26V[[#This Row],[BARRAS]])</f>
        <v>31.25</v>
      </c>
      <c r="J43" s="26">
        <f>(LG26V[[#This Row],["J"PRECIO COMPRA ]]/LG26V[[#This Row],[BARRAS]])</f>
        <v>12</v>
      </c>
      <c r="K43" s="26">
        <f>SUMIF(entradas26[CODIGO],LG26V[[#This Row],[CODIGO ]],entradas26[[CAN JUEGOS ]])</f>
        <v>0</v>
      </c>
      <c r="L43" s="26">
        <f>SUMIF(entradas26[CODIGO],LG26V[[#This Row],[CODIGO ]],entradas26[CAN BARRAS])</f>
        <v>0</v>
      </c>
      <c r="M43" s="26">
        <f>SUMIF(salidas26[[CODIGO ]],LG26V[[#This Row],[CODIGO ]],salidas26[[CANT JUEGOS ]])</f>
        <v>1</v>
      </c>
      <c r="N43" s="26">
        <f>SUMIF(salidas26[[CODIGO ]],LG26V[[#This Row],[CODIGO ]],salidas26[CANT BARRAS])</f>
        <v>0</v>
      </c>
      <c r="O43" s="26">
        <f>(LG26V[[#This Row],["J"PRECIO COMPRA ]]*LG26V[[#This Row],[STOCK JUEGOS]])</f>
        <v>1248</v>
      </c>
      <c r="P43" s="26">
        <f>(LG26V[[#This Row],["J" PRECIO VENTA ]]*LG26V[[#This Row],[STOCK JUEGOS]])</f>
        <v>3250</v>
      </c>
      <c r="Q43" s="26">
        <f>(LG26V[[#This Row],["B"PRECIO COMPRA]]*LG26V[[#This Row],[STOCK BARRAS]])</f>
        <v>72</v>
      </c>
      <c r="R43" s="26">
        <f>(LG26V[[#This Row],["B"PRECIO VENTA ]]*LG26V[[#This Row],[STOCK BARRAS]])</f>
        <v>187.5</v>
      </c>
      <c r="S43" s="39">
        <v>14</v>
      </c>
      <c r="T43" s="39">
        <v>6</v>
      </c>
      <c r="U43">
        <v>4.3600000000000003</v>
      </c>
      <c r="W43" t="s">
        <v>86</v>
      </c>
    </row>
    <row r="44" spans="1:23" ht="15.75">
      <c r="A44">
        <v>38</v>
      </c>
      <c r="B44" s="19">
        <v>1096</v>
      </c>
      <c r="C44" s="21" t="s">
        <v>87</v>
      </c>
      <c r="D44" s="26">
        <f>(LG26V[[#This Row],[CANTIDAD INICIAL JUEGO ]]+LG26V[[#This Row],[ENTRADAS JUEGOS ]]-LG26V[[#This Row],[SALIDAS JUEGOS]])</f>
        <v>11</v>
      </c>
      <c r="E44" s="26">
        <f>(LG26V[[#This Row],[CANTIDAD INICIAL BARRAS]]+LG26V[[#This Row],[ENTRADAS BARRAS]]-LG26V[[#This Row],[SALIDA BARRAS]])</f>
        <v>0</v>
      </c>
      <c r="F44" s="34">
        <v>260</v>
      </c>
      <c r="G44" s="18">
        <v>112</v>
      </c>
      <c r="H44" s="18">
        <v>8</v>
      </c>
      <c r="I44" s="26">
        <f>(LG26V[[#This Row],["J" PRECIO VENTA ]]/LG26V[[#This Row],[BARRAS]])</f>
        <v>32.5</v>
      </c>
      <c r="J44" s="26">
        <f>(LG26V[[#This Row],["J"PRECIO COMPRA ]]/LG26V[[#This Row],[BARRAS]])</f>
        <v>14</v>
      </c>
      <c r="K44" s="26">
        <f>SUMIF(entradas26[CODIGO],LG26V[[#This Row],[CODIGO ]],entradas26[[CAN JUEGOS ]])</f>
        <v>0</v>
      </c>
      <c r="L44" s="26">
        <f>SUMIF(entradas26[CODIGO],LG26V[[#This Row],[CODIGO ]],entradas26[CAN BARRAS])</f>
        <v>0</v>
      </c>
      <c r="M44" s="26">
        <f>SUMIF(salidas26[[CODIGO ]],LG26V[[#This Row],[CODIGO ]],salidas26[[CANT JUEGOS ]])</f>
        <v>2</v>
      </c>
      <c r="N44" s="26">
        <f>SUMIF(salidas26[[CODIGO ]],LG26V[[#This Row],[CODIGO ]],salidas26[CANT BARRAS])</f>
        <v>0</v>
      </c>
      <c r="O44" s="26">
        <f>(LG26V[[#This Row],["J"PRECIO COMPRA ]]*LG26V[[#This Row],[STOCK JUEGOS]])</f>
        <v>1232</v>
      </c>
      <c r="P44" s="26">
        <f>(LG26V[[#This Row],["J" PRECIO VENTA ]]*LG26V[[#This Row],[STOCK JUEGOS]])</f>
        <v>2860</v>
      </c>
      <c r="Q44" s="26">
        <f>(LG26V[[#This Row],["B"PRECIO COMPRA]]*LG26V[[#This Row],[STOCK BARRAS]])</f>
        <v>0</v>
      </c>
      <c r="R44" s="26">
        <f>(LG26V[[#This Row],["B"PRECIO VENTA ]]*LG26V[[#This Row],[STOCK BARRAS]])</f>
        <v>0</v>
      </c>
      <c r="S44" s="28">
        <v>13</v>
      </c>
      <c r="T44" s="28"/>
    </row>
    <row r="45" spans="1:23" ht="15.75">
      <c r="A45">
        <v>39</v>
      </c>
      <c r="B45" s="19">
        <v>1099</v>
      </c>
      <c r="C45" s="20" t="s">
        <v>88</v>
      </c>
      <c r="D45" s="26">
        <f>(LG26V[[#This Row],[CANTIDAD INICIAL JUEGO ]]+LG26V[[#This Row],[ENTRADAS JUEGOS ]]-LG26V[[#This Row],[SALIDAS JUEGOS]])</f>
        <v>6</v>
      </c>
      <c r="E45" s="26">
        <f>(LG26V[[#This Row],[CANTIDAD INICIAL BARRAS]]+LG26V[[#This Row],[ENTRADAS BARRAS]]-LG26V[[#This Row],[SALIDA BARRAS]])</f>
        <v>3</v>
      </c>
      <c r="F45" s="34">
        <v>220</v>
      </c>
      <c r="G45" s="18">
        <v>92</v>
      </c>
      <c r="H45" s="18">
        <v>4</v>
      </c>
      <c r="I45" s="26">
        <f>(LG26V[[#This Row],["J" PRECIO VENTA ]]/LG26V[[#This Row],[BARRAS]])</f>
        <v>55</v>
      </c>
      <c r="J45" s="26">
        <f>(LG26V[[#This Row],["J"PRECIO COMPRA ]]/LG26V[[#This Row],[BARRAS]])</f>
        <v>23</v>
      </c>
      <c r="K45" s="26">
        <f>SUMIF(entradas26[CODIGO],LG26V[[#This Row],[CODIGO ]],entradas26[[CAN JUEGOS ]])</f>
        <v>0</v>
      </c>
      <c r="L45" s="26">
        <f>SUMIF(entradas26[CODIGO],LG26V[[#This Row],[CODIGO ]],entradas26[CAN BARRAS])</f>
        <v>0</v>
      </c>
      <c r="M45" s="26">
        <f>SUMIF(salidas26[[CODIGO ]],LG26V[[#This Row],[CODIGO ]],salidas26[[CANT JUEGOS ]])</f>
        <v>3</v>
      </c>
      <c r="N45" s="26">
        <f>SUMIF(salidas26[[CODIGO ]],LG26V[[#This Row],[CODIGO ]],salidas26[CANT BARRAS])</f>
        <v>0</v>
      </c>
      <c r="O45" s="26">
        <f>(LG26V[[#This Row],["J"PRECIO COMPRA ]]*LG26V[[#This Row],[STOCK JUEGOS]])</f>
        <v>552</v>
      </c>
      <c r="P45" s="26">
        <f>(LG26V[[#This Row],["J" PRECIO VENTA ]]*LG26V[[#This Row],[STOCK JUEGOS]])</f>
        <v>1320</v>
      </c>
      <c r="Q45" s="26">
        <f>(LG26V[[#This Row],["B"PRECIO COMPRA]]*LG26V[[#This Row],[STOCK BARRAS]])</f>
        <v>69</v>
      </c>
      <c r="R45" s="26">
        <f>(LG26V[[#This Row],["B"PRECIO VENTA ]]*LG26V[[#This Row],[STOCK BARRAS]])</f>
        <v>165</v>
      </c>
      <c r="S45" s="28">
        <v>9</v>
      </c>
      <c r="T45" s="28">
        <v>3</v>
      </c>
      <c r="U45">
        <v>4.2</v>
      </c>
      <c r="W45" t="s">
        <v>89</v>
      </c>
    </row>
    <row r="46" spans="1:23" ht="15.75">
      <c r="A46">
        <v>40</v>
      </c>
      <c r="B46" s="19">
        <v>1102</v>
      </c>
      <c r="C46" s="20" t="s">
        <v>90</v>
      </c>
      <c r="D46" s="26">
        <f>(LG26V[[#This Row],[CANTIDAD INICIAL JUEGO ]]+LG26V[[#This Row],[ENTRADAS JUEGOS ]]-LG26V[[#This Row],[SALIDAS JUEGOS]])</f>
        <v>16</v>
      </c>
      <c r="E46" s="26">
        <f>(LG26V[[#This Row],[CANTIDAD INICIAL BARRAS]]+LG26V[[#This Row],[ENTRADAS BARRAS]]-LG26V[[#This Row],[SALIDA BARRAS]])</f>
        <v>2</v>
      </c>
      <c r="F46" s="34">
        <v>280</v>
      </c>
      <c r="G46" s="18">
        <v>116</v>
      </c>
      <c r="H46" s="18">
        <v>12</v>
      </c>
      <c r="I46" s="26">
        <f>(LG26V[[#This Row],["J" PRECIO VENTA ]]/LG26V[[#This Row],[BARRAS]])</f>
        <v>23.333333333333332</v>
      </c>
      <c r="J46" s="26">
        <f>(LG26V[[#This Row],["J"PRECIO COMPRA ]]/LG26V[[#This Row],[BARRAS]])</f>
        <v>9.6666666666666661</v>
      </c>
      <c r="K46" s="26">
        <f>SUMIF(entradas26[CODIGO],LG26V[[#This Row],[CODIGO ]],entradas26[[CAN JUEGOS ]])</f>
        <v>20</v>
      </c>
      <c r="L46" s="26">
        <f>SUMIF(entradas26[CODIGO],LG26V[[#This Row],[CODIGO ]],entradas26[CAN BARRAS])</f>
        <v>0</v>
      </c>
      <c r="M46" s="26">
        <f>SUMIF(salidas26[[CODIGO ]],LG26V[[#This Row],[CODIGO ]],salidas26[[CANT JUEGOS ]])</f>
        <v>8</v>
      </c>
      <c r="N46" s="26">
        <f>SUMIF(salidas26[[CODIGO ]],LG26V[[#This Row],[CODIGO ]],salidas26[CANT BARRAS])</f>
        <v>0</v>
      </c>
      <c r="O46" s="26">
        <f>(LG26V[[#This Row],["J"PRECIO COMPRA ]]*LG26V[[#This Row],[STOCK JUEGOS]])</f>
        <v>1856</v>
      </c>
      <c r="P46" s="26">
        <f>(LG26V[[#This Row],["J" PRECIO VENTA ]]*LG26V[[#This Row],[STOCK JUEGOS]])</f>
        <v>4480</v>
      </c>
      <c r="Q46" s="26">
        <f>(LG26V[[#This Row],["B"PRECIO COMPRA]]*LG26V[[#This Row],[STOCK BARRAS]])</f>
        <v>19.333333333333332</v>
      </c>
      <c r="R46" s="26">
        <f>(LG26V[[#This Row],["B"PRECIO VENTA ]]*LG26V[[#This Row],[STOCK BARRAS]])</f>
        <v>46.666666666666664</v>
      </c>
      <c r="S46" s="28">
        <v>4</v>
      </c>
      <c r="T46" s="28">
        <v>2</v>
      </c>
      <c r="U46">
        <v>6.1</v>
      </c>
      <c r="W46" t="s">
        <v>91</v>
      </c>
    </row>
    <row r="47" spans="1:23" ht="15.75">
      <c r="A47">
        <v>41</v>
      </c>
      <c r="B47" s="19">
        <v>1105</v>
      </c>
      <c r="C47" s="22" t="s">
        <v>92</v>
      </c>
      <c r="D47" s="26">
        <f>(LG26V[[#This Row],[CANTIDAD INICIAL JUEGO ]]+LG26V[[#This Row],[ENTRADAS JUEGOS ]]-LG26V[[#This Row],[SALIDAS JUEGOS]])</f>
        <v>22</v>
      </c>
      <c r="E47" s="26">
        <f>(LG26V[[#This Row],[CANTIDAD INICIAL BARRAS]]+LG26V[[#This Row],[ENTRADAS BARRAS]]-LG26V[[#This Row],[SALIDA BARRAS]])</f>
        <v>0</v>
      </c>
      <c r="F47" s="34">
        <v>300</v>
      </c>
      <c r="G47" s="18">
        <v>177</v>
      </c>
      <c r="H47" s="18">
        <v>10</v>
      </c>
      <c r="I47" s="26">
        <f>(LG26V[[#This Row],["J" PRECIO VENTA ]]/LG26V[[#This Row],[BARRAS]])</f>
        <v>30</v>
      </c>
      <c r="J47" s="26">
        <f>(LG26V[[#This Row],["J"PRECIO COMPRA ]]/LG26V[[#This Row],[BARRAS]])</f>
        <v>17.7</v>
      </c>
      <c r="K47" s="26">
        <f>SUMIF(entradas26[CODIGO],LG26V[[#This Row],[CODIGO ]],entradas26[[CAN JUEGOS ]])</f>
        <v>0</v>
      </c>
      <c r="L47" s="26">
        <f>SUMIF(entradas26[CODIGO],LG26V[[#This Row],[CODIGO ]],entradas26[CAN BARRAS])</f>
        <v>0</v>
      </c>
      <c r="M47" s="26">
        <f>SUMIF(salidas26[[CODIGO ]],LG26V[[#This Row],[CODIGO ]],salidas26[[CANT JUEGOS ]])</f>
        <v>3</v>
      </c>
      <c r="N47" s="26">
        <f>SUMIF(salidas26[[CODIGO ]],LG26V[[#This Row],[CODIGO ]],salidas26[CANT BARRAS])</f>
        <v>0</v>
      </c>
      <c r="O47" s="26">
        <f>(LG26V[[#This Row],["J"PRECIO COMPRA ]]*LG26V[[#This Row],[STOCK JUEGOS]])</f>
        <v>3894</v>
      </c>
      <c r="P47" s="26">
        <f>(LG26V[[#This Row],["J" PRECIO VENTA ]]*LG26V[[#This Row],[STOCK JUEGOS]])</f>
        <v>6600</v>
      </c>
      <c r="Q47" s="26">
        <f>(LG26V[[#This Row],["B"PRECIO COMPRA]]*LG26V[[#This Row],[STOCK BARRAS]])</f>
        <v>0</v>
      </c>
      <c r="R47" s="26">
        <f>(LG26V[[#This Row],["B"PRECIO VENTA ]]*LG26V[[#This Row],[STOCK BARRAS]])</f>
        <v>0</v>
      </c>
      <c r="S47" s="28">
        <v>25</v>
      </c>
      <c r="T47" s="28"/>
      <c r="U47">
        <v>7.7</v>
      </c>
      <c r="W47" t="s">
        <v>93</v>
      </c>
    </row>
    <row r="48" spans="1:23" ht="15.75">
      <c r="A48">
        <v>42</v>
      </c>
      <c r="B48" s="19">
        <v>1108</v>
      </c>
      <c r="C48" s="21" t="s">
        <v>94</v>
      </c>
      <c r="D48" s="26">
        <f>(LG26V[[#This Row],[CANTIDAD INICIAL JUEGO ]]+LG26V[[#This Row],[ENTRADAS JUEGOS ]]-LG26V[[#This Row],[SALIDAS JUEGOS]])</f>
        <v>24</v>
      </c>
      <c r="E48" s="26">
        <f>(LG26V[[#This Row],[CANTIDAD INICIAL BARRAS]]+LG26V[[#This Row],[ENTRADAS BARRAS]]-LG26V[[#This Row],[SALIDA BARRAS]])</f>
        <v>0</v>
      </c>
      <c r="F48" s="34">
        <v>300</v>
      </c>
      <c r="G48" s="18">
        <v>65</v>
      </c>
      <c r="H48" s="18">
        <v>3</v>
      </c>
      <c r="I48" s="26">
        <f>(LG26V[[#This Row],["J" PRECIO VENTA ]]/LG26V[[#This Row],[BARRAS]])</f>
        <v>100</v>
      </c>
      <c r="J48" s="26">
        <f>(LG26V[[#This Row],["J"PRECIO COMPRA ]]/LG26V[[#This Row],[BARRAS]])</f>
        <v>21.666666666666668</v>
      </c>
      <c r="K48" s="26">
        <f>SUMIF(entradas26[CODIGO],LG26V[[#This Row],[CODIGO ]],entradas26[[CAN JUEGOS ]])</f>
        <v>20</v>
      </c>
      <c r="L48" s="26">
        <f>SUMIF(entradas26[CODIGO],LG26V[[#This Row],[CODIGO ]],entradas26[CAN BARRAS])</f>
        <v>0</v>
      </c>
      <c r="M48" s="26">
        <f>SUMIF(salidas26[[CODIGO ]],LG26V[[#This Row],[CODIGO ]],salidas26[[CANT JUEGOS ]])</f>
        <v>2</v>
      </c>
      <c r="N48" s="26">
        <f>SUMIF(salidas26[[CODIGO ]],LG26V[[#This Row],[CODIGO ]],salidas26[CANT BARRAS])</f>
        <v>0</v>
      </c>
      <c r="O48" s="26">
        <f>(LG26V[[#This Row],["J"PRECIO COMPRA ]]*LG26V[[#This Row],[STOCK JUEGOS]])</f>
        <v>1560</v>
      </c>
      <c r="P48" s="26">
        <f>(LG26V[[#This Row],["J" PRECIO VENTA ]]*LG26V[[#This Row],[STOCK JUEGOS]])</f>
        <v>7200</v>
      </c>
      <c r="Q48" s="26">
        <f>(LG26V[[#This Row],["B"PRECIO COMPRA]]*LG26V[[#This Row],[STOCK BARRAS]])</f>
        <v>0</v>
      </c>
      <c r="R48" s="26">
        <f>(LG26V[[#This Row],["B"PRECIO VENTA ]]*LG26V[[#This Row],[STOCK BARRAS]])</f>
        <v>0</v>
      </c>
      <c r="S48" s="28">
        <v>6</v>
      </c>
      <c r="T48" s="28"/>
      <c r="U48">
        <v>5.8</v>
      </c>
      <c r="W48" t="s">
        <v>95</v>
      </c>
    </row>
    <row r="49" spans="1:24" ht="15.75">
      <c r="A49">
        <v>43</v>
      </c>
      <c r="B49" s="19">
        <v>1111</v>
      </c>
      <c r="C49" s="21" t="s">
        <v>96</v>
      </c>
      <c r="D49" s="26">
        <f>(LG26V[[#This Row],[CANTIDAD INICIAL JUEGO ]]+LG26V[[#This Row],[ENTRADAS JUEGOS ]]-LG26V[[#This Row],[SALIDAS JUEGOS]])</f>
        <v>9</v>
      </c>
      <c r="E49" s="26">
        <f>(LG26V[[#This Row],[CANTIDAD INICIAL BARRAS]]+LG26V[[#This Row],[ENTRADAS BARRAS]]-LG26V[[#This Row],[SALIDA BARRAS]])</f>
        <v>2</v>
      </c>
      <c r="F49" s="34">
        <v>280</v>
      </c>
      <c r="G49" s="18">
        <v>69</v>
      </c>
      <c r="H49" s="18">
        <v>3</v>
      </c>
      <c r="I49" s="26">
        <f>(LG26V[[#This Row],["J" PRECIO VENTA ]]/LG26V[[#This Row],[BARRAS]])</f>
        <v>93.333333333333329</v>
      </c>
      <c r="J49" s="26">
        <f>(LG26V[[#This Row],["J"PRECIO COMPRA ]]/LG26V[[#This Row],[BARRAS]])</f>
        <v>23</v>
      </c>
      <c r="K49" s="26">
        <f>SUMIF(entradas26[CODIGO],LG26V[[#This Row],[CODIGO ]],entradas26[[CAN JUEGOS ]])</f>
        <v>0</v>
      </c>
      <c r="L49" s="26">
        <f>SUMIF(entradas26[CODIGO],LG26V[[#This Row],[CODIGO ]],entradas26[CAN BARRAS])</f>
        <v>0</v>
      </c>
      <c r="M49" s="26">
        <f>SUMIF(salidas26[[CODIGO ]],LG26V[[#This Row],[CODIGO ]],salidas26[[CANT JUEGOS ]])</f>
        <v>3</v>
      </c>
      <c r="N49" s="26">
        <f>SUMIF(salidas26[[CODIGO ]],LG26V[[#This Row],[CODIGO ]],salidas26[CANT BARRAS])</f>
        <v>0</v>
      </c>
      <c r="O49" s="26">
        <f>(LG26V[[#This Row],["J"PRECIO COMPRA ]]*LG26V[[#This Row],[STOCK JUEGOS]])</f>
        <v>621</v>
      </c>
      <c r="P49" s="26">
        <f>(LG26V[[#This Row],["J" PRECIO VENTA ]]*LG26V[[#This Row],[STOCK JUEGOS]])</f>
        <v>2520</v>
      </c>
      <c r="Q49" s="26">
        <f>(LG26V[[#This Row],["B"PRECIO COMPRA]]*LG26V[[#This Row],[STOCK BARRAS]])</f>
        <v>46</v>
      </c>
      <c r="R49" s="26">
        <f>(LG26V[[#This Row],["B"PRECIO VENTA ]]*LG26V[[#This Row],[STOCK BARRAS]])</f>
        <v>186.66666666666666</v>
      </c>
      <c r="S49" s="28">
        <v>12</v>
      </c>
      <c r="T49" s="28">
        <v>2</v>
      </c>
      <c r="U49">
        <v>6.2</v>
      </c>
      <c r="W49" t="s">
        <v>97</v>
      </c>
    </row>
    <row r="50" spans="1:24" ht="15.75">
      <c r="A50">
        <v>44</v>
      </c>
      <c r="B50" s="19">
        <v>1112</v>
      </c>
      <c r="C50" s="21" t="s">
        <v>98</v>
      </c>
      <c r="D50" s="26">
        <f>(LG26V[[#This Row],[CANTIDAD INICIAL JUEGO ]]+LG26V[[#This Row],[ENTRADAS JUEGOS ]]-LG26V[[#This Row],[SALIDAS JUEGOS]])</f>
        <v>6</v>
      </c>
      <c r="E50" s="26">
        <f>(LG26V[[#This Row],[CANTIDAD INICIAL BARRAS]]+LG26V[[#This Row],[ENTRADAS BARRAS]]-LG26V[[#This Row],[SALIDA BARRAS]])</f>
        <v>1</v>
      </c>
      <c r="F50" s="34">
        <v>400</v>
      </c>
      <c r="G50" s="18">
        <v>180</v>
      </c>
      <c r="H50" s="18">
        <v>2</v>
      </c>
      <c r="I50" s="26">
        <f>(LG26V[[#This Row],["J" PRECIO VENTA ]]/LG26V[[#This Row],[BARRAS]])</f>
        <v>200</v>
      </c>
      <c r="J50" s="26">
        <f>(LG26V[[#This Row],["J"PRECIO COMPRA ]]/LG26V[[#This Row],[BARRAS]])</f>
        <v>90</v>
      </c>
      <c r="K50" s="26">
        <f>SUMIF(entradas26[CODIGO],LG26V[[#This Row],[CODIGO ]],entradas26[[CAN JUEGOS ]])</f>
        <v>0</v>
      </c>
      <c r="L50" s="26">
        <f>SUMIF(entradas26[CODIGO],LG26V[[#This Row],[CODIGO ]],entradas26[CAN BARRAS])</f>
        <v>0</v>
      </c>
      <c r="M50" s="26">
        <f>SUMIF(salidas26[[CODIGO ]],LG26V[[#This Row],[CODIGO ]],salidas26[[CANT JUEGOS ]])</f>
        <v>0</v>
      </c>
      <c r="N50" s="26">
        <f>SUMIF(salidas26[[CODIGO ]],LG26V[[#This Row],[CODIGO ]],salidas26[CANT BARRAS])</f>
        <v>0</v>
      </c>
      <c r="O50" s="26">
        <f>(LG26V[[#This Row],["J"PRECIO COMPRA ]]*LG26V[[#This Row],[STOCK JUEGOS]])</f>
        <v>1080</v>
      </c>
      <c r="P50" s="26">
        <f>(LG26V[[#This Row],["J" PRECIO VENTA ]]*LG26V[[#This Row],[STOCK JUEGOS]])</f>
        <v>2400</v>
      </c>
      <c r="Q50" s="26">
        <f>(LG26V[[#This Row],["B"PRECIO COMPRA]]*LG26V[[#This Row],[STOCK BARRAS]])</f>
        <v>90</v>
      </c>
      <c r="R50" s="26">
        <f>(LG26V[[#This Row],["B"PRECIO VENTA ]]*LG26V[[#This Row],[STOCK BARRAS]])</f>
        <v>200</v>
      </c>
      <c r="S50" s="28">
        <v>6</v>
      </c>
      <c r="T50" s="28">
        <v>1</v>
      </c>
      <c r="U50">
        <v>8.5</v>
      </c>
      <c r="W50" t="s">
        <v>99</v>
      </c>
    </row>
    <row r="51" spans="1:24" ht="15.75">
      <c r="A51">
        <v>45</v>
      </c>
      <c r="B51" s="19">
        <v>1114</v>
      </c>
      <c r="C51" s="22" t="s">
        <v>100</v>
      </c>
      <c r="D51" s="26">
        <f>(LG26V[[#This Row],[CANTIDAD INICIAL JUEGO ]]+LG26V[[#This Row],[ENTRADAS JUEGOS ]]-LG26V[[#This Row],[SALIDAS JUEGOS]])</f>
        <v>16</v>
      </c>
      <c r="E51" s="26">
        <f>(LG26V[[#This Row],[CANTIDAD INICIAL BARRAS]]+LG26V[[#This Row],[ENTRADAS BARRAS]]-LG26V[[#This Row],[SALIDA BARRAS]])</f>
        <v>0</v>
      </c>
      <c r="F51" s="34">
        <v>280</v>
      </c>
      <c r="G51" s="18">
        <v>53</v>
      </c>
      <c r="H51" s="18">
        <v>2</v>
      </c>
      <c r="I51" s="26">
        <f>(LG26V[[#This Row],["J" PRECIO VENTA ]]/LG26V[[#This Row],[BARRAS]])</f>
        <v>140</v>
      </c>
      <c r="J51" s="26">
        <f>(LG26V[[#This Row],["J"PRECIO COMPRA ]]/LG26V[[#This Row],[BARRAS]])</f>
        <v>26.5</v>
      </c>
      <c r="K51" s="26">
        <f>SUMIF(entradas26[CODIGO],LG26V[[#This Row],[CODIGO ]],entradas26[[CAN JUEGOS ]])</f>
        <v>0</v>
      </c>
      <c r="L51" s="26">
        <f>SUMIF(entradas26[CODIGO],LG26V[[#This Row],[CODIGO ]],entradas26[CAN BARRAS])</f>
        <v>0</v>
      </c>
      <c r="M51" s="26">
        <f>SUMIF(salidas26[[CODIGO ]],LG26V[[#This Row],[CODIGO ]],salidas26[[CANT JUEGOS ]])</f>
        <v>1</v>
      </c>
      <c r="N51" s="26">
        <f>SUMIF(salidas26[[CODIGO ]],LG26V[[#This Row],[CODIGO ]],salidas26[CANT BARRAS])</f>
        <v>0</v>
      </c>
      <c r="O51" s="26">
        <f>(LG26V[[#This Row],["J"PRECIO COMPRA ]]*LG26V[[#This Row],[STOCK JUEGOS]])</f>
        <v>848</v>
      </c>
      <c r="P51" s="26">
        <f>(LG26V[[#This Row],["J" PRECIO VENTA ]]*LG26V[[#This Row],[STOCK JUEGOS]])</f>
        <v>4480</v>
      </c>
      <c r="Q51" s="26">
        <f>(LG26V[[#This Row],["B"PRECIO COMPRA]]*LG26V[[#This Row],[STOCK BARRAS]])</f>
        <v>0</v>
      </c>
      <c r="R51" s="26">
        <f>(LG26V[[#This Row],["B"PRECIO VENTA ]]*LG26V[[#This Row],[STOCK BARRAS]])</f>
        <v>0</v>
      </c>
      <c r="S51" s="28">
        <v>17</v>
      </c>
      <c r="T51" s="28"/>
      <c r="U51">
        <v>5.35</v>
      </c>
      <c r="W51" t="s">
        <v>101</v>
      </c>
    </row>
    <row r="52" spans="1:24" ht="15.75">
      <c r="A52">
        <v>46</v>
      </c>
      <c r="B52" s="19">
        <v>1117</v>
      </c>
      <c r="C52" s="25" t="s">
        <v>102</v>
      </c>
      <c r="D52" s="26">
        <f>(LG26V[[#This Row],[CANTIDAD INICIAL JUEGO ]]+LG26V[[#This Row],[ENTRADAS JUEGOS ]]-LG26V[[#This Row],[SALIDAS JUEGOS]])</f>
        <v>16</v>
      </c>
      <c r="E52" s="26">
        <f>(LG26V[[#This Row],[CANTIDAD INICIAL BARRAS]]+LG26V[[#This Row],[ENTRADAS BARRAS]]-LG26V[[#This Row],[SALIDA BARRAS]])</f>
        <v>0</v>
      </c>
      <c r="F52" s="34">
        <v>350</v>
      </c>
      <c r="G52" s="18">
        <v>263</v>
      </c>
      <c r="H52" s="18">
        <v>10</v>
      </c>
      <c r="I52" s="26">
        <f>(LG26V[[#This Row],["J" PRECIO VENTA ]]/LG26V[[#This Row],[BARRAS]])</f>
        <v>35</v>
      </c>
      <c r="J52" s="26">
        <f>(LG26V[[#This Row],["J"PRECIO COMPRA ]]/LG26V[[#This Row],[BARRAS]])</f>
        <v>26.3</v>
      </c>
      <c r="K52" s="26">
        <f>SUMIF(entradas26[CODIGO],LG26V[[#This Row],[CODIGO ]],entradas26[[CAN JUEGOS ]])</f>
        <v>20</v>
      </c>
      <c r="L52" s="26">
        <f>SUMIF(entradas26[CODIGO],LG26V[[#This Row],[CODIGO ]],entradas26[CAN BARRAS])</f>
        <v>0</v>
      </c>
      <c r="M52" s="26">
        <f>SUMIF(salidas26[[CODIGO ]],LG26V[[#This Row],[CODIGO ]],salidas26[[CANT JUEGOS ]])</f>
        <v>10</v>
      </c>
      <c r="N52" s="26">
        <f>SUMIF(salidas26[[CODIGO ]],LG26V[[#This Row],[CODIGO ]],salidas26[CANT BARRAS])</f>
        <v>0</v>
      </c>
      <c r="O52" s="26">
        <f>(LG26V[[#This Row],["J"PRECIO COMPRA ]]*LG26V[[#This Row],[STOCK JUEGOS]])</f>
        <v>4208</v>
      </c>
      <c r="P52" s="26">
        <f>(LG26V[[#This Row],["J" PRECIO VENTA ]]*LG26V[[#This Row],[STOCK JUEGOS]])</f>
        <v>5600</v>
      </c>
      <c r="Q52" s="26">
        <f>(LG26V[[#This Row],["B"PRECIO COMPRA]]*LG26V[[#This Row],[STOCK BARRAS]])</f>
        <v>0</v>
      </c>
      <c r="R52" s="26">
        <f>(LG26V[[#This Row],["B"PRECIO VENTA ]]*LG26V[[#This Row],[STOCK BARRAS]])</f>
        <v>0</v>
      </c>
      <c r="S52" s="28">
        <v>6</v>
      </c>
      <c r="T52" s="28"/>
      <c r="U52">
        <v>9.4499999999999993</v>
      </c>
      <c r="W52" t="s">
        <v>103</v>
      </c>
    </row>
    <row r="53" spans="1:24" ht="15.75">
      <c r="A53">
        <v>47</v>
      </c>
      <c r="B53" s="19">
        <v>1120</v>
      </c>
      <c r="C53" s="22" t="s">
        <v>104</v>
      </c>
      <c r="D53" s="26">
        <f>(LG26V[[#This Row],[CANTIDAD INICIAL JUEGO ]]+LG26V[[#This Row],[ENTRADAS JUEGOS ]]-LG26V[[#This Row],[SALIDAS JUEGOS]])</f>
        <v>14</v>
      </c>
      <c r="E53" s="26">
        <f>(LG26V[[#This Row],[CANTIDAD INICIAL BARRAS]]+LG26V[[#This Row],[ENTRADAS BARRAS]]-LG26V[[#This Row],[SALIDA BARRAS]])</f>
        <v>1</v>
      </c>
      <c r="F53" s="34">
        <v>220</v>
      </c>
      <c r="G53" s="18">
        <v>84</v>
      </c>
      <c r="H53" s="18">
        <v>2</v>
      </c>
      <c r="I53" s="26">
        <f>(LG26V[[#This Row],["J" PRECIO VENTA ]]/LG26V[[#This Row],[BARRAS]])</f>
        <v>110</v>
      </c>
      <c r="J53" s="26">
        <f>(LG26V[[#This Row],["J"PRECIO COMPRA ]]/LG26V[[#This Row],[BARRAS]])</f>
        <v>42</v>
      </c>
      <c r="K53" s="26">
        <f>SUMIF(entradas26[CODIGO],LG26V[[#This Row],[CODIGO ]],entradas26[[CAN JUEGOS ]])</f>
        <v>0</v>
      </c>
      <c r="L53" s="26">
        <f>SUMIF(entradas26[CODIGO],LG26V[[#This Row],[CODIGO ]],entradas26[CAN BARRAS])</f>
        <v>0</v>
      </c>
      <c r="M53" s="26">
        <f>SUMIF(salidas26[[CODIGO ]],LG26V[[#This Row],[CODIGO ]],salidas26[[CANT JUEGOS ]])</f>
        <v>3</v>
      </c>
      <c r="N53" s="26">
        <f>SUMIF(salidas26[[CODIGO ]],LG26V[[#This Row],[CODIGO ]],salidas26[CANT BARRAS])</f>
        <v>0</v>
      </c>
      <c r="O53" s="26">
        <f>(LG26V[[#This Row],["J"PRECIO COMPRA ]]*LG26V[[#This Row],[STOCK JUEGOS]])</f>
        <v>1176</v>
      </c>
      <c r="P53" s="26">
        <f>(LG26V[[#This Row],["J" PRECIO VENTA ]]*LG26V[[#This Row],[STOCK JUEGOS]])</f>
        <v>3080</v>
      </c>
      <c r="Q53" s="26">
        <f>(LG26V[[#This Row],["B"PRECIO COMPRA]]*LG26V[[#This Row],[STOCK BARRAS]])</f>
        <v>42</v>
      </c>
      <c r="R53" s="26">
        <f>(LG26V[[#This Row],["B"PRECIO VENTA ]]*LG26V[[#This Row],[STOCK BARRAS]])</f>
        <v>110</v>
      </c>
      <c r="S53" s="28">
        <v>17</v>
      </c>
      <c r="T53" s="28">
        <v>1</v>
      </c>
      <c r="U53">
        <v>3.8</v>
      </c>
      <c r="W53" t="s">
        <v>105</v>
      </c>
    </row>
    <row r="54" spans="1:24" ht="15.75">
      <c r="A54">
        <v>48</v>
      </c>
      <c r="B54" s="19">
        <v>1121</v>
      </c>
      <c r="C54" s="22" t="s">
        <v>106</v>
      </c>
      <c r="D54" s="26">
        <f>(LG26V[[#This Row],[CANTIDAD INICIAL JUEGO ]]+LG26V[[#This Row],[ENTRADAS JUEGOS ]]-LG26V[[#This Row],[SALIDAS JUEGOS]])</f>
        <v>16</v>
      </c>
      <c r="E54" s="26">
        <f>(LG26V[[#This Row],[CANTIDAD INICIAL BARRAS]]+LG26V[[#This Row],[ENTRADAS BARRAS]]-LG26V[[#This Row],[SALIDA BARRAS]])</f>
        <v>0</v>
      </c>
      <c r="F54" s="34">
        <v>300</v>
      </c>
      <c r="G54" s="18">
        <v>117</v>
      </c>
      <c r="H54" s="18">
        <v>2</v>
      </c>
      <c r="I54" s="26">
        <f>(LG26V[[#This Row],["J" PRECIO VENTA ]]/LG26V[[#This Row],[BARRAS]])</f>
        <v>150</v>
      </c>
      <c r="J54" s="26">
        <f>(LG26V[[#This Row],["J"PRECIO COMPRA ]]/LG26V[[#This Row],[BARRAS]])</f>
        <v>58.5</v>
      </c>
      <c r="K54" s="26">
        <f>SUMIF(entradas26[CODIGO],LG26V[[#This Row],[CODIGO ]],entradas26[[CAN JUEGOS ]])</f>
        <v>0</v>
      </c>
      <c r="L54" s="26">
        <f>SUMIF(entradas26[CODIGO],LG26V[[#This Row],[CODIGO ]],entradas26[CAN BARRAS])</f>
        <v>0</v>
      </c>
      <c r="M54" s="26">
        <f>SUMIF(salidas26[[CODIGO ]],LG26V[[#This Row],[CODIGO ]],salidas26[[CANT JUEGOS ]])</f>
        <v>3</v>
      </c>
      <c r="N54" s="26">
        <f>SUMIF(salidas26[[CODIGO ]],LG26V[[#This Row],[CODIGO ]],salidas26[CANT BARRAS])</f>
        <v>0</v>
      </c>
      <c r="O54" s="26">
        <f>(LG26V[[#This Row],["J"PRECIO COMPRA ]]*LG26V[[#This Row],[STOCK JUEGOS]])</f>
        <v>1872</v>
      </c>
      <c r="P54" s="26">
        <f>(LG26V[[#This Row],["J" PRECIO VENTA ]]*LG26V[[#This Row],[STOCK JUEGOS]])</f>
        <v>4800</v>
      </c>
      <c r="Q54" s="26">
        <f>(LG26V[[#This Row],["B"PRECIO COMPRA]]*LG26V[[#This Row],[STOCK BARRAS]])</f>
        <v>0</v>
      </c>
      <c r="R54" s="26">
        <f>(LG26V[[#This Row],["B"PRECIO VENTA ]]*LG26V[[#This Row],[STOCK BARRAS]])</f>
        <v>0</v>
      </c>
      <c r="S54" s="28">
        <v>19</v>
      </c>
      <c r="T54" s="28"/>
      <c r="U54">
        <v>5.3</v>
      </c>
    </row>
    <row r="55" spans="1:24" ht="15.75">
      <c r="A55">
        <v>49</v>
      </c>
      <c r="B55" s="19">
        <v>1123</v>
      </c>
      <c r="C55" s="24" t="s">
        <v>107</v>
      </c>
      <c r="D55" s="26">
        <f>(LG26V[[#This Row],[CANTIDAD INICIAL JUEGO ]]+LG26V[[#This Row],[ENTRADAS JUEGOS ]]-LG26V[[#This Row],[SALIDAS JUEGOS]])</f>
        <v>17</v>
      </c>
      <c r="E55" s="26">
        <f>(LG26V[[#This Row],[CANTIDAD INICIAL BARRAS]]+LG26V[[#This Row],[ENTRADAS BARRAS]]-LG26V[[#This Row],[SALIDA BARRAS]])</f>
        <v>0</v>
      </c>
      <c r="F55" s="34">
        <v>320</v>
      </c>
      <c r="G55" s="18">
        <v>69</v>
      </c>
      <c r="H55" s="18">
        <v>2</v>
      </c>
      <c r="I55" s="26">
        <f>(LG26V[[#This Row],["J" PRECIO VENTA ]]/LG26V[[#This Row],[BARRAS]])</f>
        <v>160</v>
      </c>
      <c r="J55" s="26">
        <f>(LG26V[[#This Row],["J"PRECIO COMPRA ]]/LG26V[[#This Row],[BARRAS]])</f>
        <v>34.5</v>
      </c>
      <c r="K55" s="26">
        <f>SUMIF(entradas26[CODIGO],LG26V[[#This Row],[CODIGO ]],entradas26[[CAN JUEGOS ]])</f>
        <v>0</v>
      </c>
      <c r="L55" s="26">
        <f>SUMIF(entradas26[CODIGO],LG26V[[#This Row],[CODIGO ]],entradas26[CAN BARRAS])</f>
        <v>0</v>
      </c>
      <c r="M55" s="26">
        <f>SUMIF(salidas26[[CODIGO ]],LG26V[[#This Row],[CODIGO ]],salidas26[[CANT JUEGOS ]])</f>
        <v>2</v>
      </c>
      <c r="N55" s="26">
        <f>SUMIF(salidas26[[CODIGO ]],LG26V[[#This Row],[CODIGO ]],salidas26[CANT BARRAS])</f>
        <v>0</v>
      </c>
      <c r="O55" s="26">
        <f>(LG26V[[#This Row],["J"PRECIO COMPRA ]]*LG26V[[#This Row],[STOCK JUEGOS]])</f>
        <v>1173</v>
      </c>
      <c r="P55" s="26">
        <f>(LG26V[[#This Row],["J" PRECIO VENTA ]]*LG26V[[#This Row],[STOCK JUEGOS]])</f>
        <v>5440</v>
      </c>
      <c r="Q55" s="26">
        <f>(LG26V[[#This Row],["B"PRECIO COMPRA]]*LG26V[[#This Row],[STOCK BARRAS]])</f>
        <v>0</v>
      </c>
      <c r="R55" s="26">
        <f>(LG26V[[#This Row],["B"PRECIO VENTA ]]*LG26V[[#This Row],[STOCK BARRAS]])</f>
        <v>0</v>
      </c>
      <c r="S55" s="28">
        <v>19</v>
      </c>
      <c r="T55" s="28"/>
      <c r="U55">
        <v>4.9000000000000004</v>
      </c>
    </row>
    <row r="56" spans="1:24" ht="15.75">
      <c r="A56">
        <v>50</v>
      </c>
      <c r="B56" s="19">
        <v>1126</v>
      </c>
      <c r="C56" s="24" t="s">
        <v>108</v>
      </c>
      <c r="D56" s="26">
        <f>(LG26V[[#This Row],[CANTIDAD INICIAL JUEGO ]]+LG26V[[#This Row],[ENTRADAS JUEGOS ]]-LG26V[[#This Row],[SALIDAS JUEGOS]])</f>
        <v>21</v>
      </c>
      <c r="E56" s="26">
        <f>(LG26V[[#This Row],[CANTIDAD INICIAL BARRAS]]+LG26V[[#This Row],[ENTRADAS BARRAS]]-LG26V[[#This Row],[SALIDA BARRAS]])</f>
        <v>0</v>
      </c>
      <c r="F56" s="34">
        <v>260</v>
      </c>
      <c r="G56" s="18">
        <v>70</v>
      </c>
      <c r="H56" s="18">
        <v>2</v>
      </c>
      <c r="I56" s="26">
        <f>(LG26V[[#This Row],["J" PRECIO VENTA ]]/LG26V[[#This Row],[BARRAS]])</f>
        <v>130</v>
      </c>
      <c r="J56" s="26">
        <f>(LG26V[[#This Row],["J"PRECIO COMPRA ]]/LG26V[[#This Row],[BARRAS]])</f>
        <v>35</v>
      </c>
      <c r="K56" s="26">
        <f>SUMIF(entradas26[CODIGO],LG26V[[#This Row],[CODIGO ]],entradas26[[CAN JUEGOS ]])</f>
        <v>20</v>
      </c>
      <c r="L56" s="26">
        <f>SUMIF(entradas26[CODIGO],LG26V[[#This Row],[CODIGO ]],entradas26[CAN BARRAS])</f>
        <v>0</v>
      </c>
      <c r="M56" s="26">
        <f>SUMIF(salidas26[[CODIGO ]],LG26V[[#This Row],[CODIGO ]],salidas26[[CANT JUEGOS ]])</f>
        <v>2</v>
      </c>
      <c r="N56" s="26">
        <f>SUMIF(salidas26[[CODIGO ]],LG26V[[#This Row],[CODIGO ]],salidas26[CANT BARRAS])</f>
        <v>0</v>
      </c>
      <c r="O56" s="26">
        <f>(LG26V[[#This Row],["J"PRECIO COMPRA ]]*LG26V[[#This Row],[STOCK JUEGOS]])</f>
        <v>1470</v>
      </c>
      <c r="P56" s="26">
        <f>(LG26V[[#This Row],["J" PRECIO VENTA ]]*LG26V[[#This Row],[STOCK JUEGOS]])</f>
        <v>5460</v>
      </c>
      <c r="Q56" s="26">
        <f>(LG26V[[#This Row],["B"PRECIO COMPRA]]*LG26V[[#This Row],[STOCK BARRAS]])</f>
        <v>0</v>
      </c>
      <c r="R56" s="26">
        <f>(LG26V[[#This Row],["B"PRECIO VENTA ]]*LG26V[[#This Row],[STOCK BARRAS]])</f>
        <v>0</v>
      </c>
      <c r="S56" s="28">
        <v>3</v>
      </c>
      <c r="T56" s="28"/>
      <c r="U56">
        <v>3.4</v>
      </c>
      <c r="W56" t="s">
        <v>750</v>
      </c>
    </row>
    <row r="57" spans="1:24" ht="15.75">
      <c r="A57">
        <v>51</v>
      </c>
      <c r="B57" s="19">
        <v>1129</v>
      </c>
      <c r="C57" s="24" t="s">
        <v>109</v>
      </c>
      <c r="D57" s="26">
        <f>(LG26V[[#This Row],[CANTIDAD INICIAL JUEGO ]]+LG26V[[#This Row],[ENTRADAS JUEGOS ]]-LG26V[[#This Row],[SALIDAS JUEGOS]])</f>
        <v>16</v>
      </c>
      <c r="E57" s="26">
        <f>(LG26V[[#This Row],[CANTIDAD INICIAL BARRAS]]+LG26V[[#This Row],[ENTRADAS BARRAS]]-LG26V[[#This Row],[SALIDA BARRAS]])</f>
        <v>0</v>
      </c>
      <c r="F57" s="34">
        <v>260</v>
      </c>
      <c r="G57" s="18">
        <v>42</v>
      </c>
      <c r="H57" s="18">
        <v>2</v>
      </c>
      <c r="I57" s="26">
        <f>(LG26V[[#This Row],["J" PRECIO VENTA ]]/LG26V[[#This Row],[BARRAS]])</f>
        <v>130</v>
      </c>
      <c r="J57" s="26">
        <f>(LG26V[[#This Row],["J"PRECIO COMPRA ]]/LG26V[[#This Row],[BARRAS]])</f>
        <v>21</v>
      </c>
      <c r="K57" s="26">
        <f>SUMIF(entradas26[CODIGO],LG26V[[#This Row],[CODIGO ]],entradas26[[CAN JUEGOS ]])</f>
        <v>0</v>
      </c>
      <c r="L57" s="26">
        <f>SUMIF(entradas26[CODIGO],LG26V[[#This Row],[CODIGO ]],entradas26[CAN BARRAS])</f>
        <v>0</v>
      </c>
      <c r="M57" s="26">
        <f>SUMIF(salidas26[[CODIGO ]],LG26V[[#This Row],[CODIGO ]],salidas26[[CANT JUEGOS ]])</f>
        <v>3</v>
      </c>
      <c r="N57" s="26">
        <f>SUMIF(salidas26[[CODIGO ]],LG26V[[#This Row],[CODIGO ]],salidas26[CANT BARRAS])</f>
        <v>0</v>
      </c>
      <c r="O57" s="26">
        <f>(LG26V[[#This Row],["J"PRECIO COMPRA ]]*LG26V[[#This Row],[STOCK JUEGOS]])</f>
        <v>672</v>
      </c>
      <c r="P57" s="26">
        <f>(LG26V[[#This Row],["J" PRECIO VENTA ]]*LG26V[[#This Row],[STOCK JUEGOS]])</f>
        <v>4160</v>
      </c>
      <c r="Q57" s="26">
        <f>(LG26V[[#This Row],["B"PRECIO COMPRA]]*LG26V[[#This Row],[STOCK BARRAS]])</f>
        <v>0</v>
      </c>
      <c r="R57" s="26">
        <f>(LG26V[[#This Row],["B"PRECIO VENTA ]]*LG26V[[#This Row],[STOCK BARRAS]])</f>
        <v>0</v>
      </c>
      <c r="S57" s="28">
        <v>19</v>
      </c>
      <c r="T57" s="28"/>
      <c r="U57">
        <v>4.25</v>
      </c>
      <c r="W57" t="s">
        <v>110</v>
      </c>
    </row>
    <row r="58" spans="1:24" ht="13.5" customHeight="1">
      <c r="A58">
        <v>52</v>
      </c>
      <c r="B58" s="19">
        <v>1132</v>
      </c>
      <c r="C58" s="24" t="s">
        <v>111</v>
      </c>
      <c r="D58" s="26">
        <f>(LG26V[[#This Row],[CANTIDAD INICIAL JUEGO ]]+LG26V[[#This Row],[ENTRADAS JUEGOS ]]-LG26V[[#This Row],[SALIDAS JUEGOS]])</f>
        <v>18</v>
      </c>
      <c r="E58" s="26">
        <f>(LG26V[[#This Row],[CANTIDAD INICIAL BARRAS]]+LG26V[[#This Row],[ENTRADAS BARRAS]]-LG26V[[#This Row],[SALIDA BARRAS]])</f>
        <v>0</v>
      </c>
      <c r="F58" s="34">
        <v>260</v>
      </c>
      <c r="G58" s="18">
        <v>124</v>
      </c>
      <c r="H58" s="18">
        <v>2</v>
      </c>
      <c r="I58" s="26">
        <f>(LG26V[[#This Row],["J" PRECIO VENTA ]]/LG26V[[#This Row],[BARRAS]])</f>
        <v>130</v>
      </c>
      <c r="J58" s="26">
        <f>(LG26V[[#This Row],["J"PRECIO COMPRA ]]/LG26V[[#This Row],[BARRAS]])</f>
        <v>62</v>
      </c>
      <c r="K58" s="26">
        <f>SUMIF(entradas26[CODIGO],LG26V[[#This Row],[CODIGO ]],entradas26[[CAN JUEGOS ]])</f>
        <v>0</v>
      </c>
      <c r="L58" s="26">
        <f>SUMIF(entradas26[CODIGO],LG26V[[#This Row],[CODIGO ]],entradas26[CAN BARRAS])</f>
        <v>0</v>
      </c>
      <c r="M58" s="26">
        <f>SUMIF(salidas26[[CODIGO ]],LG26V[[#This Row],[CODIGO ]],salidas26[[CANT JUEGOS ]])</f>
        <v>8</v>
      </c>
      <c r="N58" s="26">
        <f>SUMIF(salidas26[[CODIGO ]],LG26V[[#This Row],[CODIGO ]],salidas26[CANT BARRAS])</f>
        <v>0</v>
      </c>
      <c r="O58" s="26">
        <f>(LG26V[[#This Row],["J"PRECIO COMPRA ]]*LG26V[[#This Row],[STOCK JUEGOS]])</f>
        <v>2232</v>
      </c>
      <c r="P58" s="26">
        <f>(LG26V[[#This Row],["J" PRECIO VENTA ]]*LG26V[[#This Row],[STOCK JUEGOS]])</f>
        <v>4680</v>
      </c>
      <c r="Q58" s="26">
        <f>(LG26V[[#This Row],["B"PRECIO COMPRA]]*LG26V[[#This Row],[STOCK BARRAS]])</f>
        <v>0</v>
      </c>
      <c r="R58" s="26">
        <f>(LG26V[[#This Row],["B"PRECIO VENTA ]]*LG26V[[#This Row],[STOCK BARRAS]])</f>
        <v>0</v>
      </c>
      <c r="S58" s="28">
        <v>26</v>
      </c>
      <c r="T58" s="28"/>
      <c r="U58">
        <v>6.2</v>
      </c>
      <c r="W58" t="s">
        <v>112</v>
      </c>
    </row>
    <row r="59" spans="1:24" ht="15.75">
      <c r="A59">
        <v>53</v>
      </c>
      <c r="B59" s="19">
        <v>1135</v>
      </c>
      <c r="C59" s="20" t="s">
        <v>113</v>
      </c>
      <c r="D59" s="26">
        <f>(LG26V[[#This Row],[CANTIDAD INICIAL JUEGO ]]+LG26V[[#This Row],[ENTRADAS JUEGOS ]]-LG26V[[#This Row],[SALIDAS JUEGOS]])</f>
        <v>23</v>
      </c>
      <c r="E59" s="26">
        <f>(LG26V[[#This Row],[CANTIDAD INICIAL BARRAS]]+LG26V[[#This Row],[ENTRADAS BARRAS]]-LG26V[[#This Row],[SALIDA BARRAS]])</f>
        <v>0</v>
      </c>
      <c r="F59" s="34">
        <v>380</v>
      </c>
      <c r="G59" s="18">
        <v>261</v>
      </c>
      <c r="H59" s="18">
        <v>14</v>
      </c>
      <c r="I59" s="26">
        <f>(LG26V[[#This Row],["J" PRECIO VENTA ]]/LG26V[[#This Row],[BARRAS]])</f>
        <v>27.142857142857142</v>
      </c>
      <c r="J59" s="26">
        <f>(LG26V[[#This Row],["J"PRECIO COMPRA ]]/LG26V[[#This Row],[BARRAS]])</f>
        <v>18.642857142857142</v>
      </c>
      <c r="K59" s="26">
        <f>SUMIF(entradas26[CODIGO],LG26V[[#This Row],[CODIGO ]],entradas26[[CAN JUEGOS ]])</f>
        <v>0</v>
      </c>
      <c r="L59" s="26">
        <f>SUMIF(entradas26[CODIGO],LG26V[[#This Row],[CODIGO ]],entradas26[CAN BARRAS])</f>
        <v>0</v>
      </c>
      <c r="M59" s="26">
        <f>SUMIF(salidas26[[CODIGO ]],LG26V[[#This Row],[CODIGO ]],salidas26[[CANT JUEGOS ]])</f>
        <v>0</v>
      </c>
      <c r="N59" s="26">
        <f>SUMIF(salidas26[[CODIGO ]],LG26V[[#This Row],[CODIGO ]],salidas26[CANT BARRAS])</f>
        <v>0</v>
      </c>
      <c r="O59" s="26">
        <f>(LG26V[[#This Row],["J"PRECIO COMPRA ]]*LG26V[[#This Row],[STOCK JUEGOS]])</f>
        <v>6003</v>
      </c>
      <c r="P59" s="26">
        <f>(LG26V[[#This Row],["J" PRECIO VENTA ]]*LG26V[[#This Row],[STOCK JUEGOS]])</f>
        <v>8740</v>
      </c>
      <c r="Q59" s="26">
        <f>(LG26V[[#This Row],["B"PRECIO COMPRA]]*LG26V[[#This Row],[STOCK BARRAS]])</f>
        <v>0</v>
      </c>
      <c r="R59" s="26">
        <f>(LG26V[[#This Row],["B"PRECIO VENTA ]]*LG26V[[#This Row],[STOCK BARRAS]])</f>
        <v>0</v>
      </c>
      <c r="S59" s="28">
        <v>23</v>
      </c>
      <c r="T59" s="28"/>
      <c r="U59">
        <v>12</v>
      </c>
      <c r="W59" t="s">
        <v>114</v>
      </c>
    </row>
    <row r="60" spans="1:24" ht="15.75">
      <c r="A60">
        <v>54</v>
      </c>
      <c r="B60" s="19">
        <v>1138</v>
      </c>
      <c r="C60" s="21" t="s">
        <v>115</v>
      </c>
      <c r="D60" s="26">
        <f>(LG26V[[#This Row],[CANTIDAD INICIAL JUEGO ]]+LG26V[[#This Row],[ENTRADAS JUEGOS ]]-LG26V[[#This Row],[SALIDAS JUEGOS]])</f>
        <v>6</v>
      </c>
      <c r="E60" s="26">
        <f>(LG26V[[#This Row],[CANTIDAD INICIAL BARRAS]]+LG26V[[#This Row],[ENTRADAS BARRAS]]-LG26V[[#This Row],[SALIDA BARRAS]])</f>
        <v>0</v>
      </c>
      <c r="F60" s="34">
        <v>280</v>
      </c>
      <c r="G60" s="18">
        <v>196</v>
      </c>
      <c r="H60" s="18">
        <v>10</v>
      </c>
      <c r="I60" s="26">
        <f>(LG26V[[#This Row],["J" PRECIO VENTA ]]/LG26V[[#This Row],[BARRAS]])</f>
        <v>28</v>
      </c>
      <c r="J60" s="26">
        <f>(LG26V[[#This Row],["J"PRECIO COMPRA ]]/LG26V[[#This Row],[BARRAS]])</f>
        <v>19.600000000000001</v>
      </c>
      <c r="K60" s="26">
        <f>SUMIF(entradas26[CODIGO],LG26V[[#This Row],[CODIGO ]],entradas26[[CAN JUEGOS ]])</f>
        <v>0</v>
      </c>
      <c r="L60" s="26">
        <f>SUMIF(entradas26[CODIGO],LG26V[[#This Row],[CODIGO ]],entradas26[CAN BARRAS])</f>
        <v>0</v>
      </c>
      <c r="M60" s="26">
        <f>SUMIF(salidas26[[CODIGO ]],LG26V[[#This Row],[CODIGO ]],salidas26[[CANT JUEGOS ]])</f>
        <v>11</v>
      </c>
      <c r="N60" s="26">
        <f>SUMIF(salidas26[[CODIGO ]],LG26V[[#This Row],[CODIGO ]],salidas26[CANT BARRAS])</f>
        <v>0</v>
      </c>
      <c r="O60" s="26">
        <f>(LG26V[[#This Row],["J"PRECIO COMPRA ]]*LG26V[[#This Row],[STOCK JUEGOS]])</f>
        <v>1176</v>
      </c>
      <c r="P60" s="26">
        <f>(LG26V[[#This Row],["J" PRECIO VENTA ]]*LG26V[[#This Row],[STOCK JUEGOS]])</f>
        <v>1680</v>
      </c>
      <c r="Q60" s="26">
        <f>(LG26V[[#This Row],["B"PRECIO COMPRA]]*LG26V[[#This Row],[STOCK BARRAS]])</f>
        <v>0</v>
      </c>
      <c r="R60" s="26">
        <f>(LG26V[[#This Row],["B"PRECIO VENTA ]]*LG26V[[#This Row],[STOCK BARRAS]])</f>
        <v>0</v>
      </c>
      <c r="S60" s="28">
        <v>17</v>
      </c>
      <c r="T60" s="28"/>
      <c r="U60">
        <v>6.3</v>
      </c>
      <c r="W60" t="s">
        <v>116</v>
      </c>
    </row>
    <row r="61" spans="1:24" ht="15.75">
      <c r="A61">
        <v>55</v>
      </c>
      <c r="B61" s="19">
        <v>1139</v>
      </c>
      <c r="C61" s="20" t="s">
        <v>117</v>
      </c>
      <c r="D61" s="26">
        <f>(LG26V[[#This Row],[CANTIDAD INICIAL JUEGO ]]+LG26V[[#This Row],[ENTRADAS JUEGOS ]]-LG26V[[#This Row],[SALIDAS JUEGOS]])</f>
        <v>10</v>
      </c>
      <c r="E61" s="26">
        <f>(LG26V[[#This Row],[CANTIDAD INICIAL BARRAS]]+LG26V[[#This Row],[ENTRADAS BARRAS]]-LG26V[[#This Row],[SALIDA BARRAS]])</f>
        <v>0</v>
      </c>
      <c r="F61" s="34">
        <v>320</v>
      </c>
      <c r="G61" s="18">
        <v>151</v>
      </c>
      <c r="H61" s="18">
        <v>4</v>
      </c>
      <c r="I61" s="26">
        <f>(LG26V[[#This Row],["J" PRECIO VENTA ]]/LG26V[[#This Row],[BARRAS]])</f>
        <v>80</v>
      </c>
      <c r="J61" s="26">
        <f>(LG26V[[#This Row],["J"PRECIO COMPRA ]]/LG26V[[#This Row],[BARRAS]])</f>
        <v>37.75</v>
      </c>
      <c r="K61" s="26">
        <f>SUMIF(entradas26[CODIGO],LG26V[[#This Row],[CODIGO ]],entradas26[[CAN JUEGOS ]])</f>
        <v>0</v>
      </c>
      <c r="L61" s="26">
        <f>SUMIF(entradas26[CODIGO],LG26V[[#This Row],[CODIGO ]],entradas26[CAN BARRAS])</f>
        <v>0</v>
      </c>
      <c r="M61" s="26">
        <f>SUMIF(salidas26[[CODIGO ]],LG26V[[#This Row],[CODIGO ]],salidas26[[CANT JUEGOS ]])</f>
        <v>5</v>
      </c>
      <c r="N61" s="26">
        <f>SUMIF(salidas26[[CODIGO ]],LG26V[[#This Row],[CODIGO ]],salidas26[CANT BARRAS])</f>
        <v>0</v>
      </c>
      <c r="O61" s="26">
        <f>(LG26V[[#This Row],["J"PRECIO COMPRA ]]*LG26V[[#This Row],[STOCK JUEGOS]])</f>
        <v>1510</v>
      </c>
      <c r="P61" s="26">
        <f>(LG26V[[#This Row],["J" PRECIO VENTA ]]*LG26V[[#This Row],[STOCK JUEGOS]])</f>
        <v>3200</v>
      </c>
      <c r="Q61" s="26">
        <f>(LG26V[[#This Row],["B"PRECIO COMPRA]]*LG26V[[#This Row],[STOCK BARRAS]])</f>
        <v>0</v>
      </c>
      <c r="R61" s="26">
        <f>(LG26V[[#This Row],["B"PRECIO VENTA ]]*LG26V[[#This Row],[STOCK BARRAS]])</f>
        <v>0</v>
      </c>
      <c r="S61" s="28">
        <v>15</v>
      </c>
      <c r="T61" s="28"/>
      <c r="U61">
        <v>6.85</v>
      </c>
      <c r="W61" t="s">
        <v>118</v>
      </c>
    </row>
    <row r="62" spans="1:24" ht="15.75">
      <c r="A62">
        <v>56</v>
      </c>
      <c r="B62" s="19">
        <v>1141</v>
      </c>
      <c r="C62" s="20" t="s">
        <v>119</v>
      </c>
      <c r="D62" s="26">
        <f>(LG26V[[#This Row],[CANTIDAD INICIAL JUEGO ]]+LG26V[[#This Row],[ENTRADAS JUEGOS ]]-LG26V[[#This Row],[SALIDAS JUEGOS]])</f>
        <v>12</v>
      </c>
      <c r="E62" s="26">
        <f>(LG26V[[#This Row],[CANTIDAD INICIAL BARRAS]]+LG26V[[#This Row],[ENTRADAS BARRAS]]-LG26V[[#This Row],[SALIDA BARRAS]])</f>
        <v>11</v>
      </c>
      <c r="F62" s="34">
        <v>450</v>
      </c>
      <c r="G62" s="18">
        <v>213</v>
      </c>
      <c r="H62" s="18">
        <v>12</v>
      </c>
      <c r="I62" s="26">
        <f>(LG26V[[#This Row],["J" PRECIO VENTA ]]/LG26V[[#This Row],[BARRAS]])</f>
        <v>37.5</v>
      </c>
      <c r="J62" s="26">
        <f>(LG26V[[#This Row],["J"PRECIO COMPRA ]]/LG26V[[#This Row],[BARRAS]])</f>
        <v>17.75</v>
      </c>
      <c r="K62" s="26">
        <f>SUMIF(entradas26[CODIGO],LG26V[[#This Row],[CODIGO ]],entradas26[[CAN JUEGOS ]])</f>
        <v>10</v>
      </c>
      <c r="L62" s="26">
        <f>SUMIF(entradas26[CODIGO],LG26V[[#This Row],[CODIGO ]],entradas26[CAN BARRAS])</f>
        <v>0</v>
      </c>
      <c r="M62" s="26">
        <f>SUMIF(salidas26[[CODIGO ]],LG26V[[#This Row],[CODIGO ]],salidas26[[CANT JUEGOS ]])</f>
        <v>3</v>
      </c>
      <c r="N62" s="26">
        <f>SUMIF(salidas26[[CODIGO ]],LG26V[[#This Row],[CODIGO ]],salidas26[CANT BARRAS])</f>
        <v>0</v>
      </c>
      <c r="O62" s="26">
        <f>(LG26V[[#This Row],["J"PRECIO COMPRA ]]*LG26V[[#This Row],[STOCK JUEGOS]])</f>
        <v>2556</v>
      </c>
      <c r="P62" s="26">
        <f>(LG26V[[#This Row],["J" PRECIO VENTA ]]*LG26V[[#This Row],[STOCK JUEGOS]])</f>
        <v>5400</v>
      </c>
      <c r="Q62" s="26">
        <f>(LG26V[[#This Row],["B"PRECIO COMPRA]]*LG26V[[#This Row],[STOCK BARRAS]])</f>
        <v>195.25</v>
      </c>
      <c r="R62" s="26">
        <f>(LG26V[[#This Row],["B"PRECIO VENTA ]]*LG26V[[#This Row],[STOCK BARRAS]])</f>
        <v>412.5</v>
      </c>
      <c r="S62" s="28">
        <v>5</v>
      </c>
      <c r="T62" s="28">
        <v>11</v>
      </c>
      <c r="U62">
        <v>11.2</v>
      </c>
      <c r="W62" t="s">
        <v>120</v>
      </c>
      <c r="X62" t="s">
        <v>855</v>
      </c>
    </row>
    <row r="63" spans="1:24" ht="15.75">
      <c r="A63">
        <v>57</v>
      </c>
      <c r="B63" s="19">
        <v>1144</v>
      </c>
      <c r="C63" s="20" t="s">
        <v>121</v>
      </c>
      <c r="D63" s="26">
        <f>(LG26V[[#This Row],[CANTIDAD INICIAL JUEGO ]]+LG26V[[#This Row],[ENTRADAS JUEGOS ]]-LG26V[[#This Row],[SALIDAS JUEGOS]])</f>
        <v>16</v>
      </c>
      <c r="E63" s="26">
        <f>(LG26V[[#This Row],[CANTIDAD INICIAL BARRAS]]+LG26V[[#This Row],[ENTRADAS BARRAS]]-LG26V[[#This Row],[SALIDA BARRAS]])</f>
        <v>0</v>
      </c>
      <c r="F63" s="34">
        <v>400</v>
      </c>
      <c r="G63" s="18">
        <v>188</v>
      </c>
      <c r="H63" s="18">
        <v>10</v>
      </c>
      <c r="I63" s="26">
        <f>(LG26V[[#This Row],["J" PRECIO VENTA ]]/LG26V[[#This Row],[BARRAS]])</f>
        <v>40</v>
      </c>
      <c r="J63" s="26">
        <f>(LG26V[[#This Row],["J"PRECIO COMPRA ]]/LG26V[[#This Row],[BARRAS]])</f>
        <v>18.8</v>
      </c>
      <c r="K63" s="26">
        <f>SUMIF(entradas26[CODIGO],LG26V[[#This Row],[CODIGO ]],entradas26[[CAN JUEGOS ]])</f>
        <v>0</v>
      </c>
      <c r="L63" s="26">
        <f>SUMIF(entradas26[CODIGO],LG26V[[#This Row],[CODIGO ]],entradas26[CAN BARRAS])</f>
        <v>0</v>
      </c>
      <c r="M63" s="26">
        <f>SUMIF(salidas26[[CODIGO ]],LG26V[[#This Row],[CODIGO ]],salidas26[[CANT JUEGOS ]])</f>
        <v>2</v>
      </c>
      <c r="N63" s="26">
        <f>SUMIF(salidas26[[CODIGO ]],LG26V[[#This Row],[CODIGO ]],salidas26[CANT BARRAS])</f>
        <v>0</v>
      </c>
      <c r="O63" s="26">
        <f>(LG26V[[#This Row],["J"PRECIO COMPRA ]]*LG26V[[#This Row],[STOCK JUEGOS]])</f>
        <v>3008</v>
      </c>
      <c r="P63" s="26">
        <f>(LG26V[[#This Row],["J" PRECIO VENTA ]]*LG26V[[#This Row],[STOCK JUEGOS]])</f>
        <v>6400</v>
      </c>
      <c r="Q63" s="26">
        <f>(LG26V[[#This Row],["B"PRECIO COMPRA]]*LG26V[[#This Row],[STOCK BARRAS]])</f>
        <v>0</v>
      </c>
      <c r="R63" s="26">
        <f>(LG26V[[#This Row],["B"PRECIO VENTA ]]*LG26V[[#This Row],[STOCK BARRAS]])</f>
        <v>0</v>
      </c>
      <c r="S63" s="28">
        <v>18</v>
      </c>
      <c r="T63" s="28"/>
      <c r="U63">
        <v>8.6</v>
      </c>
      <c r="W63" t="s">
        <v>122</v>
      </c>
    </row>
    <row r="64" spans="1:24" ht="15.75">
      <c r="A64">
        <v>58</v>
      </c>
      <c r="B64" s="19">
        <v>1147</v>
      </c>
      <c r="C64" s="20" t="s">
        <v>123</v>
      </c>
      <c r="D64" s="26">
        <f>(LG26V[[#This Row],[CANTIDAD INICIAL JUEGO ]]+LG26V[[#This Row],[ENTRADAS JUEGOS ]]-LG26V[[#This Row],[SALIDAS JUEGOS]])</f>
        <v>10</v>
      </c>
      <c r="E64" s="26">
        <f>(LG26V[[#This Row],[CANTIDAD INICIAL BARRAS]]+LG26V[[#This Row],[ENTRADAS BARRAS]]-LG26V[[#This Row],[SALIDA BARRAS]])</f>
        <v>11</v>
      </c>
      <c r="F64" s="34">
        <v>420</v>
      </c>
      <c r="G64" s="18">
        <v>222</v>
      </c>
      <c r="H64" s="18">
        <v>12</v>
      </c>
      <c r="I64" s="26">
        <f>(LG26V[[#This Row],["J" PRECIO VENTA ]]/LG26V[[#This Row],[BARRAS]])</f>
        <v>35</v>
      </c>
      <c r="J64" s="26">
        <f>(LG26V[[#This Row],["J"PRECIO COMPRA ]]/LG26V[[#This Row],[BARRAS]])</f>
        <v>18.5</v>
      </c>
      <c r="K64" s="26">
        <f>SUMIF(entradas26[CODIGO],LG26V[[#This Row],[CODIGO ]],entradas26[[CAN JUEGOS ]])</f>
        <v>0</v>
      </c>
      <c r="L64" s="26">
        <f>SUMIF(entradas26[CODIGO],LG26V[[#This Row],[CODIGO ]],entradas26[CAN BARRAS])</f>
        <v>0</v>
      </c>
      <c r="M64" s="26">
        <f>SUMIF(salidas26[[CODIGO ]],LG26V[[#This Row],[CODIGO ]],salidas26[[CANT JUEGOS ]])</f>
        <v>0</v>
      </c>
      <c r="N64" s="26">
        <f>SUMIF(salidas26[[CODIGO ]],LG26V[[#This Row],[CODIGO ]],salidas26[CANT BARRAS])</f>
        <v>0</v>
      </c>
      <c r="O64" s="26">
        <f>(LG26V[[#This Row],["J"PRECIO COMPRA ]]*LG26V[[#This Row],[STOCK JUEGOS]])</f>
        <v>2220</v>
      </c>
      <c r="P64" s="26">
        <f>(LG26V[[#This Row],["J" PRECIO VENTA ]]*LG26V[[#This Row],[STOCK JUEGOS]])</f>
        <v>4200</v>
      </c>
      <c r="Q64" s="26">
        <f>(LG26V[[#This Row],["B"PRECIO COMPRA]]*LG26V[[#This Row],[STOCK BARRAS]])</f>
        <v>203.5</v>
      </c>
      <c r="R64" s="26">
        <f>(LG26V[[#This Row],["B"PRECIO VENTA ]]*LG26V[[#This Row],[STOCK BARRAS]])</f>
        <v>385</v>
      </c>
      <c r="S64" s="28">
        <v>10</v>
      </c>
      <c r="T64" s="28">
        <v>11</v>
      </c>
      <c r="U64">
        <v>9.5</v>
      </c>
      <c r="W64" t="s">
        <v>124</v>
      </c>
    </row>
    <row r="65" spans="1:23" ht="15.75">
      <c r="A65">
        <v>59</v>
      </c>
      <c r="B65" s="19">
        <v>1148</v>
      </c>
      <c r="C65" s="20" t="s">
        <v>125</v>
      </c>
      <c r="D65" s="26">
        <f>(LG26V[[#This Row],[CANTIDAD INICIAL JUEGO ]]+LG26V[[#This Row],[ENTRADAS JUEGOS ]]-LG26V[[#This Row],[SALIDAS JUEGOS]])</f>
        <v>9</v>
      </c>
      <c r="E65" s="26">
        <f>(LG26V[[#This Row],[CANTIDAD INICIAL BARRAS]]+LG26V[[#This Row],[ENTRADAS BARRAS]]-LG26V[[#This Row],[SALIDA BARRAS]])</f>
        <v>0</v>
      </c>
      <c r="F65" s="34">
        <v>500</v>
      </c>
      <c r="G65" s="18">
        <v>187</v>
      </c>
      <c r="H65" s="18">
        <v>2</v>
      </c>
      <c r="I65" s="26">
        <f>(LG26V[[#This Row],["J" PRECIO VENTA ]]/LG26V[[#This Row],[BARRAS]])</f>
        <v>250</v>
      </c>
      <c r="J65" s="26">
        <f>(LG26V[[#This Row],["J"PRECIO COMPRA ]]/LG26V[[#This Row],[BARRAS]])</f>
        <v>93.5</v>
      </c>
      <c r="K65" s="26">
        <f>SUMIF(entradas26[CODIGO],LG26V[[#This Row],[CODIGO ]],entradas26[[CAN JUEGOS ]])</f>
        <v>0</v>
      </c>
      <c r="L65" s="26">
        <f>SUMIF(entradas26[CODIGO],LG26V[[#This Row],[CODIGO ]],entradas26[CAN BARRAS])</f>
        <v>0</v>
      </c>
      <c r="M65" s="26">
        <f>SUMIF(salidas26[[CODIGO ]],LG26V[[#This Row],[CODIGO ]],salidas26[[CANT JUEGOS ]])</f>
        <v>0</v>
      </c>
      <c r="N65" s="26">
        <f>SUMIF(salidas26[[CODIGO ]],LG26V[[#This Row],[CODIGO ]],salidas26[CANT BARRAS])</f>
        <v>0</v>
      </c>
      <c r="O65" s="26">
        <f>(LG26V[[#This Row],["J"PRECIO COMPRA ]]*LG26V[[#This Row],[STOCK JUEGOS]])</f>
        <v>1683</v>
      </c>
      <c r="P65" s="26">
        <f>(LG26V[[#This Row],["J" PRECIO VENTA ]]*LG26V[[#This Row],[STOCK JUEGOS]])</f>
        <v>4500</v>
      </c>
      <c r="Q65" s="26">
        <f>(LG26V[[#This Row],["B"PRECIO COMPRA]]*LG26V[[#This Row],[STOCK BARRAS]])</f>
        <v>0</v>
      </c>
      <c r="R65" s="26">
        <f>(LG26V[[#This Row],["B"PRECIO VENTA ]]*LG26V[[#This Row],[STOCK BARRAS]])</f>
        <v>0</v>
      </c>
      <c r="S65" s="28">
        <v>9</v>
      </c>
      <c r="T65" s="28"/>
      <c r="U65">
        <v>8.85</v>
      </c>
      <c r="W65" t="s">
        <v>126</v>
      </c>
    </row>
    <row r="66" spans="1:23" ht="15.75">
      <c r="A66">
        <v>60</v>
      </c>
      <c r="B66" s="19">
        <v>1149</v>
      </c>
      <c r="C66" s="20" t="s">
        <v>127</v>
      </c>
      <c r="D66" s="26">
        <f>(LG26V[[#This Row],[CANTIDAD INICIAL JUEGO ]]+LG26V[[#This Row],[ENTRADAS JUEGOS ]]-LG26V[[#This Row],[SALIDAS JUEGOS]])</f>
        <v>2</v>
      </c>
      <c r="E66" s="26">
        <f>(LG26V[[#This Row],[CANTIDAD INICIAL BARRAS]]+LG26V[[#This Row],[ENTRADAS BARRAS]]-LG26V[[#This Row],[SALIDA BARRAS]])</f>
        <v>0</v>
      </c>
      <c r="F66" s="36">
        <v>500</v>
      </c>
      <c r="G66" s="18">
        <v>350</v>
      </c>
      <c r="H66" s="18">
        <v>2</v>
      </c>
      <c r="I66" s="26">
        <f>(LG26V[[#This Row],["J" PRECIO VENTA ]]/LG26V[[#This Row],[BARRAS]])</f>
        <v>250</v>
      </c>
      <c r="J66" s="26">
        <f>(LG26V[[#This Row],["J"PRECIO COMPRA ]]/LG26V[[#This Row],[BARRAS]])</f>
        <v>175</v>
      </c>
      <c r="K66" s="26">
        <f>SUMIF(entradas26[CODIGO],LG26V[[#This Row],[CODIGO ]],entradas26[[CAN JUEGOS ]])</f>
        <v>0</v>
      </c>
      <c r="L66" s="26">
        <f>SUMIF(entradas26[CODIGO],LG26V[[#This Row],[CODIGO ]],entradas26[CAN BARRAS])</f>
        <v>0</v>
      </c>
      <c r="M66" s="26">
        <f>SUMIF(salidas26[[CODIGO ]],LG26V[[#This Row],[CODIGO ]],salidas26[[CANT JUEGOS ]])</f>
        <v>0</v>
      </c>
      <c r="N66" s="26">
        <f>SUMIF(salidas26[[CODIGO ]],LG26V[[#This Row],[CODIGO ]],salidas26[CANT BARRAS])</f>
        <v>0</v>
      </c>
      <c r="O66" s="26">
        <f>(LG26V[[#This Row],["J"PRECIO COMPRA ]]*LG26V[[#This Row],[STOCK JUEGOS]])</f>
        <v>700</v>
      </c>
      <c r="P66" s="26">
        <f>(LG26V[[#This Row],["J" PRECIO VENTA ]]*LG26V[[#This Row],[STOCK JUEGOS]])</f>
        <v>1000</v>
      </c>
      <c r="Q66" s="26">
        <f>(LG26V[[#This Row],["B"PRECIO COMPRA]]*LG26V[[#This Row],[STOCK BARRAS]])</f>
        <v>0</v>
      </c>
      <c r="R66" s="26">
        <f>(LG26V[[#This Row],["B"PRECIO VENTA ]]*LG26V[[#This Row],[STOCK BARRAS]])</f>
        <v>0</v>
      </c>
      <c r="S66" s="28">
        <v>2</v>
      </c>
      <c r="T66" s="28"/>
    </row>
    <row r="67" spans="1:23" ht="15.75">
      <c r="A67">
        <v>61</v>
      </c>
      <c r="B67" s="19">
        <v>1150</v>
      </c>
      <c r="C67" s="21" t="s">
        <v>128</v>
      </c>
      <c r="D67" s="26">
        <f>(LG26V[[#This Row],[CANTIDAD INICIAL JUEGO ]]+LG26V[[#This Row],[ENTRADAS JUEGOS ]]-LG26V[[#This Row],[SALIDAS JUEGOS]])</f>
        <v>9</v>
      </c>
      <c r="E67" s="26">
        <f>(LG26V[[#This Row],[CANTIDAD INICIAL BARRAS]]+LG26V[[#This Row],[ENTRADAS BARRAS]]-LG26V[[#This Row],[SALIDA BARRAS]])</f>
        <v>3</v>
      </c>
      <c r="F67" s="34">
        <v>450</v>
      </c>
      <c r="G67" s="37">
        <v>155</v>
      </c>
      <c r="H67" s="18">
        <v>4</v>
      </c>
      <c r="I67" s="26">
        <f>(LG26V[[#This Row],["J" PRECIO VENTA ]]/LG26V[[#This Row],[BARRAS]])</f>
        <v>112.5</v>
      </c>
      <c r="J67" s="26">
        <f>(LG26V[[#This Row],["J"PRECIO COMPRA ]]/LG26V[[#This Row],[BARRAS]])</f>
        <v>38.75</v>
      </c>
      <c r="K67" s="26">
        <f>SUMIF(entradas26[CODIGO],LG26V[[#This Row],[CODIGO ]],entradas26[[CAN JUEGOS ]])</f>
        <v>0</v>
      </c>
      <c r="L67" s="26">
        <f>SUMIF(entradas26[CODIGO],LG26V[[#This Row],[CODIGO ]],entradas26[CAN BARRAS])</f>
        <v>0</v>
      </c>
      <c r="M67" s="26">
        <f>SUMIF(salidas26[[CODIGO ]],LG26V[[#This Row],[CODIGO ]],salidas26[[CANT JUEGOS ]])</f>
        <v>1</v>
      </c>
      <c r="N67" s="26">
        <f>SUMIF(salidas26[[CODIGO ]],LG26V[[#This Row],[CODIGO ]],salidas26[CANT BARRAS])</f>
        <v>0</v>
      </c>
      <c r="O67" s="26">
        <f>(LG26V[[#This Row],["J"PRECIO COMPRA ]]*LG26V[[#This Row],[STOCK JUEGOS]])</f>
        <v>1395</v>
      </c>
      <c r="P67" s="26">
        <f>(LG26V[[#This Row],["J" PRECIO VENTA ]]*LG26V[[#This Row],[STOCK JUEGOS]])</f>
        <v>4050</v>
      </c>
      <c r="Q67" s="26">
        <f>(LG26V[[#This Row],["B"PRECIO COMPRA]]*LG26V[[#This Row],[STOCK BARRAS]])</f>
        <v>116.25</v>
      </c>
      <c r="R67" s="26">
        <f>(LG26V[[#This Row],["B"PRECIO VENTA ]]*LG26V[[#This Row],[STOCK BARRAS]])</f>
        <v>337.5</v>
      </c>
      <c r="S67" s="28">
        <v>10</v>
      </c>
      <c r="T67" s="28">
        <v>3</v>
      </c>
      <c r="U67">
        <v>5.9</v>
      </c>
      <c r="W67" t="s">
        <v>129</v>
      </c>
    </row>
    <row r="68" spans="1:23" ht="15.75">
      <c r="A68">
        <v>62</v>
      </c>
      <c r="B68" s="19">
        <v>1153</v>
      </c>
      <c r="C68" s="20" t="s">
        <v>130</v>
      </c>
      <c r="D68" s="26">
        <f>(LG26V[[#This Row],[CANTIDAD INICIAL JUEGO ]]+LG26V[[#This Row],[ENTRADAS JUEGOS ]]-LG26V[[#This Row],[SALIDAS JUEGOS]])</f>
        <v>4</v>
      </c>
      <c r="E68" s="26">
        <f>(LG26V[[#This Row],[CANTIDAD INICIAL BARRAS]]+LG26V[[#This Row],[ENTRADAS BARRAS]]-LG26V[[#This Row],[SALIDA BARRAS]])</f>
        <v>0</v>
      </c>
      <c r="F68" s="34">
        <v>1200</v>
      </c>
      <c r="G68" s="18">
        <v>439</v>
      </c>
      <c r="H68" s="18">
        <v>24</v>
      </c>
      <c r="I68" s="26">
        <f>(LG26V[[#This Row],["J" PRECIO VENTA ]]/LG26V[[#This Row],[BARRAS]])</f>
        <v>50</v>
      </c>
      <c r="J68" s="26">
        <f>(LG26V[[#This Row],["J"PRECIO COMPRA ]]/LG26V[[#This Row],[BARRAS]])</f>
        <v>18.291666666666668</v>
      </c>
      <c r="K68" s="26">
        <f>SUMIF(entradas26[CODIGO],LG26V[[#This Row],[CODIGO ]],entradas26[[CAN JUEGOS ]])</f>
        <v>0</v>
      </c>
      <c r="L68" s="26">
        <f>SUMIF(entradas26[CODIGO],LG26V[[#This Row],[CODIGO ]],entradas26[CAN BARRAS])</f>
        <v>0</v>
      </c>
      <c r="M68" s="26">
        <f>SUMIF(salidas26[[CODIGO ]],LG26V[[#This Row],[CODIGO ]],salidas26[[CANT JUEGOS ]])</f>
        <v>0</v>
      </c>
      <c r="N68" s="26">
        <f>SUMIF(salidas26[[CODIGO ]],LG26V[[#This Row],[CODIGO ]],salidas26[CANT BARRAS])</f>
        <v>0</v>
      </c>
      <c r="O68" s="26">
        <f>(LG26V[[#This Row],["J"PRECIO COMPRA ]]*LG26V[[#This Row],[STOCK JUEGOS]])</f>
        <v>1756</v>
      </c>
      <c r="P68" s="26">
        <f>(LG26V[[#This Row],["J" PRECIO VENTA ]]*LG26V[[#This Row],[STOCK JUEGOS]])</f>
        <v>4800</v>
      </c>
      <c r="Q68" s="26">
        <f>(LG26V[[#This Row],["B"PRECIO COMPRA]]*LG26V[[#This Row],[STOCK BARRAS]])</f>
        <v>0</v>
      </c>
      <c r="R68" s="26">
        <f>(LG26V[[#This Row],["B"PRECIO VENTA ]]*LG26V[[#This Row],[STOCK BARRAS]])</f>
        <v>0</v>
      </c>
      <c r="S68" s="28">
        <v>4</v>
      </c>
      <c r="T68" s="28"/>
      <c r="U68">
        <v>31.34</v>
      </c>
    </row>
    <row r="69" spans="1:23" ht="15.75">
      <c r="B69" s="197" t="s">
        <v>846</v>
      </c>
      <c r="C69" s="74" t="s">
        <v>847</v>
      </c>
      <c r="D69" s="26">
        <f>(LG26V[[#This Row],[CANTIDAD INICIAL JUEGO ]]+LG26V[[#This Row],[ENTRADAS JUEGOS ]]-LG26V[[#This Row],[SALIDAS JUEGOS]])</f>
        <v>9</v>
      </c>
      <c r="E69" s="26">
        <f>(LG26V[[#This Row],[CANTIDAD INICIAL BARRAS]]+LG26V[[#This Row],[ENTRADAS BARRAS]]-LG26V[[#This Row],[SALIDA BARRAS]])</f>
        <v>0</v>
      </c>
      <c r="F69" s="34">
        <v>700</v>
      </c>
      <c r="G69" s="18">
        <v>250</v>
      </c>
      <c r="H69" s="18"/>
      <c r="I69" s="26" t="e">
        <f>(LG26V[[#This Row],["J" PRECIO VENTA ]]/LG26V[[#This Row],[BARRAS]])</f>
        <v>#DIV/0!</v>
      </c>
      <c r="J69" s="26" t="e">
        <f>(LG26V[[#This Row],["J"PRECIO COMPRA ]]/LG26V[[#This Row],[BARRAS]])</f>
        <v>#DIV/0!</v>
      </c>
      <c r="K69" s="26">
        <f>SUMIF(entradas26[CODIGO],LG26V[[#This Row],[CODIGO ]],entradas26[[CAN JUEGOS ]])</f>
        <v>10</v>
      </c>
      <c r="L69" s="26">
        <f>SUMIF(entradas26[CODIGO],LG26V[[#This Row],[CODIGO ]],entradas26[CAN BARRAS])</f>
        <v>0</v>
      </c>
      <c r="M69" s="26">
        <f>SUMIF(salidas26[[CODIGO ]],LG26V[[#This Row],[CODIGO ]],salidas26[[CANT JUEGOS ]])</f>
        <v>1</v>
      </c>
      <c r="N69" s="26">
        <f>SUMIF(salidas26[[CODIGO ]],LG26V[[#This Row],[CODIGO ]],salidas26[CANT BARRAS])</f>
        <v>0</v>
      </c>
      <c r="O69" s="26">
        <f>(LG26V[[#This Row],["J"PRECIO COMPRA ]]*LG26V[[#This Row],[STOCK JUEGOS]])</f>
        <v>2250</v>
      </c>
      <c r="P69" s="26">
        <f>(LG26V[[#This Row],["J" PRECIO VENTA ]]*LG26V[[#This Row],[STOCK JUEGOS]])</f>
        <v>6300</v>
      </c>
      <c r="Q69" s="26" t="e">
        <f>(LG26V[[#This Row],["B"PRECIO COMPRA]]*LG26V[[#This Row],[STOCK BARRAS]])</f>
        <v>#DIV/0!</v>
      </c>
      <c r="R69" s="26" t="e">
        <f>(LG26V[[#This Row],["B"PRECIO VENTA ]]*LG26V[[#This Row],[STOCK BARRAS]])</f>
        <v>#DIV/0!</v>
      </c>
      <c r="S69" s="28"/>
      <c r="T69" s="28"/>
      <c r="U69">
        <v>13</v>
      </c>
      <c r="W69" t="s">
        <v>848</v>
      </c>
    </row>
    <row r="70" spans="1:23" ht="15.75">
      <c r="B70">
        <v>1154</v>
      </c>
      <c r="C70" s="18" t="s">
        <v>745</v>
      </c>
      <c r="D70" s="26">
        <f>(LG26V[[#This Row],[CANTIDAD INICIAL JUEGO ]]+LG26V[[#This Row],[ENTRADAS JUEGOS ]]-LG26V[[#This Row],[SALIDAS JUEGOS]])</f>
        <v>5</v>
      </c>
      <c r="E70" s="26">
        <f>(LG26V[[#This Row],[CANTIDAD INICIAL BARRAS]]+LG26V[[#This Row],[ENTRADAS BARRAS]]-LG26V[[#This Row],[SALIDA BARRAS]])</f>
        <v>0</v>
      </c>
      <c r="F70" s="86">
        <v>1500</v>
      </c>
      <c r="G70" s="18">
        <v>551</v>
      </c>
      <c r="H70" s="18"/>
      <c r="I70" s="26" t="e">
        <f>(LG26V[[#This Row],["J" PRECIO VENTA ]]/LG26V[[#This Row],[BARRAS]])</f>
        <v>#DIV/0!</v>
      </c>
      <c r="J70" s="26" t="e">
        <f>(LG26V[[#This Row],["J"PRECIO COMPRA ]]/LG26V[[#This Row],[BARRAS]])</f>
        <v>#DIV/0!</v>
      </c>
      <c r="K70" s="26">
        <f>SUMIF(entradas26[CODIGO],LG26V[[#This Row],[CODIGO ]],entradas26[[CAN JUEGOS ]])</f>
        <v>5</v>
      </c>
      <c r="L70" s="26">
        <f>SUMIF(entradas26[CODIGO],LG26V[[#This Row],[CODIGO ]],entradas26[CAN BARRAS])</f>
        <v>0</v>
      </c>
      <c r="M70" s="26">
        <f>SUMIF(salidas26[[CODIGO ]],LG26V[[#This Row],[CODIGO ]],salidas26[[CANT JUEGOS ]])</f>
        <v>0</v>
      </c>
      <c r="N70" s="26">
        <f>SUMIF(salidas26[[CODIGO ]],LG26V[[#This Row],[CODIGO ]],salidas26[CANT BARRAS])</f>
        <v>0</v>
      </c>
      <c r="O70" s="26">
        <f>(LG26V[[#This Row],["J"PRECIO COMPRA ]]*LG26V[[#This Row],[STOCK JUEGOS]])</f>
        <v>2755</v>
      </c>
      <c r="P70" s="26">
        <f>(LG26V[[#This Row],["J" PRECIO VENTA ]]*LG26V[[#This Row],[STOCK JUEGOS]])</f>
        <v>7500</v>
      </c>
      <c r="Q70" s="26" t="e">
        <f>(LG26V[[#This Row],["B"PRECIO COMPRA]]*LG26V[[#This Row],[STOCK BARRAS]])</f>
        <v>#DIV/0!</v>
      </c>
      <c r="R70" s="26" t="e">
        <f>(LG26V[[#This Row],["B"PRECIO VENTA ]]*LG26V[[#This Row],[STOCK BARRAS]])</f>
        <v>#DIV/0!</v>
      </c>
      <c r="S70">
        <v>0</v>
      </c>
      <c r="U70">
        <v>29</v>
      </c>
      <c r="W70" t="s">
        <v>746</v>
      </c>
    </row>
  </sheetData>
  <mergeCells count="1">
    <mergeCell ref="B2:V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4"/>
  <sheetViews>
    <sheetView topLeftCell="A52" zoomScaleNormal="100" workbookViewId="0">
      <selection activeCell="D48" sqref="D48"/>
    </sheetView>
  </sheetViews>
  <sheetFormatPr baseColWidth="10" defaultColWidth="11.42578125" defaultRowHeight="15"/>
  <cols>
    <col min="1" max="1" width="6.42578125" customWidth="1"/>
    <col min="2" max="2" width="7.140625" customWidth="1"/>
    <col min="3" max="3" width="43" customWidth="1"/>
    <col min="4" max="8" width="6.42578125" customWidth="1"/>
    <col min="9" max="20" width="6.42578125" hidden="1" customWidth="1"/>
    <col min="21" max="21" width="6.42578125" customWidth="1"/>
    <col min="22" max="22" width="10.28515625" customWidth="1"/>
    <col min="23" max="23" width="18" customWidth="1"/>
  </cols>
  <sheetData>
    <row r="2" spans="1:24">
      <c r="B2" s="242" t="s">
        <v>131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 spans="1:24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</row>
    <row r="4" spans="1:24" ht="25.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  <c r="W4" t="s">
        <v>22</v>
      </c>
      <c r="X4" t="s">
        <v>132</v>
      </c>
    </row>
    <row r="5" spans="1:24" ht="15.75">
      <c r="A5">
        <v>1</v>
      </c>
      <c r="B5">
        <v>2000</v>
      </c>
      <c r="C5" s="40" t="s">
        <v>133</v>
      </c>
      <c r="D5">
        <f>(samgung26[[#This Row],[CANTIDAD INICIAL JUEGO ]]+samgung26[[#This Row],[ENTRADAS JUEGOS ]]-samgung26[[#This Row],[SALIDAS JUEGOS]])</f>
        <v>6</v>
      </c>
      <c r="E5">
        <f>(samgung26[[#This Row],[CANTIDAD INICIAL BARRAS]]+samgung26[[#This Row],[ENTRADAS BARRAS]]-samgung26[[#This Row],[SALIDA BARRAS]])</f>
        <v>1</v>
      </c>
      <c r="F5" s="35">
        <v>80</v>
      </c>
      <c r="G5" s="18">
        <v>30</v>
      </c>
      <c r="H5" s="18">
        <v>2</v>
      </c>
      <c r="I5">
        <f>(samgung26[[#This Row],["J" PRECIO VENTA ]]/samgung26[[#This Row],[BARRAS]])</f>
        <v>40</v>
      </c>
      <c r="J5">
        <f>(samgung26[[#This Row],["J"PRECIO COMPRA ]]/samgung26[[#This Row],[BARRAS]])</f>
        <v>15</v>
      </c>
      <c r="K5">
        <f>SUMIF(entradas26[CODIGO],samgung26[[#This Row],[CODIGO ]],entradas26[[CAN JUEGOS ]])</f>
        <v>20</v>
      </c>
      <c r="L5">
        <f>SUMIF(entradas26[CODIGO],samgung26[[#This Row],[CODIGO ]],entradas26[CAN BARRAS])</f>
        <v>0</v>
      </c>
      <c r="M5">
        <f>SUMIF(salidas26[[CODIGO ]],samgung26[[#This Row],[CODIGO ]],salidas26[[CANT JUEGOS ]])</f>
        <v>46</v>
      </c>
      <c r="N5">
        <f>SUMIF(salidas26[[CODIGO ]],samgung26[[#This Row],[CODIGO ]],salidas26[CANT BARRAS])</f>
        <v>0</v>
      </c>
      <c r="O5">
        <f>(samgung26[[#This Row],["J"PRECIO COMPRA ]]*samgung26[[#This Row],[STOCK JUEGOS]])</f>
        <v>180</v>
      </c>
      <c r="P5">
        <f>(samgung26[[#This Row],["J" PRECIO VENTA ]]*samgung26[[#This Row],[STOCK JUEGOS]])</f>
        <v>480</v>
      </c>
      <c r="Q5">
        <f>(samgung26[[#This Row],["B"PRECIO COMPRA]]*samgung26[[#This Row],[STOCK BARRAS]])</f>
        <v>15</v>
      </c>
      <c r="R5">
        <f>(samgung26[[#This Row],["B"PRECIO VENTA ]]*samgung26[[#This Row],[STOCK BARRAS]])</f>
        <v>40</v>
      </c>
      <c r="S5" s="39">
        <v>32</v>
      </c>
      <c r="T5" s="39">
        <v>1</v>
      </c>
      <c r="U5">
        <v>1.6</v>
      </c>
      <c r="W5" t="s">
        <v>134</v>
      </c>
      <c r="X5" t="s">
        <v>135</v>
      </c>
    </row>
    <row r="6" spans="1:24" ht="15.75">
      <c r="A6">
        <v>2</v>
      </c>
      <c r="B6">
        <v>2001</v>
      </c>
      <c r="C6" s="41" t="s">
        <v>136</v>
      </c>
      <c r="D6">
        <f>(samgung26[[#This Row],[CANTIDAD INICIAL JUEGO ]]+samgung26[[#This Row],[ENTRADAS JUEGOS ]]-samgung26[[#This Row],[SALIDAS JUEGOS]])</f>
        <v>2</v>
      </c>
      <c r="E6">
        <f>(samgung26[[#This Row],[CANTIDAD INICIAL BARRAS]]+samgung26[[#This Row],[ENTRADAS BARRAS]]-samgung26[[#This Row],[SALIDA BARRAS]])</f>
        <v>0</v>
      </c>
      <c r="F6" s="35">
        <v>150</v>
      </c>
      <c r="G6" s="18">
        <v>100</v>
      </c>
      <c r="H6" s="18">
        <v>4</v>
      </c>
      <c r="I6">
        <f>(samgung26[[#This Row],["J" PRECIO VENTA ]]/samgung26[[#This Row],[BARRAS]])</f>
        <v>37.5</v>
      </c>
      <c r="J6">
        <f>(samgung26[[#This Row],["J"PRECIO COMPRA ]]/samgung26[[#This Row],[BARRAS]])</f>
        <v>25</v>
      </c>
      <c r="K6">
        <f>SUMIF(entradas26[CODIGO],samgung26[[#This Row],[CODIGO ]],entradas26[[CAN JUEGOS ]])</f>
        <v>0</v>
      </c>
      <c r="L6">
        <f>SUMIF(entradas26[CODIGO],samgung26[[#This Row],[CODIGO ]],entradas26[CAN BARRAS])</f>
        <v>0</v>
      </c>
      <c r="M6">
        <f>SUMIF(salidas26[[CODIGO ]],samgung26[[#This Row],[CODIGO ]],salidas26[[CANT JUEGOS ]])</f>
        <v>1</v>
      </c>
      <c r="N6">
        <f>SUMIF(salidas26[[CODIGO ]],samgung26[[#This Row],[CODIGO ]],salidas26[CANT BARRAS])</f>
        <v>0</v>
      </c>
      <c r="O6">
        <f>(samgung26[[#This Row],["J"PRECIO COMPRA ]]*samgung26[[#This Row],[STOCK JUEGOS]])</f>
        <v>200</v>
      </c>
      <c r="P6">
        <f>(samgung26[[#This Row],["J" PRECIO VENTA ]]*samgung26[[#This Row],[STOCK JUEGOS]])</f>
        <v>300</v>
      </c>
      <c r="Q6">
        <f>(samgung26[[#This Row],["B"PRECIO COMPRA]]*samgung26[[#This Row],[STOCK BARRAS]])</f>
        <v>0</v>
      </c>
      <c r="R6">
        <f>(samgung26[[#This Row],["B"PRECIO VENTA ]]*samgung26[[#This Row],[STOCK BARRAS]])</f>
        <v>0</v>
      </c>
      <c r="S6" s="28">
        <v>3</v>
      </c>
      <c r="T6" s="28"/>
    </row>
    <row r="7" spans="1:24" ht="15.75">
      <c r="A7">
        <v>3</v>
      </c>
      <c r="B7">
        <v>2003</v>
      </c>
      <c r="C7" s="40" t="s">
        <v>137</v>
      </c>
      <c r="D7">
        <f>(samgung26[[#This Row],[CANTIDAD INICIAL JUEGO ]]+samgung26[[#This Row],[ENTRADAS JUEGOS ]]-samgung26[[#This Row],[SALIDAS JUEGOS]])</f>
        <v>20</v>
      </c>
      <c r="E7">
        <f>(samgung26[[#This Row],[CANTIDAD INICIAL BARRAS]]+samgung26[[#This Row],[ENTRADAS BARRAS]]-samgung26[[#This Row],[SALIDA BARRAS]])</f>
        <v>2</v>
      </c>
      <c r="F7" s="35">
        <v>130</v>
      </c>
      <c r="G7" s="18">
        <v>74</v>
      </c>
      <c r="H7" s="18">
        <v>5</v>
      </c>
      <c r="I7">
        <f>(samgung26[[#This Row],["J" PRECIO VENTA ]]/samgung26[[#This Row],[BARRAS]])</f>
        <v>26</v>
      </c>
      <c r="J7">
        <f>(samgung26[[#This Row],["J"PRECIO COMPRA ]]/samgung26[[#This Row],[BARRAS]])</f>
        <v>14.8</v>
      </c>
      <c r="K7">
        <f>SUMIF(entradas26[CODIGO],samgung26[[#This Row],[CODIGO ]],entradas26[[CAN JUEGOS ]])</f>
        <v>20</v>
      </c>
      <c r="L7">
        <f>SUMIF(entradas26[CODIGO],samgung26[[#This Row],[CODIGO ]],entradas26[CAN BARRAS])</f>
        <v>20</v>
      </c>
      <c r="M7">
        <f>SUMIF(salidas26[[CODIGO ]],samgung26[[#This Row],[CODIGO ]],salidas26[[CANT JUEGOS ]])</f>
        <v>13</v>
      </c>
      <c r="N7">
        <f>SUMIF(salidas26[[CODIGO ]],samgung26[[#This Row],[CODIGO ]],salidas26[CANT BARRAS])</f>
        <v>20</v>
      </c>
      <c r="O7">
        <f>(samgung26[[#This Row],["J"PRECIO COMPRA ]]*samgung26[[#This Row],[STOCK JUEGOS]])</f>
        <v>1480</v>
      </c>
      <c r="P7">
        <f>(samgung26[[#This Row],["J" PRECIO VENTA ]]*samgung26[[#This Row],[STOCK JUEGOS]])</f>
        <v>2600</v>
      </c>
      <c r="Q7">
        <f>(samgung26[[#This Row],["B"PRECIO COMPRA]]*samgung26[[#This Row],[STOCK BARRAS]])</f>
        <v>29.6</v>
      </c>
      <c r="R7">
        <f>(samgung26[[#This Row],["B"PRECIO VENTA ]]*samgung26[[#This Row],[STOCK BARRAS]])</f>
        <v>52</v>
      </c>
      <c r="S7" s="28">
        <v>13</v>
      </c>
      <c r="T7" s="28">
        <v>2</v>
      </c>
      <c r="U7">
        <v>3.9</v>
      </c>
      <c r="V7" t="s">
        <v>138</v>
      </c>
      <c r="W7" t="s">
        <v>139</v>
      </c>
    </row>
    <row r="8" spans="1:24" ht="15.75">
      <c r="A8">
        <v>4</v>
      </c>
      <c r="B8">
        <v>2006</v>
      </c>
      <c r="C8" s="40" t="s">
        <v>140</v>
      </c>
      <c r="D8">
        <f>(samgung26[[#This Row],[CANTIDAD INICIAL JUEGO ]]+samgung26[[#This Row],[ENTRADAS JUEGOS ]]-samgung26[[#This Row],[SALIDAS JUEGOS]])</f>
        <v>16</v>
      </c>
      <c r="E8">
        <f>(samgung26[[#This Row],[CANTIDAD INICIAL BARRAS]]+samgung26[[#This Row],[ENTRADAS BARRAS]]-samgung26[[#This Row],[SALIDA BARRAS]])</f>
        <v>1</v>
      </c>
      <c r="F8" s="35">
        <v>90</v>
      </c>
      <c r="G8" s="18">
        <v>38</v>
      </c>
      <c r="H8" s="18">
        <v>2</v>
      </c>
      <c r="I8">
        <f>(samgung26[[#This Row],["J" PRECIO VENTA ]]/samgung26[[#This Row],[BARRAS]])</f>
        <v>45</v>
      </c>
      <c r="J8">
        <f>(samgung26[[#This Row],["J"PRECIO COMPRA ]]/samgung26[[#This Row],[BARRAS]])</f>
        <v>19</v>
      </c>
      <c r="K8">
        <f>SUMIF(entradas26[CODIGO],samgung26[[#This Row],[CODIGO ]],entradas26[[CAN JUEGOS ]])</f>
        <v>0</v>
      </c>
      <c r="L8">
        <f>SUMIF(entradas26[CODIGO],samgung26[[#This Row],[CODIGO ]],entradas26[CAN BARRAS])</f>
        <v>0</v>
      </c>
      <c r="M8">
        <f>SUMIF(salidas26[[CODIGO ]],samgung26[[#This Row],[CODIGO ]],salidas26[[CANT JUEGOS ]])</f>
        <v>5</v>
      </c>
      <c r="N8">
        <f>SUMIF(salidas26[[CODIGO ]],samgung26[[#This Row],[CODIGO ]],salidas26[CANT BARRAS])</f>
        <v>0</v>
      </c>
      <c r="O8">
        <f>(samgung26[[#This Row],["J"PRECIO COMPRA ]]*samgung26[[#This Row],[STOCK JUEGOS]])</f>
        <v>608</v>
      </c>
      <c r="P8">
        <f>(samgung26[[#This Row],["J" PRECIO VENTA ]]*samgung26[[#This Row],[STOCK JUEGOS]])</f>
        <v>1440</v>
      </c>
      <c r="Q8">
        <f>(samgung26[[#This Row],["B"PRECIO COMPRA]]*samgung26[[#This Row],[STOCK BARRAS]])</f>
        <v>19</v>
      </c>
      <c r="R8">
        <f>(samgung26[[#This Row],["B"PRECIO VENTA ]]*samgung26[[#This Row],[STOCK BARRAS]])</f>
        <v>45</v>
      </c>
      <c r="S8" s="28">
        <v>21</v>
      </c>
      <c r="T8" s="28">
        <v>1</v>
      </c>
      <c r="U8">
        <v>1.6</v>
      </c>
      <c r="W8" t="s">
        <v>141</v>
      </c>
    </row>
    <row r="9" spans="1:24" ht="15.75">
      <c r="A9">
        <v>5</v>
      </c>
      <c r="B9">
        <v>2009</v>
      </c>
      <c r="C9" s="40" t="s">
        <v>142</v>
      </c>
      <c r="D9">
        <f>(samgung26[[#This Row],[CANTIDAD INICIAL JUEGO ]]+samgung26[[#This Row],[ENTRADAS JUEGOS ]]-samgung26[[#This Row],[SALIDAS JUEGOS]])</f>
        <v>18</v>
      </c>
      <c r="E9">
        <f>(samgung26[[#This Row],[CANTIDAD INICIAL BARRAS]]+samgung26[[#This Row],[ENTRADAS BARRAS]]-samgung26[[#This Row],[SALIDA BARRAS]])</f>
        <v>0</v>
      </c>
      <c r="F9" s="35">
        <v>180</v>
      </c>
      <c r="G9" s="18">
        <v>75</v>
      </c>
      <c r="H9" s="18">
        <v>2</v>
      </c>
      <c r="I9">
        <f>(samgung26[[#This Row],["J" PRECIO VENTA ]]/samgung26[[#This Row],[BARRAS]])</f>
        <v>90</v>
      </c>
      <c r="J9">
        <f>(samgung26[[#This Row],["J"PRECIO COMPRA ]]/samgung26[[#This Row],[BARRAS]])</f>
        <v>37.5</v>
      </c>
      <c r="K9">
        <f>SUMIF(entradas26[CODIGO],samgung26[[#This Row],[CODIGO ]],entradas26[[CAN JUEGOS ]])</f>
        <v>0</v>
      </c>
      <c r="L9">
        <f>SUMIF(entradas26[CODIGO],samgung26[[#This Row],[CODIGO ]],entradas26[CAN BARRAS])</f>
        <v>0</v>
      </c>
      <c r="M9">
        <f>SUMIF(salidas26[[CODIGO ]],samgung26[[#This Row],[CODIGO ]],salidas26[[CANT JUEGOS ]])</f>
        <v>1</v>
      </c>
      <c r="N9">
        <f>SUMIF(salidas26[[CODIGO ]],samgung26[[#This Row],[CODIGO ]],salidas26[CANT BARRAS])</f>
        <v>0</v>
      </c>
      <c r="O9">
        <f>(samgung26[[#This Row],["J"PRECIO COMPRA ]]*samgung26[[#This Row],[STOCK JUEGOS]])</f>
        <v>1350</v>
      </c>
      <c r="P9">
        <f>(samgung26[[#This Row],["J" PRECIO VENTA ]]*samgung26[[#This Row],[STOCK JUEGOS]])</f>
        <v>3240</v>
      </c>
      <c r="Q9">
        <f>(samgung26[[#This Row],["B"PRECIO COMPRA]]*samgung26[[#This Row],[STOCK BARRAS]])</f>
        <v>0</v>
      </c>
      <c r="R9">
        <f>(samgung26[[#This Row],["B"PRECIO VENTA ]]*samgung26[[#This Row],[STOCK BARRAS]])</f>
        <v>0</v>
      </c>
      <c r="S9" s="28">
        <v>19</v>
      </c>
      <c r="T9" s="28"/>
      <c r="U9">
        <v>3.55</v>
      </c>
      <c r="W9" t="s">
        <v>143</v>
      </c>
    </row>
    <row r="10" spans="1:24" ht="15.75">
      <c r="B10">
        <v>2008</v>
      </c>
      <c r="C10" s="40" t="s">
        <v>778</v>
      </c>
      <c r="D10">
        <f>(samgung26[[#This Row],[CANTIDAD INICIAL JUEGO ]]+samgung26[[#This Row],[ENTRADAS JUEGOS ]]-samgung26[[#This Row],[SALIDAS JUEGOS]])</f>
        <v>10</v>
      </c>
      <c r="E10">
        <f>(samgung26[[#This Row],[CANTIDAD INICIAL BARRAS]]+samgung26[[#This Row],[ENTRADAS BARRAS]]-samgung26[[#This Row],[SALIDA BARRAS]])</f>
        <v>0</v>
      </c>
      <c r="F10" s="35">
        <v>200</v>
      </c>
      <c r="G10" s="18">
        <v>103</v>
      </c>
      <c r="H10" s="18"/>
      <c r="I10" t="e">
        <f>(samgung26[[#This Row],["J" PRECIO VENTA ]]/samgung26[[#This Row],[BARRAS]])</f>
        <v>#DIV/0!</v>
      </c>
      <c r="J10" t="e">
        <f>(samgung26[[#This Row],["J"PRECIO COMPRA ]]/samgung26[[#This Row],[BARRAS]])</f>
        <v>#DIV/0!</v>
      </c>
      <c r="K10">
        <f>SUMIF(entradas26[CODIGO],samgung26[[#This Row],[CODIGO ]],entradas26[[CAN JUEGOS ]])</f>
        <v>10</v>
      </c>
      <c r="L10">
        <f>SUMIF(entradas26[CODIGO],samgung26[[#This Row],[CODIGO ]],entradas26[CAN BARRAS])</f>
        <v>0</v>
      </c>
      <c r="M10">
        <f>SUMIF(salidas26[[CODIGO ]],samgung26[[#This Row],[CODIGO ]],salidas26[[CANT JUEGOS ]])</f>
        <v>0</v>
      </c>
      <c r="N10">
        <f>SUMIF(salidas26[[CODIGO ]],samgung26[[#This Row],[CODIGO ]],salidas26[CANT BARRAS])</f>
        <v>0</v>
      </c>
      <c r="O10">
        <f>(samgung26[[#This Row],["J"PRECIO COMPRA ]]*samgung26[[#This Row],[STOCK JUEGOS]])</f>
        <v>1030</v>
      </c>
      <c r="P10">
        <f>(samgung26[[#This Row],["J" PRECIO VENTA ]]*samgung26[[#This Row],[STOCK JUEGOS]])</f>
        <v>2000</v>
      </c>
      <c r="Q10" t="e">
        <f>(samgung26[[#This Row],["B"PRECIO COMPRA]]*samgung26[[#This Row],[STOCK BARRAS]])</f>
        <v>#DIV/0!</v>
      </c>
      <c r="R10" t="e">
        <f>(samgung26[[#This Row],["B"PRECIO VENTA ]]*samgung26[[#This Row],[STOCK BARRAS]])</f>
        <v>#DIV/0!</v>
      </c>
      <c r="S10" s="28"/>
      <c r="T10" s="28"/>
      <c r="U10">
        <v>5.4</v>
      </c>
      <c r="W10" t="s">
        <v>779</v>
      </c>
    </row>
    <row r="11" spans="1:24" ht="15.75">
      <c r="A11">
        <v>6</v>
      </c>
      <c r="B11">
        <v>2012</v>
      </c>
      <c r="C11" s="42" t="s">
        <v>144</v>
      </c>
      <c r="D11">
        <f>(samgung26[[#This Row],[CANTIDAD INICIAL JUEGO ]]+samgung26[[#This Row],[ENTRADAS JUEGOS ]]-samgung26[[#This Row],[SALIDAS JUEGOS]])</f>
        <v>25</v>
      </c>
      <c r="E11">
        <f>(samgung26[[#This Row],[CANTIDAD INICIAL BARRAS]]+samgung26[[#This Row],[ENTRADAS BARRAS]]-samgung26[[#This Row],[SALIDA BARRAS]])</f>
        <v>0</v>
      </c>
      <c r="F11" s="35">
        <v>160</v>
      </c>
      <c r="G11" s="18">
        <v>66</v>
      </c>
      <c r="H11" s="18">
        <v>3</v>
      </c>
      <c r="I11">
        <f>(samgung26[[#This Row],["J" PRECIO VENTA ]]/samgung26[[#This Row],[BARRAS]])</f>
        <v>53.333333333333336</v>
      </c>
      <c r="J11">
        <f>(samgung26[[#This Row],["J"PRECIO COMPRA ]]/samgung26[[#This Row],[BARRAS]])</f>
        <v>22</v>
      </c>
      <c r="K11">
        <f>SUMIF(entradas26[CODIGO],samgung26[[#This Row],[CODIGO ]],entradas26[[CAN JUEGOS ]])</f>
        <v>20</v>
      </c>
      <c r="L11">
        <f>SUMIF(entradas26[CODIGO],samgung26[[#This Row],[CODIGO ]],entradas26[CAN BARRAS])</f>
        <v>0</v>
      </c>
      <c r="M11">
        <f>SUMIF(salidas26[[CODIGO ]],samgung26[[#This Row],[CODIGO ]],salidas26[[CANT JUEGOS ]])</f>
        <v>19</v>
      </c>
      <c r="N11">
        <f>SUMIF(salidas26[[CODIGO ]],samgung26[[#This Row],[CODIGO ]],salidas26[CANT BARRAS])</f>
        <v>0</v>
      </c>
      <c r="O11">
        <f>(samgung26[[#This Row],["J"PRECIO COMPRA ]]*samgung26[[#This Row],[STOCK JUEGOS]])</f>
        <v>1650</v>
      </c>
      <c r="P11">
        <f>(samgung26[[#This Row],["J" PRECIO VENTA ]]*samgung26[[#This Row],[STOCK JUEGOS]])</f>
        <v>4000</v>
      </c>
      <c r="Q11">
        <f>(samgung26[[#This Row],["B"PRECIO COMPRA]]*samgung26[[#This Row],[STOCK BARRAS]])</f>
        <v>0</v>
      </c>
      <c r="R11">
        <f>(samgung26[[#This Row],["B"PRECIO VENTA ]]*samgung26[[#This Row],[STOCK BARRAS]])</f>
        <v>0</v>
      </c>
      <c r="S11" s="28">
        <v>24</v>
      </c>
      <c r="T11" s="28"/>
      <c r="U11">
        <v>3.3</v>
      </c>
      <c r="W11" t="s">
        <v>145</v>
      </c>
    </row>
    <row r="12" spans="1:24" ht="15.75">
      <c r="B12">
        <v>2013</v>
      </c>
      <c r="C12" s="87" t="s">
        <v>146</v>
      </c>
      <c r="D12">
        <f>(samgung26[[#This Row],[CANTIDAD INICIAL JUEGO ]]+samgung26[[#This Row],[ENTRADAS JUEGOS ]]-samgung26[[#This Row],[SALIDAS JUEGOS]])</f>
        <v>10</v>
      </c>
      <c r="E12">
        <f>(samgung26[[#This Row],[CANTIDAD INICIAL BARRAS]]+samgung26[[#This Row],[ENTRADAS BARRAS]]-samgung26[[#This Row],[SALIDA BARRAS]])</f>
        <v>0</v>
      </c>
      <c r="F12" s="88">
        <v>250</v>
      </c>
      <c r="G12" s="18"/>
      <c r="H12" s="18">
        <v>10</v>
      </c>
      <c r="I12">
        <f>(samgung26[[#This Row],["J" PRECIO VENTA ]]/samgung26[[#This Row],[BARRAS]])</f>
        <v>25</v>
      </c>
      <c r="J12">
        <f>(samgung26[[#This Row],["J"PRECIO COMPRA ]]/samgung26[[#This Row],[BARRAS]])</f>
        <v>0</v>
      </c>
      <c r="K12">
        <f>SUMIF(entradas26[CODIGO],samgung26[[#This Row],[CODIGO ]],entradas26[[CAN JUEGOS ]])</f>
        <v>10</v>
      </c>
      <c r="L12">
        <f>SUMIF(entradas26[CODIGO],samgung26[[#This Row],[CODIGO ]],entradas26[CAN BARRAS])</f>
        <v>0</v>
      </c>
      <c r="M12">
        <f>SUMIF(salidas26[[CODIGO ]],samgung26[[#This Row],[CODIGO ]],salidas26[[CANT JUEGOS ]])</f>
        <v>0</v>
      </c>
      <c r="N12">
        <f>SUMIF(salidas26[[CODIGO ]],samgung26[[#This Row],[CODIGO ]],salidas26[CANT BARRAS])</f>
        <v>0</v>
      </c>
      <c r="O12">
        <f>(samgung26[[#This Row],["J"PRECIO COMPRA ]]*samgung26[[#This Row],[STOCK JUEGOS]])</f>
        <v>0</v>
      </c>
      <c r="P12">
        <f>(samgung26[[#This Row],["J" PRECIO VENTA ]]*samgung26[[#This Row],[STOCK JUEGOS]])</f>
        <v>2500</v>
      </c>
      <c r="Q12">
        <f>(samgung26[[#This Row],["B"PRECIO COMPRA]]*samgung26[[#This Row],[STOCK BARRAS]])</f>
        <v>0</v>
      </c>
      <c r="R12">
        <f>(samgung26[[#This Row],["B"PRECIO VENTA ]]*samgung26[[#This Row],[STOCK BARRAS]])</f>
        <v>0</v>
      </c>
      <c r="S12" s="28"/>
      <c r="T12" s="28"/>
      <c r="U12">
        <v>7.2</v>
      </c>
      <c r="W12" t="s">
        <v>147</v>
      </c>
    </row>
    <row r="13" spans="1:24" ht="15.75">
      <c r="A13">
        <v>7</v>
      </c>
      <c r="B13" s="18">
        <v>2015</v>
      </c>
      <c r="C13" s="40" t="s">
        <v>148</v>
      </c>
      <c r="D13">
        <f>(samgung26[[#This Row],[CANTIDAD INICIAL JUEGO ]]+samgung26[[#This Row],[ENTRADAS JUEGOS ]]-samgung26[[#This Row],[SALIDAS JUEGOS]])</f>
        <v>5</v>
      </c>
      <c r="E13">
        <f>(samgung26[[#This Row],[CANTIDAD INICIAL BARRAS]]+samgung26[[#This Row],[ENTRADAS BARRAS]]-samgung26[[#This Row],[SALIDA BARRAS]])</f>
        <v>3</v>
      </c>
      <c r="F13" s="45">
        <v>160</v>
      </c>
      <c r="G13" s="18">
        <v>99</v>
      </c>
      <c r="H13" s="18">
        <v>3</v>
      </c>
      <c r="I13">
        <f>(samgung26[[#This Row],["J" PRECIO VENTA ]]/samgung26[[#This Row],[BARRAS]])</f>
        <v>53.333333333333336</v>
      </c>
      <c r="J13">
        <f>(samgung26[[#This Row],["J"PRECIO COMPRA ]]/samgung26[[#This Row],[BARRAS]])</f>
        <v>33</v>
      </c>
      <c r="K13">
        <f>SUMIF(entradas26[CODIGO],samgung26[[#This Row],[CODIGO ]],entradas26[[CAN JUEGOS ]])</f>
        <v>0</v>
      </c>
      <c r="L13">
        <f>SUMIF(entradas26[CODIGO],samgung26[[#This Row],[CODIGO ]],entradas26[CAN BARRAS])</f>
        <v>0</v>
      </c>
      <c r="M13">
        <f>SUMIF(salidas26[[CODIGO ]],samgung26[[#This Row],[CODIGO ]],salidas26[[CANT JUEGOS ]])</f>
        <v>8</v>
      </c>
      <c r="N13">
        <f>SUMIF(salidas26[[CODIGO ]],samgung26[[#This Row],[CODIGO ]],salidas26[CANT BARRAS])</f>
        <v>0</v>
      </c>
      <c r="O13">
        <f>(samgung26[[#This Row],["J"PRECIO COMPRA ]]*samgung26[[#This Row],[STOCK JUEGOS]])</f>
        <v>495</v>
      </c>
      <c r="P13">
        <f>(samgung26[[#This Row],["J" PRECIO VENTA ]]*samgung26[[#This Row],[STOCK JUEGOS]])</f>
        <v>800</v>
      </c>
      <c r="Q13">
        <f>(samgung26[[#This Row],["B"PRECIO COMPRA]]*samgung26[[#This Row],[STOCK BARRAS]])</f>
        <v>99</v>
      </c>
      <c r="R13">
        <f>(samgung26[[#This Row],["B"PRECIO VENTA ]]*samgung26[[#This Row],[STOCK BARRAS]])</f>
        <v>160</v>
      </c>
      <c r="S13" s="28">
        <v>13</v>
      </c>
      <c r="T13" s="28">
        <v>3</v>
      </c>
      <c r="U13">
        <v>3.8</v>
      </c>
      <c r="W13" t="s">
        <v>149</v>
      </c>
      <c r="X13" t="s">
        <v>150</v>
      </c>
    </row>
    <row r="14" spans="1:24" ht="15.75">
      <c r="A14">
        <v>8</v>
      </c>
      <c r="B14">
        <v>2018</v>
      </c>
      <c r="C14" s="40" t="s">
        <v>151</v>
      </c>
      <c r="D14">
        <f>(samgung26[[#This Row],[CANTIDAD INICIAL JUEGO ]]+samgung26[[#This Row],[ENTRADAS JUEGOS ]]-samgung26[[#This Row],[SALIDAS JUEGOS]])</f>
        <v>14</v>
      </c>
      <c r="E14">
        <f>(samgung26[[#This Row],[CANTIDAD INICIAL BARRAS]]+samgung26[[#This Row],[ENTRADAS BARRAS]]-samgung26[[#This Row],[SALIDA BARRAS]])</f>
        <v>0</v>
      </c>
      <c r="F14" s="35">
        <v>160</v>
      </c>
      <c r="G14" s="18">
        <v>102</v>
      </c>
      <c r="H14" s="18">
        <v>3</v>
      </c>
      <c r="I14">
        <f>(samgung26[[#This Row],["J" PRECIO VENTA ]]/samgung26[[#This Row],[BARRAS]])</f>
        <v>53.333333333333336</v>
      </c>
      <c r="J14">
        <f>(samgung26[[#This Row],["J"PRECIO COMPRA ]]/samgung26[[#This Row],[BARRAS]])</f>
        <v>34</v>
      </c>
      <c r="K14">
        <f>SUMIF(entradas26[CODIGO],samgung26[[#This Row],[CODIGO ]],entradas26[[CAN JUEGOS ]])</f>
        <v>0</v>
      </c>
      <c r="L14">
        <f>SUMIF(entradas26[CODIGO],samgung26[[#This Row],[CODIGO ]],entradas26[CAN BARRAS])</f>
        <v>0</v>
      </c>
      <c r="M14">
        <f>SUMIF(salidas26[[CODIGO ]],samgung26[[#This Row],[CODIGO ]],salidas26[[CANT JUEGOS ]])</f>
        <v>5</v>
      </c>
      <c r="N14">
        <f>SUMIF(salidas26[[CODIGO ]],samgung26[[#This Row],[CODIGO ]],salidas26[CANT BARRAS])</f>
        <v>0</v>
      </c>
      <c r="O14">
        <f>(samgung26[[#This Row],["J"PRECIO COMPRA ]]*samgung26[[#This Row],[STOCK JUEGOS]])</f>
        <v>1428</v>
      </c>
      <c r="P14">
        <f>(samgung26[[#This Row],["J" PRECIO VENTA ]]*samgung26[[#This Row],[STOCK JUEGOS]])</f>
        <v>2240</v>
      </c>
      <c r="Q14">
        <f>(samgung26[[#This Row],["B"PRECIO COMPRA]]*samgung26[[#This Row],[STOCK BARRAS]])</f>
        <v>0</v>
      </c>
      <c r="R14">
        <f>(samgung26[[#This Row],["B"PRECIO VENTA ]]*samgung26[[#This Row],[STOCK BARRAS]])</f>
        <v>0</v>
      </c>
      <c r="S14" s="28">
        <v>19</v>
      </c>
      <c r="T14" s="28"/>
      <c r="U14">
        <v>2.71</v>
      </c>
      <c r="W14" t="s">
        <v>152</v>
      </c>
      <c r="X14" t="s">
        <v>153</v>
      </c>
    </row>
    <row r="15" spans="1:24" ht="15.75">
      <c r="B15">
        <v>2019</v>
      </c>
      <c r="C15" s="40" t="s">
        <v>853</v>
      </c>
      <c r="D15">
        <f>(samgung26[[#This Row],[CANTIDAD INICIAL JUEGO ]]+samgung26[[#This Row],[ENTRADAS JUEGOS ]]-samgung26[[#This Row],[SALIDAS JUEGOS]])</f>
        <v>19</v>
      </c>
      <c r="E15">
        <f>(samgung26[[#This Row],[CANTIDAD INICIAL BARRAS]]+samgung26[[#This Row],[ENTRADAS BARRAS]]-samgung26[[#This Row],[SALIDA BARRAS]])</f>
        <v>0</v>
      </c>
      <c r="F15" s="35">
        <v>160</v>
      </c>
      <c r="G15" s="18">
        <v>65</v>
      </c>
      <c r="H15" s="18"/>
      <c r="I15" t="e">
        <f>(samgung26[[#This Row],["J" PRECIO VENTA ]]/samgung26[[#This Row],[BARRAS]])</f>
        <v>#DIV/0!</v>
      </c>
      <c r="J15" t="e">
        <f>(samgung26[[#This Row],["J"PRECIO COMPRA ]]/samgung26[[#This Row],[BARRAS]])</f>
        <v>#DIV/0!</v>
      </c>
      <c r="K15">
        <f>SUMIF(entradas26[CODIGO],samgung26[[#This Row],[CODIGO ]],entradas26[[CAN JUEGOS ]])</f>
        <v>20</v>
      </c>
      <c r="L15">
        <f>SUMIF(entradas26[CODIGO],samgung26[[#This Row],[CODIGO ]],entradas26[CAN BARRAS])</f>
        <v>0</v>
      </c>
      <c r="M15">
        <f>SUMIF(salidas26[[CODIGO ]],samgung26[[#This Row],[CODIGO ]],salidas26[[CANT JUEGOS ]])</f>
        <v>1</v>
      </c>
      <c r="N15">
        <f>SUMIF(salidas26[[CODIGO ]],samgung26[[#This Row],[CODIGO ]],salidas26[CANT BARRAS])</f>
        <v>0</v>
      </c>
      <c r="O15">
        <f>(samgung26[[#This Row],["J"PRECIO COMPRA ]]*samgung26[[#This Row],[STOCK JUEGOS]])</f>
        <v>1235</v>
      </c>
      <c r="P15">
        <f>(samgung26[[#This Row],["J" PRECIO VENTA ]]*samgung26[[#This Row],[STOCK JUEGOS]])</f>
        <v>3040</v>
      </c>
      <c r="Q15" t="e">
        <f>(samgung26[[#This Row],["B"PRECIO COMPRA]]*samgung26[[#This Row],[STOCK BARRAS]])</f>
        <v>#DIV/0!</v>
      </c>
      <c r="R15" t="e">
        <f>(samgung26[[#This Row],["B"PRECIO VENTA ]]*samgung26[[#This Row],[STOCK BARRAS]])</f>
        <v>#DIV/0!</v>
      </c>
      <c r="S15" s="28"/>
      <c r="T15" s="28"/>
      <c r="U15">
        <v>3.4</v>
      </c>
      <c r="W15" t="s">
        <v>854</v>
      </c>
    </row>
    <row r="16" spans="1:24" ht="15.75">
      <c r="A16">
        <v>9</v>
      </c>
      <c r="B16">
        <v>2021</v>
      </c>
      <c r="C16" s="40" t="s">
        <v>154</v>
      </c>
      <c r="D16">
        <f>(samgung26[[#This Row],[CANTIDAD INICIAL JUEGO ]]+samgung26[[#This Row],[ENTRADAS JUEGOS ]]-samgung26[[#This Row],[SALIDAS JUEGOS]])</f>
        <v>22</v>
      </c>
      <c r="E16">
        <f>(samgung26[[#This Row],[CANTIDAD INICIAL BARRAS]]+samgung26[[#This Row],[ENTRADAS BARRAS]]-samgung26[[#This Row],[SALIDA BARRAS]])</f>
        <v>7</v>
      </c>
      <c r="F16" s="35">
        <v>260</v>
      </c>
      <c r="G16" s="18">
        <v>174</v>
      </c>
      <c r="H16" s="18">
        <v>14</v>
      </c>
      <c r="I16">
        <f>(samgung26[[#This Row],["J" PRECIO VENTA ]]/samgung26[[#This Row],[BARRAS]])</f>
        <v>18.571428571428573</v>
      </c>
      <c r="J16">
        <f>(samgung26[[#This Row],["J"PRECIO COMPRA ]]/samgung26[[#This Row],[BARRAS]])</f>
        <v>12.428571428571429</v>
      </c>
      <c r="K16">
        <f>SUMIF(entradas26[CODIGO],samgung26[[#This Row],[CODIGO ]],entradas26[[CAN JUEGOS ]])</f>
        <v>20</v>
      </c>
      <c r="L16">
        <f>SUMIF(entradas26[CODIGO],samgung26[[#This Row],[CODIGO ]],entradas26[CAN BARRAS])</f>
        <v>0</v>
      </c>
      <c r="M16">
        <f>SUMIF(salidas26[[CODIGO ]],samgung26[[#This Row],[CODIGO ]],salidas26[[CANT JUEGOS ]])</f>
        <v>8</v>
      </c>
      <c r="N16">
        <f>SUMIF(salidas26[[CODIGO ]],samgung26[[#This Row],[CODIGO ]],salidas26[CANT BARRAS])</f>
        <v>0</v>
      </c>
      <c r="O16">
        <f>(samgung26[[#This Row],["J"PRECIO COMPRA ]]*samgung26[[#This Row],[STOCK JUEGOS]])</f>
        <v>3828</v>
      </c>
      <c r="P16">
        <f>(samgung26[[#This Row],["J" PRECIO VENTA ]]*samgung26[[#This Row],[STOCK JUEGOS]])</f>
        <v>5720</v>
      </c>
      <c r="Q16">
        <f>(samgung26[[#This Row],["B"PRECIO COMPRA]]*samgung26[[#This Row],[STOCK BARRAS]])</f>
        <v>87</v>
      </c>
      <c r="R16">
        <f>(samgung26[[#This Row],["B"PRECIO VENTA ]]*samgung26[[#This Row],[STOCK BARRAS]])</f>
        <v>130</v>
      </c>
      <c r="S16" s="28">
        <v>10</v>
      </c>
      <c r="T16" s="28">
        <v>7</v>
      </c>
      <c r="U16">
        <v>8.6999999999999993</v>
      </c>
      <c r="W16" t="s">
        <v>155</v>
      </c>
      <c r="X16" t="s">
        <v>156</v>
      </c>
    </row>
    <row r="17" spans="1:24" ht="15.75">
      <c r="A17">
        <v>10</v>
      </c>
      <c r="B17">
        <v>2024</v>
      </c>
      <c r="C17" s="40" t="s">
        <v>157</v>
      </c>
      <c r="D17">
        <f>(samgung26[[#This Row],[CANTIDAD INICIAL JUEGO ]]+samgung26[[#This Row],[ENTRADAS JUEGOS ]]-samgung26[[#This Row],[SALIDAS JUEGOS]])</f>
        <v>6</v>
      </c>
      <c r="E17">
        <f>(samgung26[[#This Row],[CANTIDAD INICIAL BARRAS]]+samgung26[[#This Row],[ENTRADAS BARRAS]]-samgung26[[#This Row],[SALIDA BARRAS]])</f>
        <v>2</v>
      </c>
      <c r="F17" s="35">
        <v>180</v>
      </c>
      <c r="G17" s="18">
        <v>42</v>
      </c>
      <c r="H17" s="18">
        <v>3</v>
      </c>
      <c r="I17">
        <f>(samgung26[[#This Row],["J" PRECIO VENTA ]]/samgung26[[#This Row],[BARRAS]])</f>
        <v>60</v>
      </c>
      <c r="J17">
        <f>(samgung26[[#This Row],["J"PRECIO COMPRA ]]/samgung26[[#This Row],[BARRAS]])</f>
        <v>14</v>
      </c>
      <c r="K17">
        <f>SUMIF(entradas26[CODIGO],samgung26[[#This Row],[CODIGO ]],entradas26[[CAN JUEGOS ]])</f>
        <v>0</v>
      </c>
      <c r="L17">
        <f>SUMIF(entradas26[CODIGO],samgung26[[#This Row],[CODIGO ]],entradas26[CAN BARRAS])</f>
        <v>3</v>
      </c>
      <c r="M17">
        <f>SUMIF(salidas26[[CODIGO ]],samgung26[[#This Row],[CODIGO ]],salidas26[[CANT JUEGOS ]])</f>
        <v>20</v>
      </c>
      <c r="N17">
        <f>SUMIF(salidas26[[CODIGO ]],samgung26[[#This Row],[CODIGO ]],salidas26[CANT BARRAS])</f>
        <v>1</v>
      </c>
      <c r="O17">
        <f>(samgung26[[#This Row],["J"PRECIO COMPRA ]]*samgung26[[#This Row],[STOCK JUEGOS]])</f>
        <v>252</v>
      </c>
      <c r="P17">
        <f>(samgung26[[#This Row],["J" PRECIO VENTA ]]*samgung26[[#This Row],[STOCK JUEGOS]])</f>
        <v>1080</v>
      </c>
      <c r="Q17">
        <f>(samgung26[[#This Row],["B"PRECIO COMPRA]]*samgung26[[#This Row],[STOCK BARRAS]])</f>
        <v>28</v>
      </c>
      <c r="R17">
        <f>(samgung26[[#This Row],["B"PRECIO VENTA ]]*samgung26[[#This Row],[STOCK BARRAS]])</f>
        <v>120</v>
      </c>
      <c r="S17" s="70">
        <v>26</v>
      </c>
      <c r="T17" s="70"/>
      <c r="U17">
        <v>2.1</v>
      </c>
      <c r="W17" t="s">
        <v>158</v>
      </c>
      <c r="X17" t="s">
        <v>159</v>
      </c>
    </row>
    <row r="18" spans="1:24" ht="15.75">
      <c r="B18">
        <v>2025</v>
      </c>
      <c r="C18" s="40" t="s">
        <v>756</v>
      </c>
      <c r="D18">
        <f>(samgung26[[#This Row],[CANTIDAD INICIAL JUEGO ]]+samgung26[[#This Row],[ENTRADAS JUEGOS ]]-samgung26[[#This Row],[SALIDAS JUEGOS]])</f>
        <v>20</v>
      </c>
      <c r="E18">
        <f>(samgung26[[#This Row],[CANTIDAD INICIAL BARRAS]]+samgung26[[#This Row],[ENTRADAS BARRAS]]-samgung26[[#This Row],[SALIDA BARRAS]])</f>
        <v>0</v>
      </c>
      <c r="F18" s="35">
        <v>200</v>
      </c>
      <c r="G18" s="18">
        <v>63</v>
      </c>
      <c r="H18" s="18"/>
      <c r="I18" t="e">
        <f>(samgung26[[#This Row],["J" PRECIO VENTA ]]/samgung26[[#This Row],[BARRAS]])</f>
        <v>#DIV/0!</v>
      </c>
      <c r="J18" t="e">
        <f>(samgung26[[#This Row],["J"PRECIO COMPRA ]]/samgung26[[#This Row],[BARRAS]])</f>
        <v>#DIV/0!</v>
      </c>
      <c r="K18">
        <f>SUMIF(entradas26[CODIGO],samgung26[[#This Row],[CODIGO ]],entradas26[[CAN JUEGOS ]])</f>
        <v>20</v>
      </c>
      <c r="L18">
        <f>SUMIF(entradas26[CODIGO],samgung26[[#This Row],[CODIGO ]],entradas26[CAN BARRAS])</f>
        <v>0</v>
      </c>
      <c r="M18">
        <f>SUMIF(salidas26[[CODIGO ]],samgung26[[#This Row],[CODIGO ]],salidas26[[CANT JUEGOS ]])</f>
        <v>0</v>
      </c>
      <c r="N18">
        <f>SUMIF(salidas26[[CODIGO ]],samgung26[[#This Row],[CODIGO ]],salidas26[CANT BARRAS])</f>
        <v>0</v>
      </c>
      <c r="O18">
        <f>(samgung26[[#This Row],["J"PRECIO COMPRA ]]*samgung26[[#This Row],[STOCK JUEGOS]])</f>
        <v>1260</v>
      </c>
      <c r="P18">
        <f>(samgung26[[#This Row],["J" PRECIO VENTA ]]*samgung26[[#This Row],[STOCK JUEGOS]])</f>
        <v>4000</v>
      </c>
      <c r="Q18" t="e">
        <f>(samgung26[[#This Row],["B"PRECIO COMPRA]]*samgung26[[#This Row],[STOCK BARRAS]])</f>
        <v>#DIV/0!</v>
      </c>
      <c r="R18" t="e">
        <f>(samgung26[[#This Row],["B"PRECIO VENTA ]]*samgung26[[#This Row],[STOCK BARRAS]])</f>
        <v>#DIV/0!</v>
      </c>
      <c r="S18" s="70"/>
      <c r="T18" s="70"/>
      <c r="U18">
        <v>3.3</v>
      </c>
      <c r="W18" t="s">
        <v>757</v>
      </c>
    </row>
    <row r="19" spans="1:24" ht="15.75">
      <c r="A19">
        <v>11</v>
      </c>
      <c r="B19">
        <v>2027</v>
      </c>
      <c r="C19" s="40" t="s">
        <v>160</v>
      </c>
      <c r="D19">
        <f>(samgung26[[#This Row],[CANTIDAD INICIAL JUEGO ]]+samgung26[[#This Row],[ENTRADAS JUEGOS ]]-samgung26[[#This Row],[SALIDAS JUEGOS]])</f>
        <v>0</v>
      </c>
      <c r="E19">
        <f>(samgung26[[#This Row],[CANTIDAD INICIAL BARRAS]]+samgung26[[#This Row],[ENTRADAS BARRAS]]-samgung26[[#This Row],[SALIDA BARRAS]])</f>
        <v>3</v>
      </c>
      <c r="F19" s="35">
        <v>180</v>
      </c>
      <c r="G19" s="18">
        <v>108</v>
      </c>
      <c r="H19" s="18">
        <v>8</v>
      </c>
      <c r="I19">
        <f>(samgung26[[#This Row],["J" PRECIO VENTA ]]/samgung26[[#This Row],[BARRAS]])</f>
        <v>22.5</v>
      </c>
      <c r="J19">
        <f>(samgung26[[#This Row],["J"PRECIO COMPRA ]]/samgung26[[#This Row],[BARRAS]])</f>
        <v>13.5</v>
      </c>
      <c r="K19">
        <f>SUMIF(entradas26[CODIGO],samgung26[[#This Row],[CODIGO ]],entradas26[[CAN JUEGOS ]])</f>
        <v>0</v>
      </c>
      <c r="L19">
        <f>SUMIF(entradas26[CODIGO],samgung26[[#This Row],[CODIGO ]],entradas26[CAN BARRAS])</f>
        <v>8</v>
      </c>
      <c r="M19">
        <f>SUMIF(salidas26[[CODIGO ]],samgung26[[#This Row],[CODIGO ]],salidas26[[CANT JUEGOS ]])</f>
        <v>20</v>
      </c>
      <c r="N19">
        <f>SUMIF(salidas26[[CODIGO ]],samgung26[[#This Row],[CODIGO ]],salidas26[CANT BARRAS])</f>
        <v>6</v>
      </c>
      <c r="O19">
        <f>(samgung26[[#This Row],["J"PRECIO COMPRA ]]*samgung26[[#This Row],[STOCK JUEGOS]])</f>
        <v>0</v>
      </c>
      <c r="P19">
        <f>(samgung26[[#This Row],["J" PRECIO VENTA ]]*samgung26[[#This Row],[STOCK JUEGOS]])</f>
        <v>0</v>
      </c>
      <c r="Q19">
        <f>(samgung26[[#This Row],["B"PRECIO COMPRA]]*samgung26[[#This Row],[STOCK BARRAS]])</f>
        <v>40.5</v>
      </c>
      <c r="R19">
        <f>(samgung26[[#This Row],["B"PRECIO VENTA ]]*samgung26[[#This Row],[STOCK BARRAS]])</f>
        <v>67.5</v>
      </c>
      <c r="S19" s="28">
        <v>20</v>
      </c>
      <c r="T19" s="28">
        <v>1</v>
      </c>
      <c r="U19">
        <v>4.5999999999999996</v>
      </c>
      <c r="W19" t="s">
        <v>161</v>
      </c>
      <c r="X19" t="s">
        <v>162</v>
      </c>
    </row>
    <row r="20" spans="1:24" ht="15.75">
      <c r="A20">
        <v>12</v>
      </c>
      <c r="B20">
        <v>2029</v>
      </c>
      <c r="C20" s="41" t="s">
        <v>163</v>
      </c>
      <c r="D20">
        <f>(samgung26[[#This Row],[CANTIDAD INICIAL JUEGO ]]+samgung26[[#This Row],[ENTRADAS JUEGOS ]]-samgung26[[#This Row],[SALIDAS JUEGOS]])</f>
        <v>8</v>
      </c>
      <c r="E20">
        <f>(samgung26[[#This Row],[CANTIDAD INICIAL BARRAS]]+samgung26[[#This Row],[ENTRADAS BARRAS]]-samgung26[[#This Row],[SALIDA BARRAS]])</f>
        <v>0</v>
      </c>
      <c r="F20" s="35">
        <v>220</v>
      </c>
      <c r="G20" s="18">
        <v>122</v>
      </c>
      <c r="H20" s="18">
        <v>2</v>
      </c>
      <c r="I20">
        <f>(samgung26[[#This Row],["J" PRECIO VENTA ]]/samgung26[[#This Row],[BARRAS]])</f>
        <v>110</v>
      </c>
      <c r="J20">
        <f>(samgung26[[#This Row],["J"PRECIO COMPRA ]]/samgung26[[#This Row],[BARRAS]])</f>
        <v>61</v>
      </c>
      <c r="K20">
        <f>SUMIF(entradas26[CODIGO],samgung26[[#This Row],[CODIGO ]],entradas26[[CAN JUEGOS ]])</f>
        <v>0</v>
      </c>
      <c r="L20">
        <f>SUMIF(entradas26[CODIGO],samgung26[[#This Row],[CODIGO ]],entradas26[CAN BARRAS])</f>
        <v>0</v>
      </c>
      <c r="M20">
        <f>SUMIF(salidas26[[CODIGO ]],samgung26[[#This Row],[CODIGO ]],salidas26[[CANT JUEGOS ]])</f>
        <v>1</v>
      </c>
      <c r="N20">
        <f>SUMIF(salidas26[[CODIGO ]],samgung26[[#This Row],[CODIGO ]],salidas26[CANT BARRAS])</f>
        <v>0</v>
      </c>
      <c r="O20">
        <f>(samgung26[[#This Row],["J"PRECIO COMPRA ]]*samgung26[[#This Row],[STOCK JUEGOS]])</f>
        <v>976</v>
      </c>
      <c r="P20">
        <f>(samgung26[[#This Row],["J" PRECIO VENTA ]]*samgung26[[#This Row],[STOCK JUEGOS]])</f>
        <v>1760</v>
      </c>
      <c r="Q20">
        <f>(samgung26[[#This Row],["B"PRECIO COMPRA]]*samgung26[[#This Row],[STOCK BARRAS]])</f>
        <v>0</v>
      </c>
      <c r="R20">
        <f>(samgung26[[#This Row],["B"PRECIO VENTA ]]*samgung26[[#This Row],[STOCK BARRAS]])</f>
        <v>0</v>
      </c>
      <c r="S20" s="28">
        <v>9</v>
      </c>
      <c r="T20" s="28"/>
      <c r="U20">
        <v>3.9</v>
      </c>
      <c r="W20" t="s">
        <v>164</v>
      </c>
    </row>
    <row r="21" spans="1:24" ht="15.75">
      <c r="A21">
        <v>13</v>
      </c>
      <c r="B21">
        <v>2030</v>
      </c>
      <c r="C21" s="40" t="s">
        <v>165</v>
      </c>
      <c r="D21">
        <f>(samgung26[[#This Row],[CANTIDAD INICIAL JUEGO ]]+samgung26[[#This Row],[ENTRADAS JUEGOS ]]-samgung26[[#This Row],[SALIDAS JUEGOS]])</f>
        <v>2</v>
      </c>
      <c r="E21">
        <f>(samgung26[[#This Row],[CANTIDAD INICIAL BARRAS]]+samgung26[[#This Row],[ENTRADAS BARRAS]]-samgung26[[#This Row],[SALIDA BARRAS]])</f>
        <v>1</v>
      </c>
      <c r="F21" s="35">
        <v>150</v>
      </c>
      <c r="G21" s="18">
        <v>80</v>
      </c>
      <c r="H21" s="18">
        <v>2</v>
      </c>
      <c r="I21">
        <f>(samgung26[[#This Row],["J" PRECIO VENTA ]]/samgung26[[#This Row],[BARRAS]])</f>
        <v>75</v>
      </c>
      <c r="J21">
        <f>(samgung26[[#This Row],["J"PRECIO COMPRA ]]/samgung26[[#This Row],[BARRAS]])</f>
        <v>40</v>
      </c>
      <c r="K21">
        <f>SUMIF(entradas26[CODIGO],samgung26[[#This Row],[CODIGO ]],entradas26[[CAN JUEGOS ]])</f>
        <v>0</v>
      </c>
      <c r="L21">
        <f>SUMIF(entradas26[CODIGO],samgung26[[#This Row],[CODIGO ]],entradas26[CAN BARRAS])</f>
        <v>0</v>
      </c>
      <c r="M21">
        <f>SUMIF(salidas26[[CODIGO ]],samgung26[[#This Row],[CODIGO ]],salidas26[[CANT JUEGOS ]])</f>
        <v>0</v>
      </c>
      <c r="N21">
        <f>SUMIF(salidas26[[CODIGO ]],samgung26[[#This Row],[CODIGO ]],salidas26[CANT BARRAS])</f>
        <v>0</v>
      </c>
      <c r="O21">
        <f>(samgung26[[#This Row],["J"PRECIO COMPRA ]]*samgung26[[#This Row],[STOCK JUEGOS]])</f>
        <v>160</v>
      </c>
      <c r="P21">
        <f>(samgung26[[#This Row],["J" PRECIO VENTA ]]*samgung26[[#This Row],[STOCK JUEGOS]])</f>
        <v>300</v>
      </c>
      <c r="Q21">
        <f>(samgung26[[#This Row],["B"PRECIO COMPRA]]*samgung26[[#This Row],[STOCK BARRAS]])</f>
        <v>40</v>
      </c>
      <c r="R21">
        <f>(samgung26[[#This Row],["B"PRECIO VENTA ]]*samgung26[[#This Row],[STOCK BARRAS]])</f>
        <v>75</v>
      </c>
      <c r="S21" s="28">
        <v>2</v>
      </c>
      <c r="T21" s="28">
        <v>1</v>
      </c>
    </row>
    <row r="22" spans="1:24" ht="15.75">
      <c r="A22">
        <v>14</v>
      </c>
      <c r="B22">
        <v>2033</v>
      </c>
      <c r="C22" s="40" t="s">
        <v>166</v>
      </c>
      <c r="D22">
        <f>(samgung26[[#This Row],[CANTIDAD INICIAL JUEGO ]]+samgung26[[#This Row],[ENTRADAS JUEGOS ]]-samgung26[[#This Row],[SALIDAS JUEGOS]])</f>
        <v>18</v>
      </c>
      <c r="E22">
        <f>(samgung26[[#This Row],[CANTIDAD INICIAL BARRAS]]+samgung26[[#This Row],[ENTRADAS BARRAS]]-samgung26[[#This Row],[SALIDA BARRAS]])</f>
        <v>0</v>
      </c>
      <c r="F22" s="35">
        <v>350</v>
      </c>
      <c r="G22" s="38">
        <v>200</v>
      </c>
      <c r="H22" s="18">
        <v>16</v>
      </c>
      <c r="I22">
        <f>(samgung26[[#This Row],["J" PRECIO VENTA ]]/samgung26[[#This Row],[BARRAS]])</f>
        <v>21.875</v>
      </c>
      <c r="J22">
        <f>(samgung26[[#This Row],["J"PRECIO COMPRA ]]/samgung26[[#This Row],[BARRAS]])</f>
        <v>12.5</v>
      </c>
      <c r="K22">
        <f>SUMIF(entradas26[CODIGO],samgung26[[#This Row],[CODIGO ]],entradas26[[CAN JUEGOS ]])</f>
        <v>20</v>
      </c>
      <c r="L22">
        <f>SUMIF(entradas26[CODIGO],samgung26[[#This Row],[CODIGO ]],entradas26[CAN BARRAS])</f>
        <v>0</v>
      </c>
      <c r="M22">
        <f>SUMIF(salidas26[[CODIGO ]],samgung26[[#This Row],[CODIGO ]],salidas26[[CANT JUEGOS ]])</f>
        <v>4</v>
      </c>
      <c r="N22">
        <f>SUMIF(salidas26[[CODIGO ]],samgung26[[#This Row],[CODIGO ]],salidas26[CANT BARRAS])</f>
        <v>0</v>
      </c>
      <c r="O22">
        <f>(samgung26[[#This Row],["J"PRECIO COMPRA ]]*samgung26[[#This Row],[STOCK JUEGOS]])</f>
        <v>3600</v>
      </c>
      <c r="P22">
        <f>(samgung26[[#This Row],["J" PRECIO VENTA ]]*samgung26[[#This Row],[STOCK JUEGOS]])</f>
        <v>6300</v>
      </c>
      <c r="Q22">
        <f>(samgung26[[#This Row],["B"PRECIO COMPRA]]*samgung26[[#This Row],[STOCK BARRAS]])</f>
        <v>0</v>
      </c>
      <c r="R22">
        <f>(samgung26[[#This Row],["B"PRECIO VENTA ]]*samgung26[[#This Row],[STOCK BARRAS]])</f>
        <v>0</v>
      </c>
      <c r="S22" s="28">
        <v>2</v>
      </c>
      <c r="T22" s="28"/>
      <c r="U22">
        <v>8.84</v>
      </c>
      <c r="X22" t="s">
        <v>167</v>
      </c>
    </row>
    <row r="23" spans="1:24" ht="15.75">
      <c r="A23">
        <v>15</v>
      </c>
      <c r="B23">
        <v>2036</v>
      </c>
      <c r="C23" s="40" t="s">
        <v>168</v>
      </c>
      <c r="D23">
        <f>(samgung26[[#This Row],[CANTIDAD INICIAL JUEGO ]]+samgung26[[#This Row],[ENTRADAS JUEGOS ]]-samgung26[[#This Row],[SALIDAS JUEGOS]])</f>
        <v>18</v>
      </c>
      <c r="E23">
        <f>(samgung26[[#This Row],[CANTIDAD INICIAL BARRAS]]+samgung26[[#This Row],[ENTRADAS BARRAS]]-samgung26[[#This Row],[SALIDA BARRAS]])</f>
        <v>0</v>
      </c>
      <c r="F23" s="35">
        <v>220</v>
      </c>
      <c r="G23" s="18">
        <v>63</v>
      </c>
      <c r="H23" s="18">
        <v>8</v>
      </c>
      <c r="I23">
        <f>(samgung26[[#This Row],["J" PRECIO VENTA ]]/samgung26[[#This Row],[BARRAS]])</f>
        <v>27.5</v>
      </c>
      <c r="J23">
        <f>(samgung26[[#This Row],["J"PRECIO COMPRA ]]/samgung26[[#This Row],[BARRAS]])</f>
        <v>7.875</v>
      </c>
      <c r="K23">
        <f>SUMIF(entradas26[CODIGO],samgung26[[#This Row],[CODIGO ]],entradas26[[CAN JUEGOS ]])</f>
        <v>0</v>
      </c>
      <c r="L23">
        <f>SUMIF(entradas26[CODIGO],samgung26[[#This Row],[CODIGO ]],entradas26[CAN BARRAS])</f>
        <v>0</v>
      </c>
      <c r="M23">
        <f>SUMIF(salidas26[[CODIGO ]],samgung26[[#This Row],[CODIGO ]],salidas26[[CANT JUEGOS ]])</f>
        <v>14</v>
      </c>
      <c r="N23">
        <f>SUMIF(salidas26[[CODIGO ]],samgung26[[#This Row],[CODIGO ]],salidas26[CANT BARRAS])</f>
        <v>0</v>
      </c>
      <c r="O23">
        <f>(samgung26[[#This Row],["J"PRECIO COMPRA ]]*samgung26[[#This Row],[STOCK JUEGOS]])</f>
        <v>1134</v>
      </c>
      <c r="P23">
        <f>(samgung26[[#This Row],["J" PRECIO VENTA ]]*samgung26[[#This Row],[STOCK JUEGOS]])</f>
        <v>3960</v>
      </c>
      <c r="Q23">
        <f>(samgung26[[#This Row],["B"PRECIO COMPRA]]*samgung26[[#This Row],[STOCK BARRAS]])</f>
        <v>0</v>
      </c>
      <c r="R23">
        <f>(samgung26[[#This Row],["B"PRECIO VENTA ]]*samgung26[[#This Row],[STOCK BARRAS]])</f>
        <v>0</v>
      </c>
      <c r="S23" s="28">
        <v>32</v>
      </c>
      <c r="T23" s="28"/>
      <c r="U23">
        <v>4.0999999999999996</v>
      </c>
      <c r="W23" t="s">
        <v>169</v>
      </c>
      <c r="X23" t="s">
        <v>170</v>
      </c>
    </row>
    <row r="24" spans="1:24" ht="15.75">
      <c r="A24">
        <v>17</v>
      </c>
      <c r="B24">
        <v>2039</v>
      </c>
      <c r="C24" s="43" t="s">
        <v>171</v>
      </c>
      <c r="D24">
        <f>(samgung26[[#This Row],[CANTIDAD INICIAL JUEGO ]]+samgung26[[#This Row],[ENTRADAS JUEGOS ]]-samgung26[[#This Row],[SALIDAS JUEGOS]])</f>
        <v>18</v>
      </c>
      <c r="E24">
        <f>(samgung26[[#This Row],[CANTIDAD INICIAL BARRAS]]+samgung26[[#This Row],[ENTRADAS BARRAS]]-samgung26[[#This Row],[SALIDA BARRAS]])</f>
        <v>0</v>
      </c>
      <c r="F24" s="35">
        <v>280</v>
      </c>
      <c r="G24" s="18">
        <v>156</v>
      </c>
      <c r="H24" s="18">
        <v>8</v>
      </c>
      <c r="I24">
        <f>(samgung26[[#This Row],["J" PRECIO VENTA ]]/samgung26[[#This Row],[BARRAS]])</f>
        <v>35</v>
      </c>
      <c r="J24">
        <f>(samgung26[[#This Row],["J"PRECIO COMPRA ]]/samgung26[[#This Row],[BARRAS]])</f>
        <v>19.5</v>
      </c>
      <c r="K24">
        <f>SUMIF(entradas26[CODIGO],samgung26[[#This Row],[CODIGO ]],entradas26[[CAN JUEGOS ]])</f>
        <v>20</v>
      </c>
      <c r="L24">
        <f>SUMIF(entradas26[CODIGO],samgung26[[#This Row],[CODIGO ]],entradas26[CAN BARRAS])</f>
        <v>0</v>
      </c>
      <c r="M24">
        <f>SUMIF(salidas26[[CODIGO ]],samgung26[[#This Row],[CODIGO ]],salidas26[[CANT JUEGOS ]])</f>
        <v>5</v>
      </c>
      <c r="N24">
        <f>SUMIF(salidas26[[CODIGO ]],samgung26[[#This Row],[CODIGO ]],salidas26[CANT BARRAS])</f>
        <v>0</v>
      </c>
      <c r="O24">
        <f>(samgung26[[#This Row],["J"PRECIO COMPRA ]]*samgung26[[#This Row],[STOCK JUEGOS]])</f>
        <v>2808</v>
      </c>
      <c r="P24">
        <f>(samgung26[[#This Row],["J" PRECIO VENTA ]]*samgung26[[#This Row],[STOCK JUEGOS]])</f>
        <v>5040</v>
      </c>
      <c r="Q24">
        <f>(samgung26[[#This Row],["B"PRECIO COMPRA]]*samgung26[[#This Row],[STOCK BARRAS]])</f>
        <v>0</v>
      </c>
      <c r="R24">
        <f>(samgung26[[#This Row],["B"PRECIO VENTA ]]*samgung26[[#This Row],[STOCK BARRAS]])</f>
        <v>0</v>
      </c>
      <c r="S24" s="28">
        <v>3</v>
      </c>
      <c r="T24" s="28"/>
      <c r="U24">
        <v>7.6</v>
      </c>
      <c r="W24" t="s">
        <v>172</v>
      </c>
    </row>
    <row r="25" spans="1:24" ht="15.75">
      <c r="A25">
        <v>18</v>
      </c>
      <c r="B25">
        <v>2040</v>
      </c>
      <c r="C25" s="44" t="s">
        <v>173</v>
      </c>
      <c r="D25">
        <f>(samgung26[[#This Row],[CANTIDAD INICIAL JUEGO ]]+samgung26[[#This Row],[ENTRADAS JUEGOS ]]-samgung26[[#This Row],[SALIDAS JUEGOS]])</f>
        <v>14</v>
      </c>
      <c r="E25">
        <f>(samgung26[[#This Row],[CANTIDAD INICIAL BARRAS]]+samgung26[[#This Row],[ENTRADAS BARRAS]]-samgung26[[#This Row],[SALIDA BARRAS]])</f>
        <v>0</v>
      </c>
      <c r="F25" s="35">
        <v>360</v>
      </c>
      <c r="G25" s="38">
        <v>185</v>
      </c>
      <c r="H25" s="18">
        <v>12</v>
      </c>
      <c r="I25">
        <f>(samgung26[[#This Row],["J" PRECIO VENTA ]]/samgung26[[#This Row],[BARRAS]])</f>
        <v>30</v>
      </c>
      <c r="J25">
        <f>(samgung26[[#This Row],["J"PRECIO COMPRA ]]/samgung26[[#This Row],[BARRAS]])</f>
        <v>15.416666666666666</v>
      </c>
      <c r="K25">
        <f>SUMIF(entradas26[CODIGO],samgung26[[#This Row],[CODIGO ]],entradas26[[CAN JUEGOS ]])</f>
        <v>0</v>
      </c>
      <c r="L25">
        <f>SUMIF(entradas26[CODIGO],samgung26[[#This Row],[CODIGO ]],entradas26[CAN BARRAS])</f>
        <v>0</v>
      </c>
      <c r="M25">
        <f>SUMIF(salidas26[[CODIGO ]],samgung26[[#This Row],[CODIGO ]],salidas26[[CANT JUEGOS ]])</f>
        <v>2</v>
      </c>
      <c r="N25">
        <f>SUMIF(salidas26[[CODIGO ]],samgung26[[#This Row],[CODIGO ]],salidas26[CANT BARRAS])</f>
        <v>0</v>
      </c>
      <c r="O25">
        <f>(samgung26[[#This Row],["J"PRECIO COMPRA ]]*samgung26[[#This Row],[STOCK JUEGOS]])</f>
        <v>2590</v>
      </c>
      <c r="P25">
        <f>(samgung26[[#This Row],["J" PRECIO VENTA ]]*samgung26[[#This Row],[STOCK JUEGOS]])</f>
        <v>5040</v>
      </c>
      <c r="Q25">
        <f>(samgung26[[#This Row],["B"PRECIO COMPRA]]*samgung26[[#This Row],[STOCK BARRAS]])</f>
        <v>0</v>
      </c>
      <c r="R25">
        <f>(samgung26[[#This Row],["B"PRECIO VENTA ]]*samgung26[[#This Row],[STOCK BARRAS]])</f>
        <v>0</v>
      </c>
      <c r="S25" s="28">
        <v>16</v>
      </c>
      <c r="T25" s="28"/>
      <c r="U25">
        <v>8.83</v>
      </c>
      <c r="X25" t="s">
        <v>174</v>
      </c>
    </row>
    <row r="26" spans="1:24" ht="15.75">
      <c r="A26">
        <v>19</v>
      </c>
      <c r="B26">
        <v>2042</v>
      </c>
      <c r="C26" s="40" t="s">
        <v>175</v>
      </c>
      <c r="D26">
        <f>(samgung26[[#This Row],[CANTIDAD INICIAL JUEGO ]]+samgung26[[#This Row],[ENTRADAS JUEGOS ]]-samgung26[[#This Row],[SALIDAS JUEGOS]])</f>
        <v>5</v>
      </c>
      <c r="E26">
        <f>(samgung26[[#This Row],[CANTIDAD INICIAL BARRAS]]+samgung26[[#This Row],[ENTRADAS BARRAS]]-samgung26[[#This Row],[SALIDA BARRAS]])</f>
        <v>7</v>
      </c>
      <c r="F26" s="35">
        <v>260</v>
      </c>
      <c r="G26" s="18">
        <v>109</v>
      </c>
      <c r="H26" s="18">
        <v>8</v>
      </c>
      <c r="I26">
        <f>(samgung26[[#This Row],["J" PRECIO VENTA ]]/samgung26[[#This Row],[BARRAS]])</f>
        <v>32.5</v>
      </c>
      <c r="J26">
        <f>(samgung26[[#This Row],["J"PRECIO COMPRA ]]/samgung26[[#This Row],[BARRAS]])</f>
        <v>13.625</v>
      </c>
      <c r="K26">
        <f>SUMIF(entradas26[CODIGO],samgung26[[#This Row],[CODIGO ]],entradas26[[CAN JUEGOS ]])</f>
        <v>0</v>
      </c>
      <c r="L26">
        <f>SUMIF(entradas26[CODIGO],samgung26[[#This Row],[CODIGO ]],entradas26[CAN BARRAS])</f>
        <v>8</v>
      </c>
      <c r="M26">
        <f>SUMIF(salidas26[[CODIGO ]],samgung26[[#This Row],[CODIGO ]],salidas26[[CANT JUEGOS ]])</f>
        <v>9</v>
      </c>
      <c r="N26">
        <f>SUMIF(salidas26[[CODIGO ]],samgung26[[#This Row],[CODIGO ]],salidas26[CANT BARRAS])</f>
        <v>1</v>
      </c>
      <c r="O26">
        <f>(samgung26[[#This Row],["J"PRECIO COMPRA ]]*samgung26[[#This Row],[STOCK JUEGOS]])</f>
        <v>545</v>
      </c>
      <c r="P26">
        <f>(samgung26[[#This Row],["J" PRECIO VENTA ]]*samgung26[[#This Row],[STOCK JUEGOS]])</f>
        <v>1300</v>
      </c>
      <c r="Q26">
        <f>(samgung26[[#This Row],["B"PRECIO COMPRA]]*samgung26[[#This Row],[STOCK BARRAS]])</f>
        <v>95.375</v>
      </c>
      <c r="R26">
        <f>(samgung26[[#This Row],["B"PRECIO VENTA ]]*samgung26[[#This Row],[STOCK BARRAS]])</f>
        <v>227.5</v>
      </c>
      <c r="S26" s="28">
        <v>14</v>
      </c>
      <c r="T26" s="28"/>
      <c r="U26">
        <v>5</v>
      </c>
      <c r="W26" t="s">
        <v>176</v>
      </c>
    </row>
    <row r="27" spans="1:24" ht="15.75">
      <c r="A27">
        <v>20</v>
      </c>
      <c r="B27">
        <v>2045</v>
      </c>
      <c r="C27" s="40" t="s">
        <v>177</v>
      </c>
      <c r="D27">
        <f>(samgung26[[#This Row],[CANTIDAD INICIAL JUEGO ]]+samgung26[[#This Row],[ENTRADAS JUEGOS ]]-samgung26[[#This Row],[SALIDAS JUEGOS]])</f>
        <v>25</v>
      </c>
      <c r="E27">
        <f>(samgung26[[#This Row],[CANTIDAD INICIAL BARRAS]]+samgung26[[#This Row],[ENTRADAS BARRAS]]-samgung26[[#This Row],[SALIDA BARRAS]])</f>
        <v>1</v>
      </c>
      <c r="F27" s="35">
        <v>400</v>
      </c>
      <c r="G27" s="18">
        <v>120</v>
      </c>
      <c r="H27" s="18">
        <v>2</v>
      </c>
      <c r="I27">
        <f>(samgung26[[#This Row],["J" PRECIO VENTA ]]/samgung26[[#This Row],[BARRAS]])</f>
        <v>200</v>
      </c>
      <c r="J27">
        <f>(samgung26[[#This Row],["J"PRECIO COMPRA ]]/samgung26[[#This Row],[BARRAS]])</f>
        <v>60</v>
      </c>
      <c r="K27">
        <f>SUMIF(entradas26[CODIGO],samgung26[[#This Row],[CODIGO ]],entradas26[[CAN JUEGOS ]])</f>
        <v>20</v>
      </c>
      <c r="L27">
        <f>SUMIF(entradas26[CODIGO],samgung26[[#This Row],[CODIGO ]],entradas26[CAN BARRAS])</f>
        <v>0</v>
      </c>
      <c r="M27">
        <f>SUMIF(salidas26[[CODIGO ]],samgung26[[#This Row],[CODIGO ]],salidas26[[CANT JUEGOS ]])</f>
        <v>9</v>
      </c>
      <c r="N27">
        <f>SUMIF(salidas26[[CODIGO ]],samgung26[[#This Row],[CODIGO ]],salidas26[CANT BARRAS])</f>
        <v>0</v>
      </c>
      <c r="O27">
        <f>(samgung26[[#This Row],["J"PRECIO COMPRA ]]*samgung26[[#This Row],[STOCK JUEGOS]])</f>
        <v>3000</v>
      </c>
      <c r="P27">
        <f>(samgung26[[#This Row],["J" PRECIO VENTA ]]*samgung26[[#This Row],[STOCK JUEGOS]])</f>
        <v>10000</v>
      </c>
      <c r="Q27">
        <f>(samgung26[[#This Row],["B"PRECIO COMPRA]]*samgung26[[#This Row],[STOCK BARRAS]])</f>
        <v>60</v>
      </c>
      <c r="R27">
        <f>(samgung26[[#This Row],["B"PRECIO VENTA ]]*samgung26[[#This Row],[STOCK BARRAS]])</f>
        <v>200</v>
      </c>
      <c r="S27" s="28">
        <v>14</v>
      </c>
      <c r="T27" s="28">
        <v>1</v>
      </c>
      <c r="U27">
        <v>6</v>
      </c>
      <c r="W27" t="s">
        <v>178</v>
      </c>
    </row>
    <row r="28" spans="1:24" ht="15.75">
      <c r="A28">
        <v>21</v>
      </c>
      <c r="B28">
        <v>2048</v>
      </c>
      <c r="C28" s="40" t="s">
        <v>179</v>
      </c>
      <c r="D28">
        <f>(samgung26[[#This Row],[CANTIDAD INICIAL JUEGO ]]+samgung26[[#This Row],[ENTRADAS JUEGOS ]]-samgung26[[#This Row],[SALIDAS JUEGOS]])</f>
        <v>26</v>
      </c>
      <c r="E28">
        <f>(samgung26[[#This Row],[CANTIDAD INICIAL BARRAS]]+samgung26[[#This Row],[ENTRADAS BARRAS]]-samgung26[[#This Row],[SALIDA BARRAS]])</f>
        <v>1</v>
      </c>
      <c r="F28" s="35">
        <v>180</v>
      </c>
      <c r="G28" s="18">
        <v>71</v>
      </c>
      <c r="H28" s="18">
        <v>2</v>
      </c>
      <c r="I28">
        <f>(samgung26[[#This Row],["J" PRECIO VENTA ]]/samgung26[[#This Row],[BARRAS]])</f>
        <v>90</v>
      </c>
      <c r="J28">
        <f>(samgung26[[#This Row],["J"PRECIO COMPRA ]]/samgung26[[#This Row],[BARRAS]])</f>
        <v>35.5</v>
      </c>
      <c r="K28">
        <f>SUMIF(entradas26[CODIGO],samgung26[[#This Row],[CODIGO ]],entradas26[[CAN JUEGOS ]])</f>
        <v>0</v>
      </c>
      <c r="L28">
        <f>SUMIF(entradas26[CODIGO],samgung26[[#This Row],[CODIGO ]],entradas26[CAN BARRAS])</f>
        <v>2</v>
      </c>
      <c r="M28">
        <f>SUMIF(salidas26[[CODIGO ]],samgung26[[#This Row],[CODIGO ]],salidas26[[CANT JUEGOS ]])</f>
        <v>8</v>
      </c>
      <c r="N28">
        <f>SUMIF(salidas26[[CODIGO ]],samgung26[[#This Row],[CODIGO ]],salidas26[CANT BARRAS])</f>
        <v>1</v>
      </c>
      <c r="O28">
        <f>(samgung26[[#This Row],["J"PRECIO COMPRA ]]*samgung26[[#This Row],[STOCK JUEGOS]])</f>
        <v>1846</v>
      </c>
      <c r="P28">
        <f>(samgung26[[#This Row],["J" PRECIO VENTA ]]*samgung26[[#This Row],[STOCK JUEGOS]])</f>
        <v>4680</v>
      </c>
      <c r="Q28">
        <f>(samgung26[[#This Row],["B"PRECIO COMPRA]]*samgung26[[#This Row],[STOCK BARRAS]])</f>
        <v>35.5</v>
      </c>
      <c r="R28">
        <f>(samgung26[[#This Row],["B"PRECIO VENTA ]]*samgung26[[#This Row],[STOCK BARRAS]])</f>
        <v>90</v>
      </c>
      <c r="S28" s="28">
        <v>34</v>
      </c>
      <c r="T28" s="28"/>
      <c r="U28">
        <v>2.7</v>
      </c>
      <c r="W28" t="s">
        <v>180</v>
      </c>
    </row>
    <row r="29" spans="1:24" ht="15.75">
      <c r="A29">
        <v>22</v>
      </c>
      <c r="B29">
        <v>2051</v>
      </c>
      <c r="C29" s="40" t="s">
        <v>181</v>
      </c>
      <c r="D29">
        <f>(samgung26[[#This Row],[CANTIDAD INICIAL JUEGO ]]+samgung26[[#This Row],[ENTRADAS JUEGOS ]]-samgung26[[#This Row],[SALIDAS JUEGOS]])</f>
        <v>11</v>
      </c>
      <c r="E29">
        <f>(samgung26[[#This Row],[CANTIDAD INICIAL BARRAS]]+samgung26[[#This Row],[ENTRADAS BARRAS]]-samgung26[[#This Row],[SALIDA BARRAS]])</f>
        <v>8</v>
      </c>
      <c r="F29" s="35">
        <v>260</v>
      </c>
      <c r="G29" s="18">
        <v>138</v>
      </c>
      <c r="H29" s="18">
        <v>8</v>
      </c>
      <c r="I29">
        <f>(samgung26[[#This Row],["J" PRECIO VENTA ]]/samgung26[[#This Row],[BARRAS]])</f>
        <v>32.5</v>
      </c>
      <c r="J29">
        <f>(samgung26[[#This Row],["J"PRECIO COMPRA ]]/samgung26[[#This Row],[BARRAS]])</f>
        <v>17.25</v>
      </c>
      <c r="K29">
        <f>SUMIF(entradas26[CODIGO],samgung26[[#This Row],[CODIGO ]],entradas26[[CAN JUEGOS ]])</f>
        <v>0</v>
      </c>
      <c r="L29">
        <f>SUMIF(entradas26[CODIGO],samgung26[[#This Row],[CODIGO ]],entradas26[CAN BARRAS])</f>
        <v>0</v>
      </c>
      <c r="M29">
        <f>SUMIF(salidas26[[CODIGO ]],samgung26[[#This Row],[CODIGO ]],salidas26[[CANT JUEGOS ]])</f>
        <v>9</v>
      </c>
      <c r="N29">
        <f>SUMIF(salidas26[[CODIGO ]],samgung26[[#This Row],[CODIGO ]],salidas26[CANT BARRAS])</f>
        <v>0</v>
      </c>
      <c r="O29">
        <f>(samgung26[[#This Row],["J"PRECIO COMPRA ]]*samgung26[[#This Row],[STOCK JUEGOS]])</f>
        <v>1518</v>
      </c>
      <c r="P29">
        <f>(samgung26[[#This Row],["J" PRECIO VENTA ]]*samgung26[[#This Row],[STOCK JUEGOS]])</f>
        <v>2860</v>
      </c>
      <c r="Q29">
        <f>(samgung26[[#This Row],["B"PRECIO COMPRA]]*samgung26[[#This Row],[STOCK BARRAS]])</f>
        <v>138</v>
      </c>
      <c r="R29">
        <f>(samgung26[[#This Row],["B"PRECIO VENTA ]]*samgung26[[#This Row],[STOCK BARRAS]])</f>
        <v>260</v>
      </c>
      <c r="S29" s="28">
        <v>20</v>
      </c>
      <c r="T29" s="28">
        <v>8</v>
      </c>
      <c r="U29">
        <v>6.28</v>
      </c>
      <c r="W29" t="s">
        <v>182</v>
      </c>
    </row>
    <row r="30" spans="1:24" ht="15.75">
      <c r="A30">
        <v>23</v>
      </c>
      <c r="B30">
        <v>2054</v>
      </c>
      <c r="C30" s="40" t="s">
        <v>183</v>
      </c>
      <c r="D30">
        <f>(samgung26[[#This Row],[CANTIDAD INICIAL JUEGO ]]+samgung26[[#This Row],[ENTRADAS JUEGOS ]]-samgung26[[#This Row],[SALIDAS JUEGOS]])</f>
        <v>1</v>
      </c>
      <c r="E30">
        <f>(samgung26[[#This Row],[CANTIDAD INICIAL BARRAS]]+samgung26[[#This Row],[ENTRADAS BARRAS]]-samgung26[[#This Row],[SALIDA BARRAS]])</f>
        <v>0</v>
      </c>
      <c r="F30" s="35">
        <v>280</v>
      </c>
      <c r="G30" s="18">
        <v>62</v>
      </c>
      <c r="H30" s="18">
        <v>1</v>
      </c>
      <c r="I30">
        <f>(samgung26[[#This Row],["J" PRECIO VENTA ]]/samgung26[[#This Row],[BARRAS]])</f>
        <v>280</v>
      </c>
      <c r="J30">
        <f>(samgung26[[#This Row],["J"PRECIO COMPRA ]]/samgung26[[#This Row],[BARRAS]])</f>
        <v>62</v>
      </c>
      <c r="K30">
        <f>SUMIF(entradas26[CODIGO],samgung26[[#This Row],[CODIGO ]],entradas26[[CAN JUEGOS ]])</f>
        <v>0</v>
      </c>
      <c r="L30">
        <f>SUMIF(entradas26[CODIGO],samgung26[[#This Row],[CODIGO ]],entradas26[CAN BARRAS])</f>
        <v>0</v>
      </c>
      <c r="M30">
        <f>SUMIF(salidas26[[CODIGO ]],samgung26[[#This Row],[CODIGO ]],salidas26[[CANT JUEGOS ]])</f>
        <v>1</v>
      </c>
      <c r="N30">
        <f>SUMIF(salidas26[[CODIGO ]],samgung26[[#This Row],[CODIGO ]],salidas26[CANT BARRAS])</f>
        <v>0</v>
      </c>
      <c r="O30">
        <f>(samgung26[[#This Row],["J"PRECIO COMPRA ]]*samgung26[[#This Row],[STOCK JUEGOS]])</f>
        <v>62</v>
      </c>
      <c r="P30">
        <f>(samgung26[[#This Row],["J" PRECIO VENTA ]]*samgung26[[#This Row],[STOCK JUEGOS]])</f>
        <v>280</v>
      </c>
      <c r="Q30">
        <f>(samgung26[[#This Row],["B"PRECIO COMPRA]]*samgung26[[#This Row],[STOCK BARRAS]])</f>
        <v>0</v>
      </c>
      <c r="R30">
        <f>(samgung26[[#This Row],["B"PRECIO VENTA ]]*samgung26[[#This Row],[STOCK BARRAS]])</f>
        <v>0</v>
      </c>
      <c r="S30" s="28">
        <v>2</v>
      </c>
      <c r="T30" s="28"/>
      <c r="U30">
        <v>4.4000000000000004</v>
      </c>
      <c r="W30" t="s">
        <v>184</v>
      </c>
    </row>
    <row r="31" spans="1:24" ht="15.75">
      <c r="A31">
        <v>24</v>
      </c>
      <c r="B31">
        <v>2057</v>
      </c>
      <c r="C31" s="40" t="s">
        <v>185</v>
      </c>
      <c r="D31">
        <f>(samgung26[[#This Row],[CANTIDAD INICIAL JUEGO ]]+samgung26[[#This Row],[ENTRADAS JUEGOS ]]-samgung26[[#This Row],[SALIDAS JUEGOS]])</f>
        <v>9</v>
      </c>
      <c r="E31">
        <f>(samgung26[[#This Row],[CANTIDAD INICIAL BARRAS]]+samgung26[[#This Row],[ENTRADAS BARRAS]]-samgung26[[#This Row],[SALIDA BARRAS]])</f>
        <v>0</v>
      </c>
      <c r="F31" s="35">
        <v>400</v>
      </c>
      <c r="G31" s="18">
        <v>226</v>
      </c>
      <c r="H31" s="18">
        <v>18</v>
      </c>
      <c r="I31">
        <f>(samgung26[[#This Row],["J" PRECIO VENTA ]]/samgung26[[#This Row],[BARRAS]])</f>
        <v>22.222222222222221</v>
      </c>
      <c r="J31">
        <f>(samgung26[[#This Row],["J"PRECIO COMPRA ]]/samgung26[[#This Row],[BARRAS]])</f>
        <v>12.555555555555555</v>
      </c>
      <c r="K31">
        <f>SUMIF(entradas26[CODIGO],samgung26[[#This Row],[CODIGO ]],entradas26[[CAN JUEGOS ]])</f>
        <v>0</v>
      </c>
      <c r="L31">
        <f>SUMIF(entradas26[CODIGO],samgung26[[#This Row],[CODIGO ]],entradas26[CAN BARRAS])</f>
        <v>0</v>
      </c>
      <c r="M31">
        <f>SUMIF(salidas26[[CODIGO ]],samgung26[[#This Row],[CODIGO ]],salidas26[[CANT JUEGOS ]])</f>
        <v>2</v>
      </c>
      <c r="N31">
        <f>SUMIF(salidas26[[CODIGO ]],samgung26[[#This Row],[CODIGO ]],salidas26[CANT BARRAS])</f>
        <v>0</v>
      </c>
      <c r="O31">
        <f>(samgung26[[#This Row],["J"PRECIO COMPRA ]]*samgung26[[#This Row],[STOCK JUEGOS]])</f>
        <v>2034</v>
      </c>
      <c r="P31">
        <f>(samgung26[[#This Row],["J" PRECIO VENTA ]]*samgung26[[#This Row],[STOCK JUEGOS]])</f>
        <v>3600</v>
      </c>
      <c r="Q31">
        <f>(samgung26[[#This Row],["B"PRECIO COMPRA]]*samgung26[[#This Row],[STOCK BARRAS]])</f>
        <v>0</v>
      </c>
      <c r="R31">
        <f>(samgung26[[#This Row],["B"PRECIO VENTA ]]*samgung26[[#This Row],[STOCK BARRAS]])</f>
        <v>0</v>
      </c>
      <c r="S31" s="28">
        <v>11</v>
      </c>
      <c r="T31" s="28"/>
      <c r="U31">
        <v>11.3</v>
      </c>
      <c r="W31" t="s">
        <v>186</v>
      </c>
    </row>
    <row r="32" spans="1:24" ht="15.75">
      <c r="A32">
        <v>25</v>
      </c>
      <c r="B32">
        <v>2060</v>
      </c>
      <c r="C32" s="42" t="s">
        <v>187</v>
      </c>
      <c r="D32">
        <f>(samgung26[[#This Row],[CANTIDAD INICIAL JUEGO ]]+samgung26[[#This Row],[ENTRADAS JUEGOS ]]-samgung26[[#This Row],[SALIDAS JUEGOS]])</f>
        <v>6</v>
      </c>
      <c r="E32">
        <f>(samgung26[[#This Row],[CANTIDAD INICIAL BARRAS]]+samgung26[[#This Row],[ENTRADAS BARRAS]]-samgung26[[#This Row],[SALIDA BARRAS]])</f>
        <v>0</v>
      </c>
      <c r="F32" s="35">
        <v>300</v>
      </c>
      <c r="G32" s="18">
        <v>162</v>
      </c>
      <c r="H32" s="18">
        <v>8</v>
      </c>
      <c r="I32">
        <f>(samgung26[[#This Row],["J" PRECIO VENTA ]]/samgung26[[#This Row],[BARRAS]])</f>
        <v>37.5</v>
      </c>
      <c r="J32">
        <f>(samgung26[[#This Row],["J"PRECIO COMPRA ]]/samgung26[[#This Row],[BARRAS]])</f>
        <v>20.25</v>
      </c>
      <c r="K32">
        <f>SUMIF(entradas26[CODIGO],samgung26[[#This Row],[CODIGO ]],entradas26[[CAN JUEGOS ]])</f>
        <v>0</v>
      </c>
      <c r="L32">
        <f>SUMIF(entradas26[CODIGO],samgung26[[#This Row],[CODIGO ]],entradas26[CAN BARRAS])</f>
        <v>0</v>
      </c>
      <c r="M32">
        <f>SUMIF(salidas26[[CODIGO ]],samgung26[[#This Row],[CODIGO ]],salidas26[[CANT JUEGOS ]])</f>
        <v>1</v>
      </c>
      <c r="N32">
        <f>SUMIF(salidas26[[CODIGO ]],samgung26[[#This Row],[CODIGO ]],salidas26[CANT BARRAS])</f>
        <v>0</v>
      </c>
      <c r="O32">
        <f>(samgung26[[#This Row],["J"PRECIO COMPRA ]]*samgung26[[#This Row],[STOCK JUEGOS]])</f>
        <v>972</v>
      </c>
      <c r="P32">
        <f>(samgung26[[#This Row],["J" PRECIO VENTA ]]*samgung26[[#This Row],[STOCK JUEGOS]])</f>
        <v>1800</v>
      </c>
      <c r="Q32">
        <f>(samgung26[[#This Row],["B"PRECIO COMPRA]]*samgung26[[#This Row],[STOCK BARRAS]])</f>
        <v>0</v>
      </c>
      <c r="R32">
        <f>(samgung26[[#This Row],["B"PRECIO VENTA ]]*samgung26[[#This Row],[STOCK BARRAS]])</f>
        <v>0</v>
      </c>
      <c r="S32" s="28">
        <v>7</v>
      </c>
      <c r="T32" s="28"/>
      <c r="U32">
        <v>5.2</v>
      </c>
      <c r="W32" t="s">
        <v>188</v>
      </c>
    </row>
    <row r="33" spans="1:24" ht="15.75">
      <c r="A33">
        <v>26</v>
      </c>
      <c r="B33">
        <v>2063</v>
      </c>
      <c r="C33" s="40" t="s">
        <v>189</v>
      </c>
      <c r="D33">
        <f>(samgung26[[#This Row],[CANTIDAD INICIAL JUEGO ]]+samgung26[[#This Row],[ENTRADAS JUEGOS ]]-samgung26[[#This Row],[SALIDAS JUEGOS]])</f>
        <v>22</v>
      </c>
      <c r="E33">
        <f>(samgung26[[#This Row],[CANTIDAD INICIAL BARRAS]]+samgung26[[#This Row],[ENTRADAS BARRAS]]-samgung26[[#This Row],[SALIDA BARRAS]])</f>
        <v>0</v>
      </c>
      <c r="F33" s="35">
        <v>180</v>
      </c>
      <c r="G33" s="18">
        <v>69</v>
      </c>
      <c r="H33" s="18">
        <v>2</v>
      </c>
      <c r="I33">
        <f>(samgung26[[#This Row],["J" PRECIO VENTA ]]/samgung26[[#This Row],[BARRAS]])</f>
        <v>90</v>
      </c>
      <c r="J33">
        <f>(samgung26[[#This Row],["J"PRECIO COMPRA ]]/samgung26[[#This Row],[BARRAS]])</f>
        <v>34.5</v>
      </c>
      <c r="K33">
        <f>SUMIF(entradas26[CODIGO],samgung26[[#This Row],[CODIGO ]],entradas26[[CAN JUEGOS ]])</f>
        <v>0</v>
      </c>
      <c r="L33">
        <f>SUMIF(entradas26[CODIGO],samgung26[[#This Row],[CODIGO ]],entradas26[CAN BARRAS])</f>
        <v>0</v>
      </c>
      <c r="M33">
        <f>SUMIF(salidas26[[CODIGO ]],samgung26[[#This Row],[CODIGO ]],salidas26[[CANT JUEGOS ]])</f>
        <v>10</v>
      </c>
      <c r="N33">
        <f>SUMIF(salidas26[[CODIGO ]],samgung26[[#This Row],[CODIGO ]],salidas26[CANT BARRAS])</f>
        <v>0</v>
      </c>
      <c r="O33">
        <f>(samgung26[[#This Row],["J"PRECIO COMPRA ]]*samgung26[[#This Row],[STOCK JUEGOS]])</f>
        <v>1518</v>
      </c>
      <c r="P33">
        <f>(samgung26[[#This Row],["J" PRECIO VENTA ]]*samgung26[[#This Row],[STOCK JUEGOS]])</f>
        <v>3960</v>
      </c>
      <c r="Q33">
        <f>(samgung26[[#This Row],["B"PRECIO COMPRA]]*samgung26[[#This Row],[STOCK BARRAS]])</f>
        <v>0</v>
      </c>
      <c r="R33">
        <f>(samgung26[[#This Row],["B"PRECIO VENTA ]]*samgung26[[#This Row],[STOCK BARRAS]])</f>
        <v>0</v>
      </c>
      <c r="S33" s="28">
        <v>32</v>
      </c>
      <c r="T33" s="28"/>
      <c r="U33">
        <v>3.25</v>
      </c>
      <c r="W33" t="s">
        <v>190</v>
      </c>
      <c r="X33" t="s">
        <v>191</v>
      </c>
    </row>
    <row r="34" spans="1:24" ht="15.75">
      <c r="A34">
        <v>27</v>
      </c>
      <c r="B34">
        <v>2064</v>
      </c>
      <c r="C34" s="40" t="s">
        <v>192</v>
      </c>
      <c r="D34">
        <f>(samgung26[[#This Row],[CANTIDAD INICIAL JUEGO ]]+samgung26[[#This Row],[ENTRADAS JUEGOS ]]-samgung26[[#This Row],[SALIDAS JUEGOS]])</f>
        <v>12</v>
      </c>
      <c r="E34">
        <f>(samgung26[[#This Row],[CANTIDAD INICIAL BARRAS]]+samgung26[[#This Row],[ENTRADAS BARRAS]]-samgung26[[#This Row],[SALIDA BARRAS]])</f>
        <v>0</v>
      </c>
      <c r="F34" s="35">
        <v>250</v>
      </c>
      <c r="G34" s="18">
        <v>78</v>
      </c>
      <c r="H34" s="18">
        <v>6</v>
      </c>
      <c r="I34">
        <f>(samgung26[[#This Row],["J" PRECIO VENTA ]]/samgung26[[#This Row],[BARRAS]])</f>
        <v>41.666666666666664</v>
      </c>
      <c r="J34">
        <f>(samgung26[[#This Row],["J"PRECIO COMPRA ]]/samgung26[[#This Row],[BARRAS]])</f>
        <v>13</v>
      </c>
      <c r="K34">
        <f>SUMIF(entradas26[CODIGO],samgung26[[#This Row],[CODIGO ]],entradas26[[CAN JUEGOS ]])</f>
        <v>0</v>
      </c>
      <c r="L34">
        <f>SUMIF(entradas26[CODIGO],samgung26[[#This Row],[CODIGO ]],entradas26[CAN BARRAS])</f>
        <v>0</v>
      </c>
      <c r="M34">
        <f>SUMIF(salidas26[[CODIGO ]],samgung26[[#This Row],[CODIGO ]],salidas26[[CANT JUEGOS ]])</f>
        <v>8</v>
      </c>
      <c r="N34">
        <f>SUMIF(salidas26[[CODIGO ]],samgung26[[#This Row],[CODIGO ]],salidas26[CANT BARRAS])</f>
        <v>0</v>
      </c>
      <c r="O34">
        <f>(samgung26[[#This Row],["J"PRECIO COMPRA ]]*samgung26[[#This Row],[STOCK JUEGOS]])</f>
        <v>936</v>
      </c>
      <c r="P34">
        <f>(samgung26[[#This Row],["J" PRECIO VENTA ]]*samgung26[[#This Row],[STOCK JUEGOS]])</f>
        <v>3000</v>
      </c>
      <c r="Q34">
        <f>(samgung26[[#This Row],["B"PRECIO COMPRA]]*samgung26[[#This Row],[STOCK BARRAS]])</f>
        <v>0</v>
      </c>
      <c r="R34">
        <f>(samgung26[[#This Row],["B"PRECIO VENTA ]]*samgung26[[#This Row],[STOCK BARRAS]])</f>
        <v>0</v>
      </c>
      <c r="S34" s="28">
        <v>20</v>
      </c>
      <c r="T34" s="28"/>
      <c r="U34">
        <v>3.77</v>
      </c>
      <c r="W34" t="s">
        <v>193</v>
      </c>
      <c r="X34" t="s">
        <v>194</v>
      </c>
    </row>
    <row r="35" spans="1:24" ht="15.75">
      <c r="A35">
        <v>28</v>
      </c>
      <c r="B35">
        <v>2065</v>
      </c>
      <c r="C35" s="40" t="s">
        <v>195</v>
      </c>
      <c r="D35">
        <f>(samgung26[[#This Row],[CANTIDAD INICIAL JUEGO ]]+samgung26[[#This Row],[ENTRADAS JUEGOS ]]-samgung26[[#This Row],[SALIDAS JUEGOS]])</f>
        <v>13</v>
      </c>
      <c r="E35">
        <f>(samgung26[[#This Row],[CANTIDAD INICIAL BARRAS]]+samgung26[[#This Row],[ENTRADAS BARRAS]]-samgung26[[#This Row],[SALIDA BARRAS]])</f>
        <v>0</v>
      </c>
      <c r="F35" s="35">
        <v>220</v>
      </c>
      <c r="G35" s="18">
        <v>93</v>
      </c>
      <c r="H35" s="18">
        <v>2</v>
      </c>
      <c r="I35">
        <f>(samgung26[[#This Row],["J" PRECIO VENTA ]]/samgung26[[#This Row],[BARRAS]])</f>
        <v>110</v>
      </c>
      <c r="J35">
        <f>(samgung26[[#This Row],["J"PRECIO COMPRA ]]/samgung26[[#This Row],[BARRAS]])</f>
        <v>46.5</v>
      </c>
      <c r="K35">
        <f>SUMIF(entradas26[CODIGO],samgung26[[#This Row],[CODIGO ]],entradas26[[CAN JUEGOS ]])</f>
        <v>0</v>
      </c>
      <c r="L35">
        <f>SUMIF(entradas26[CODIGO],samgung26[[#This Row],[CODIGO ]],entradas26[CAN BARRAS])</f>
        <v>0</v>
      </c>
      <c r="M35">
        <f>SUMIF(salidas26[[CODIGO ]],samgung26[[#This Row],[CODIGO ]],salidas26[[CANT JUEGOS ]])</f>
        <v>3</v>
      </c>
      <c r="N35">
        <f>SUMIF(salidas26[[CODIGO ]],samgung26[[#This Row],[CODIGO ]],salidas26[CANT BARRAS])</f>
        <v>0</v>
      </c>
      <c r="O35">
        <f>(samgung26[[#This Row],["J"PRECIO COMPRA ]]*samgung26[[#This Row],[STOCK JUEGOS]])</f>
        <v>1209</v>
      </c>
      <c r="P35">
        <f>(samgung26[[#This Row],["J" PRECIO VENTA ]]*samgung26[[#This Row],[STOCK JUEGOS]])</f>
        <v>2860</v>
      </c>
      <c r="Q35">
        <f>(samgung26[[#This Row],["B"PRECIO COMPRA]]*samgung26[[#This Row],[STOCK BARRAS]])</f>
        <v>0</v>
      </c>
      <c r="R35">
        <f>(samgung26[[#This Row],["B"PRECIO VENTA ]]*samgung26[[#This Row],[STOCK BARRAS]])</f>
        <v>0</v>
      </c>
      <c r="S35" s="28">
        <v>16</v>
      </c>
      <c r="T35" s="28"/>
      <c r="U35">
        <v>3.5</v>
      </c>
      <c r="W35" t="s">
        <v>196</v>
      </c>
    </row>
    <row r="36" spans="1:24" ht="15.75">
      <c r="A36">
        <v>29</v>
      </c>
      <c r="B36">
        <v>2066</v>
      </c>
      <c r="C36" s="40" t="s">
        <v>197</v>
      </c>
      <c r="D36">
        <f>(samgung26[[#This Row],[CANTIDAD INICIAL JUEGO ]]+samgung26[[#This Row],[ENTRADAS JUEGOS ]]-samgung26[[#This Row],[SALIDAS JUEGOS]])</f>
        <v>2</v>
      </c>
      <c r="E36">
        <f>(samgung26[[#This Row],[CANTIDAD INICIAL BARRAS]]+samgung26[[#This Row],[ENTRADAS BARRAS]]-samgung26[[#This Row],[SALIDA BARRAS]])</f>
        <v>0</v>
      </c>
      <c r="F36" s="35">
        <v>300</v>
      </c>
      <c r="G36" s="38">
        <v>144</v>
      </c>
      <c r="H36" s="18">
        <v>8</v>
      </c>
      <c r="I36">
        <f>(samgung26[[#This Row],["J" PRECIO VENTA ]]/samgung26[[#This Row],[BARRAS]])</f>
        <v>37.5</v>
      </c>
      <c r="J36">
        <f>(samgung26[[#This Row],["J"PRECIO COMPRA ]]/samgung26[[#This Row],[BARRAS]])</f>
        <v>18</v>
      </c>
      <c r="K36">
        <f>SUMIF(entradas26[CODIGO],samgung26[[#This Row],[CODIGO ]],entradas26[[CAN JUEGOS ]])</f>
        <v>0</v>
      </c>
      <c r="L36">
        <f>SUMIF(entradas26[CODIGO],samgung26[[#This Row],[CODIGO ]],entradas26[CAN BARRAS])</f>
        <v>0</v>
      </c>
      <c r="M36">
        <f>SUMIF(salidas26[[CODIGO ]],samgung26[[#This Row],[CODIGO ]],salidas26[[CANT JUEGOS ]])</f>
        <v>0</v>
      </c>
      <c r="N36">
        <f>SUMIF(salidas26[[CODIGO ]],samgung26[[#This Row],[CODIGO ]],salidas26[CANT BARRAS])</f>
        <v>0</v>
      </c>
      <c r="O36">
        <f>(samgung26[[#This Row],["J"PRECIO COMPRA ]]*samgung26[[#This Row],[STOCK JUEGOS]])</f>
        <v>288</v>
      </c>
      <c r="P36">
        <f>(samgung26[[#This Row],["J" PRECIO VENTA ]]*samgung26[[#This Row],[STOCK JUEGOS]])</f>
        <v>600</v>
      </c>
      <c r="Q36">
        <f>(samgung26[[#This Row],["B"PRECIO COMPRA]]*samgung26[[#This Row],[STOCK BARRAS]])</f>
        <v>0</v>
      </c>
      <c r="R36">
        <f>(samgung26[[#This Row],["B"PRECIO VENTA ]]*samgung26[[#This Row],[STOCK BARRAS]])</f>
        <v>0</v>
      </c>
      <c r="S36" s="28">
        <v>2</v>
      </c>
      <c r="T36" s="28"/>
      <c r="U36">
        <v>6.55</v>
      </c>
      <c r="W36" t="s">
        <v>198</v>
      </c>
    </row>
    <row r="37" spans="1:24" ht="15.75">
      <c r="A37">
        <v>30</v>
      </c>
      <c r="B37">
        <v>2067</v>
      </c>
      <c r="C37" s="41" t="s">
        <v>199</v>
      </c>
      <c r="D37">
        <f>(samgung26[[#This Row],[CANTIDAD INICIAL JUEGO ]]+samgung26[[#This Row],[ENTRADAS JUEGOS ]]-samgung26[[#This Row],[SALIDAS JUEGOS]])</f>
        <v>8</v>
      </c>
      <c r="E37">
        <f>(samgung26[[#This Row],[CANTIDAD INICIAL BARRAS]]+samgung26[[#This Row],[ENTRADAS BARRAS]]-samgung26[[#This Row],[SALIDA BARRAS]])</f>
        <v>0</v>
      </c>
      <c r="F37" s="35">
        <v>400</v>
      </c>
      <c r="G37" s="18">
        <v>271</v>
      </c>
      <c r="H37" s="18">
        <v>12</v>
      </c>
      <c r="I37">
        <f>(samgung26[[#This Row],["J" PRECIO VENTA ]]/samgung26[[#This Row],[BARRAS]])</f>
        <v>33.333333333333336</v>
      </c>
      <c r="J37">
        <f>(samgung26[[#This Row],["J"PRECIO COMPRA ]]/samgung26[[#This Row],[BARRAS]])</f>
        <v>22.583333333333332</v>
      </c>
      <c r="K37">
        <f>SUMIF(entradas26[CODIGO],samgung26[[#This Row],[CODIGO ]],entradas26[[CAN JUEGOS ]])</f>
        <v>0</v>
      </c>
      <c r="L37">
        <f>SUMIF(entradas26[CODIGO],samgung26[[#This Row],[CODIGO ]],entradas26[CAN BARRAS])</f>
        <v>0</v>
      </c>
      <c r="M37">
        <f>SUMIF(salidas26[[CODIGO ]],samgung26[[#This Row],[CODIGO ]],salidas26[[CANT JUEGOS ]])</f>
        <v>2</v>
      </c>
      <c r="N37">
        <f>SUMIF(salidas26[[CODIGO ]],samgung26[[#This Row],[CODIGO ]],salidas26[CANT BARRAS])</f>
        <v>0</v>
      </c>
      <c r="O37">
        <f>(samgung26[[#This Row],["J"PRECIO COMPRA ]]*samgung26[[#This Row],[STOCK JUEGOS]])</f>
        <v>2168</v>
      </c>
      <c r="P37">
        <f>(samgung26[[#This Row],["J" PRECIO VENTA ]]*samgung26[[#This Row],[STOCK JUEGOS]])</f>
        <v>3200</v>
      </c>
      <c r="Q37">
        <f>(samgung26[[#This Row],["B"PRECIO COMPRA]]*samgung26[[#This Row],[STOCK BARRAS]])</f>
        <v>0</v>
      </c>
      <c r="R37">
        <f>(samgung26[[#This Row],["B"PRECIO VENTA ]]*samgung26[[#This Row],[STOCK BARRAS]])</f>
        <v>0</v>
      </c>
      <c r="S37" s="28">
        <v>10</v>
      </c>
      <c r="T37" s="28"/>
      <c r="U37">
        <v>10.3</v>
      </c>
      <c r="W37" t="s">
        <v>200</v>
      </c>
    </row>
    <row r="38" spans="1:24" ht="15.75">
      <c r="B38" t="s">
        <v>850</v>
      </c>
      <c r="C38" s="40" t="s">
        <v>851</v>
      </c>
      <c r="D38">
        <f>(samgung26[[#This Row],[CANTIDAD INICIAL JUEGO ]]+samgung26[[#This Row],[ENTRADAS JUEGOS ]]-samgung26[[#This Row],[SALIDAS JUEGOS]])</f>
        <v>18</v>
      </c>
      <c r="E38">
        <f>(samgung26[[#This Row],[CANTIDAD INICIAL BARRAS]]+samgung26[[#This Row],[ENTRADAS BARRAS]]-samgung26[[#This Row],[SALIDA BARRAS]])</f>
        <v>0</v>
      </c>
      <c r="F38" s="35">
        <v>250</v>
      </c>
      <c r="G38" s="18">
        <v>82</v>
      </c>
      <c r="H38" s="18"/>
      <c r="I38" t="e">
        <f>(samgung26[[#This Row],["J" PRECIO VENTA ]]/samgung26[[#This Row],[BARRAS]])</f>
        <v>#DIV/0!</v>
      </c>
      <c r="J38" t="e">
        <f>(samgung26[[#This Row],["J"PRECIO COMPRA ]]/samgung26[[#This Row],[BARRAS]])</f>
        <v>#DIV/0!</v>
      </c>
      <c r="K38">
        <f>SUMIF(entradas26[CODIGO],samgung26[[#This Row],[CODIGO ]],entradas26[[CAN JUEGOS ]])</f>
        <v>20</v>
      </c>
      <c r="L38">
        <f>SUMIF(entradas26[CODIGO],samgung26[[#This Row],[CODIGO ]],entradas26[CAN BARRAS])</f>
        <v>0</v>
      </c>
      <c r="M38">
        <f>SUMIF(salidas26[[CODIGO ]],samgung26[[#This Row],[CODIGO ]],salidas26[[CANT JUEGOS ]])</f>
        <v>2</v>
      </c>
      <c r="N38">
        <f>SUMIF(salidas26[[CODIGO ]],samgung26[[#This Row],[CODIGO ]],salidas26[CANT BARRAS])</f>
        <v>0</v>
      </c>
      <c r="O38">
        <f>(samgung26[[#This Row],["J"PRECIO COMPRA ]]*samgung26[[#This Row],[STOCK JUEGOS]])</f>
        <v>1476</v>
      </c>
      <c r="P38">
        <f>(samgung26[[#This Row],["J" PRECIO VENTA ]]*samgung26[[#This Row],[STOCK JUEGOS]])</f>
        <v>4500</v>
      </c>
      <c r="Q38" t="e">
        <f>(samgung26[[#This Row],["B"PRECIO COMPRA]]*samgung26[[#This Row],[STOCK BARRAS]])</f>
        <v>#DIV/0!</v>
      </c>
      <c r="R38" t="e">
        <f>(samgung26[[#This Row],["B"PRECIO VENTA ]]*samgung26[[#This Row],[STOCK BARRAS]])</f>
        <v>#DIV/0!</v>
      </c>
      <c r="S38" s="28"/>
      <c r="T38" s="28"/>
      <c r="U38">
        <v>4.3</v>
      </c>
      <c r="W38" t="s">
        <v>852</v>
      </c>
    </row>
    <row r="39" spans="1:24" ht="15.75">
      <c r="A39">
        <v>31</v>
      </c>
      <c r="B39" s="18">
        <v>2069</v>
      </c>
      <c r="C39" s="40" t="s">
        <v>201</v>
      </c>
      <c r="D39">
        <f>(samgung26[[#This Row],[CANTIDAD INICIAL JUEGO ]]+samgung26[[#This Row],[ENTRADAS JUEGOS ]]-samgung26[[#This Row],[SALIDAS JUEGOS]])</f>
        <v>8</v>
      </c>
      <c r="E39">
        <f>(samgung26[[#This Row],[CANTIDAD INICIAL BARRAS]]+samgung26[[#This Row],[ENTRADAS BARRAS]]-samgung26[[#This Row],[SALIDA BARRAS]])</f>
        <v>10</v>
      </c>
      <c r="F39" s="45">
        <v>420</v>
      </c>
      <c r="G39" s="18">
        <v>308</v>
      </c>
      <c r="H39" s="18">
        <v>20</v>
      </c>
      <c r="I39">
        <f>(samgung26[[#This Row],["J" PRECIO VENTA ]]/samgung26[[#This Row],[BARRAS]])</f>
        <v>21</v>
      </c>
      <c r="J39">
        <f>(samgung26[[#This Row],["J"PRECIO COMPRA ]]/samgung26[[#This Row],[BARRAS]])</f>
        <v>15.4</v>
      </c>
      <c r="K39">
        <f>SUMIF(entradas26[CODIGO],samgung26[[#This Row],[CODIGO ]],entradas26[[CAN JUEGOS ]])</f>
        <v>0</v>
      </c>
      <c r="L39">
        <f>SUMIF(entradas26[CODIGO],samgung26[[#This Row],[CODIGO ]],entradas26[CAN BARRAS])</f>
        <v>0</v>
      </c>
      <c r="M39">
        <f>SUMIF(salidas26[[CODIGO ]],samgung26[[#This Row],[CODIGO ]],salidas26[[CANT JUEGOS ]])</f>
        <v>0</v>
      </c>
      <c r="N39">
        <f>SUMIF(salidas26[[CODIGO ]],samgung26[[#This Row],[CODIGO ]],salidas26[CANT BARRAS])</f>
        <v>0</v>
      </c>
      <c r="O39">
        <f>(samgung26[[#This Row],["J"PRECIO COMPRA ]]*samgung26[[#This Row],[STOCK JUEGOS]])</f>
        <v>2464</v>
      </c>
      <c r="P39">
        <f>(samgung26[[#This Row],["J" PRECIO VENTA ]]*samgung26[[#This Row],[STOCK JUEGOS]])</f>
        <v>3360</v>
      </c>
      <c r="Q39">
        <f>(samgung26[[#This Row],["B"PRECIO COMPRA]]*samgung26[[#This Row],[STOCK BARRAS]])</f>
        <v>154</v>
      </c>
      <c r="R39">
        <f>(samgung26[[#This Row],["B"PRECIO VENTA ]]*samgung26[[#This Row],[STOCK BARRAS]])</f>
        <v>210</v>
      </c>
      <c r="S39" s="28">
        <v>8</v>
      </c>
      <c r="T39" s="28">
        <v>10</v>
      </c>
      <c r="U39">
        <v>1.1000000000000001</v>
      </c>
      <c r="V39" t="s">
        <v>202</v>
      </c>
      <c r="W39" t="s">
        <v>203</v>
      </c>
    </row>
    <row r="40" spans="1:24" ht="15.75">
      <c r="A40">
        <v>32</v>
      </c>
      <c r="B40">
        <v>2070</v>
      </c>
      <c r="C40" s="41" t="s">
        <v>204</v>
      </c>
      <c r="D40">
        <f>(samgung26[[#This Row],[CANTIDAD INICIAL JUEGO ]]+samgung26[[#This Row],[ENTRADAS JUEGOS ]]-samgung26[[#This Row],[SALIDAS JUEGOS]])</f>
        <v>6</v>
      </c>
      <c r="E40">
        <f>(samgung26[[#This Row],[CANTIDAD INICIAL BARRAS]]+samgung26[[#This Row],[ENTRADAS BARRAS]]-samgung26[[#This Row],[SALIDA BARRAS]])</f>
        <v>0</v>
      </c>
      <c r="F40" s="35">
        <v>700</v>
      </c>
      <c r="G40" s="18">
        <v>329</v>
      </c>
      <c r="H40" s="18">
        <v>2</v>
      </c>
      <c r="I40">
        <f>(samgung26[[#This Row],["J" PRECIO VENTA ]]/samgung26[[#This Row],[BARRAS]])</f>
        <v>350</v>
      </c>
      <c r="J40">
        <f>(samgung26[[#This Row],["J"PRECIO COMPRA ]]/samgung26[[#This Row],[BARRAS]])</f>
        <v>164.5</v>
      </c>
      <c r="K40">
        <f>SUMIF(entradas26[CODIGO],samgung26[[#This Row],[CODIGO ]],entradas26[[CAN JUEGOS ]])</f>
        <v>0</v>
      </c>
      <c r="L40">
        <f>SUMIF(entradas26[CODIGO],samgung26[[#This Row],[CODIGO ]],entradas26[CAN BARRAS])</f>
        <v>0</v>
      </c>
      <c r="M40">
        <f>SUMIF(salidas26[[CODIGO ]],samgung26[[#This Row],[CODIGO ]],salidas26[[CANT JUEGOS ]])</f>
        <v>0</v>
      </c>
      <c r="N40">
        <f>SUMIF(salidas26[[CODIGO ]],samgung26[[#This Row],[CODIGO ]],salidas26[CANT BARRAS])</f>
        <v>0</v>
      </c>
      <c r="O40">
        <f>(samgung26[[#This Row],["J"PRECIO COMPRA ]]*samgung26[[#This Row],[STOCK JUEGOS]])</f>
        <v>1974</v>
      </c>
      <c r="P40">
        <f>(samgung26[[#This Row],["J" PRECIO VENTA ]]*samgung26[[#This Row],[STOCK JUEGOS]])</f>
        <v>4200</v>
      </c>
      <c r="Q40">
        <f>(samgung26[[#This Row],["B"PRECIO COMPRA]]*samgung26[[#This Row],[STOCK BARRAS]])</f>
        <v>0</v>
      </c>
      <c r="R40">
        <f>(samgung26[[#This Row],["B"PRECIO VENTA ]]*samgung26[[#This Row],[STOCK BARRAS]])</f>
        <v>0</v>
      </c>
      <c r="S40" s="28">
        <v>6</v>
      </c>
      <c r="T40" s="28"/>
      <c r="U40">
        <v>16.399999999999999</v>
      </c>
      <c r="W40" t="s">
        <v>205</v>
      </c>
    </row>
    <row r="41" spans="1:24" ht="15.75">
      <c r="A41">
        <v>33</v>
      </c>
      <c r="B41">
        <v>2072</v>
      </c>
      <c r="C41" s="40" t="s">
        <v>206</v>
      </c>
      <c r="D41">
        <f>(samgung26[[#This Row],[CANTIDAD INICIAL JUEGO ]]+samgung26[[#This Row],[ENTRADAS JUEGOS ]]-samgung26[[#This Row],[SALIDAS JUEGOS]])</f>
        <v>9</v>
      </c>
      <c r="E41">
        <f>(samgung26[[#This Row],[CANTIDAD INICIAL BARRAS]]+samgung26[[#This Row],[ENTRADAS BARRAS]]-samgung26[[#This Row],[SALIDA BARRAS]])</f>
        <v>5</v>
      </c>
      <c r="F41" s="35">
        <v>480</v>
      </c>
      <c r="G41" s="18">
        <v>238</v>
      </c>
      <c r="H41" s="18">
        <v>12</v>
      </c>
      <c r="I41">
        <f>(samgung26[[#This Row],["J" PRECIO VENTA ]]/samgung26[[#This Row],[BARRAS]])</f>
        <v>40</v>
      </c>
      <c r="J41">
        <f>(samgung26[[#This Row],["J"PRECIO COMPRA ]]/samgung26[[#This Row],[BARRAS]])</f>
        <v>19.833333333333332</v>
      </c>
      <c r="K41">
        <f>SUMIF(entradas26[CODIGO],samgung26[[#This Row],[CODIGO ]],entradas26[[CAN JUEGOS ]])</f>
        <v>10</v>
      </c>
      <c r="L41">
        <f>SUMIF(entradas26[CODIGO],samgung26[[#This Row],[CODIGO ]],entradas26[CAN BARRAS])</f>
        <v>24</v>
      </c>
      <c r="M41">
        <f>SUMIF(salidas26[[CODIGO ]],samgung26[[#This Row],[CODIGO ]],salidas26[[CANT JUEGOS ]])</f>
        <v>5</v>
      </c>
      <c r="N41">
        <f>SUMIF(salidas26[[CODIGO ]],samgung26[[#This Row],[CODIGO ]],salidas26[CANT BARRAS])</f>
        <v>24</v>
      </c>
      <c r="O41">
        <f>(samgung26[[#This Row],["J"PRECIO COMPRA ]]*samgung26[[#This Row],[STOCK JUEGOS]])</f>
        <v>2142</v>
      </c>
      <c r="P41">
        <f>(samgung26[[#This Row],["J" PRECIO VENTA ]]*samgung26[[#This Row],[STOCK JUEGOS]])</f>
        <v>4320</v>
      </c>
      <c r="Q41">
        <f>(samgung26[[#This Row],["B"PRECIO COMPRA]]*samgung26[[#This Row],[STOCK BARRAS]])</f>
        <v>99.166666666666657</v>
      </c>
      <c r="R41">
        <f>(samgung26[[#This Row],["B"PRECIO VENTA ]]*samgung26[[#This Row],[STOCK BARRAS]])</f>
        <v>200</v>
      </c>
      <c r="S41" s="28">
        <v>4</v>
      </c>
      <c r="T41" s="28">
        <v>5</v>
      </c>
      <c r="U41">
        <v>12.5</v>
      </c>
      <c r="W41" t="s">
        <v>207</v>
      </c>
    </row>
    <row r="42" spans="1:24" ht="15.75">
      <c r="A42">
        <v>34</v>
      </c>
      <c r="B42">
        <v>2075</v>
      </c>
      <c r="C42" s="40" t="s">
        <v>208</v>
      </c>
      <c r="D42">
        <f>(samgung26[[#This Row],[CANTIDAD INICIAL JUEGO ]]+samgung26[[#This Row],[ENTRADAS JUEGOS ]]-samgung26[[#This Row],[SALIDAS JUEGOS]])</f>
        <v>35</v>
      </c>
      <c r="E42">
        <f>(samgung26[[#This Row],[CANTIDAD INICIAL BARRAS]]+samgung26[[#This Row],[ENTRADAS BARRAS]]-samgung26[[#This Row],[SALIDA BARRAS]])</f>
        <v>0</v>
      </c>
      <c r="F42" s="35">
        <v>200</v>
      </c>
      <c r="G42" s="18">
        <v>70</v>
      </c>
      <c r="H42" s="18">
        <v>2</v>
      </c>
      <c r="I42">
        <f>(samgung26[[#This Row],["J" PRECIO VENTA ]]/samgung26[[#This Row],[BARRAS]])</f>
        <v>100</v>
      </c>
      <c r="J42">
        <f>(samgung26[[#This Row],["J"PRECIO COMPRA ]]/samgung26[[#This Row],[BARRAS]])</f>
        <v>35</v>
      </c>
      <c r="K42">
        <f>SUMIF(entradas26[CODIGO],samgung26[[#This Row],[CODIGO ]],entradas26[[CAN JUEGOS ]])</f>
        <v>40</v>
      </c>
      <c r="L42">
        <f>SUMIF(entradas26[CODIGO],samgung26[[#This Row],[CODIGO ]],entradas26[CAN BARRAS])</f>
        <v>0</v>
      </c>
      <c r="M42">
        <f>SUMIF(salidas26[[CODIGO ]],samgung26[[#This Row],[CODIGO ]],salidas26[[CANT JUEGOS ]])</f>
        <v>32</v>
      </c>
      <c r="N42">
        <f>SUMIF(salidas26[[CODIGO ]],samgung26[[#This Row],[CODIGO ]],salidas26[CANT BARRAS])</f>
        <v>1</v>
      </c>
      <c r="O42">
        <f>(samgung26[[#This Row],["J"PRECIO COMPRA ]]*samgung26[[#This Row],[STOCK JUEGOS]])</f>
        <v>2450</v>
      </c>
      <c r="P42">
        <f>(samgung26[[#This Row],["J" PRECIO VENTA ]]*samgung26[[#This Row],[STOCK JUEGOS]])</f>
        <v>7000</v>
      </c>
      <c r="Q42">
        <f>(samgung26[[#This Row],["B"PRECIO COMPRA]]*samgung26[[#This Row],[STOCK BARRAS]])</f>
        <v>0</v>
      </c>
      <c r="R42">
        <f>(samgung26[[#This Row],["B"PRECIO VENTA ]]*samgung26[[#This Row],[STOCK BARRAS]])</f>
        <v>0</v>
      </c>
      <c r="S42" s="28">
        <v>27</v>
      </c>
      <c r="T42" s="28">
        <v>1</v>
      </c>
      <c r="U42">
        <v>3.5</v>
      </c>
      <c r="W42" t="s">
        <v>209</v>
      </c>
      <c r="X42" t="s">
        <v>210</v>
      </c>
    </row>
    <row r="43" spans="1:24" ht="15.75">
      <c r="A43">
        <v>35</v>
      </c>
      <c r="B43">
        <v>2078</v>
      </c>
      <c r="C43" s="40" t="s">
        <v>211</v>
      </c>
      <c r="D43">
        <f>(samgung26[[#This Row],[CANTIDAD INICIAL JUEGO ]]+samgung26[[#This Row],[ENTRADAS JUEGOS ]]-samgung26[[#This Row],[SALIDAS JUEGOS]])</f>
        <v>22</v>
      </c>
      <c r="E43">
        <f>(samgung26[[#This Row],[CANTIDAD INICIAL BARRAS]]+samgung26[[#This Row],[ENTRADAS BARRAS]]-samgung26[[#This Row],[SALIDA BARRAS]])</f>
        <v>1</v>
      </c>
      <c r="F43" s="35">
        <v>250</v>
      </c>
      <c r="G43" s="18">
        <v>64</v>
      </c>
      <c r="H43" s="18">
        <v>4</v>
      </c>
      <c r="I43">
        <f>(samgung26[[#This Row],["J" PRECIO VENTA ]]/samgung26[[#This Row],[BARRAS]])</f>
        <v>62.5</v>
      </c>
      <c r="J43">
        <f>(samgung26[[#This Row],["J"PRECIO COMPRA ]]/samgung26[[#This Row],[BARRAS]])</f>
        <v>16</v>
      </c>
      <c r="K43">
        <f>SUMIF(entradas26[CODIGO],samgung26[[#This Row],[CODIGO ]],entradas26[[CAN JUEGOS ]])</f>
        <v>20</v>
      </c>
      <c r="L43">
        <f>SUMIF(entradas26[CODIGO],samgung26[[#This Row],[CODIGO ]],entradas26[CAN BARRAS])</f>
        <v>4</v>
      </c>
      <c r="M43">
        <f>SUMIF(salidas26[[CODIGO ]],samgung26[[#This Row],[CODIGO ]],salidas26[[CANT JUEGOS ]])</f>
        <v>12</v>
      </c>
      <c r="N43">
        <f>SUMIF(salidas26[[CODIGO ]],samgung26[[#This Row],[CODIGO ]],salidas26[CANT BARRAS])</f>
        <v>4</v>
      </c>
      <c r="O43">
        <f>(samgung26[[#This Row],["J"PRECIO COMPRA ]]*samgung26[[#This Row],[STOCK JUEGOS]])</f>
        <v>1408</v>
      </c>
      <c r="P43">
        <f>(samgung26[[#This Row],["J" PRECIO VENTA ]]*samgung26[[#This Row],[STOCK JUEGOS]])</f>
        <v>5500</v>
      </c>
      <c r="Q43">
        <f>(samgung26[[#This Row],["B"PRECIO COMPRA]]*samgung26[[#This Row],[STOCK BARRAS]])</f>
        <v>16</v>
      </c>
      <c r="R43">
        <f>(samgung26[[#This Row],["B"PRECIO VENTA ]]*samgung26[[#This Row],[STOCK BARRAS]])</f>
        <v>62.5</v>
      </c>
      <c r="S43" s="28">
        <v>14</v>
      </c>
      <c r="T43" s="28">
        <v>1</v>
      </c>
      <c r="U43">
        <v>3.2</v>
      </c>
      <c r="W43" t="s">
        <v>212</v>
      </c>
      <c r="X43" t="s">
        <v>213</v>
      </c>
    </row>
    <row r="44" spans="1:24" ht="15.75">
      <c r="A44">
        <v>36</v>
      </c>
      <c r="B44">
        <v>2079</v>
      </c>
      <c r="C44" s="41" t="s">
        <v>214</v>
      </c>
      <c r="D44">
        <f>(samgung26[[#This Row],[CANTIDAD INICIAL JUEGO ]]+samgung26[[#This Row],[ENTRADAS JUEGOS ]]-samgung26[[#This Row],[SALIDAS JUEGOS]])</f>
        <v>7</v>
      </c>
      <c r="E44">
        <f>(samgung26[[#This Row],[CANTIDAD INICIAL BARRAS]]+samgung26[[#This Row],[ENTRADAS BARRAS]]-samgung26[[#This Row],[SALIDA BARRAS]])</f>
        <v>0</v>
      </c>
      <c r="F44" s="35">
        <v>450</v>
      </c>
      <c r="G44" s="18">
        <v>360</v>
      </c>
      <c r="H44" s="18">
        <v>12</v>
      </c>
      <c r="I44">
        <f>(samgung26[[#This Row],["J" PRECIO VENTA ]]/samgung26[[#This Row],[BARRAS]])</f>
        <v>37.5</v>
      </c>
      <c r="J44">
        <f>(samgung26[[#This Row],["J"PRECIO COMPRA ]]/samgung26[[#This Row],[BARRAS]])</f>
        <v>30</v>
      </c>
      <c r="K44">
        <f>SUMIF(entradas26[CODIGO],samgung26[[#This Row],[CODIGO ]],entradas26[[CAN JUEGOS ]])</f>
        <v>0</v>
      </c>
      <c r="L44">
        <f>SUMIF(entradas26[CODIGO],samgung26[[#This Row],[CODIGO ]],entradas26[CAN BARRAS])</f>
        <v>0</v>
      </c>
      <c r="M44">
        <f>SUMIF(salidas26[[CODIGO ]],samgung26[[#This Row],[CODIGO ]],salidas26[[CANT JUEGOS ]])</f>
        <v>2</v>
      </c>
      <c r="N44">
        <f>SUMIF(salidas26[[CODIGO ]],samgung26[[#This Row],[CODIGO ]],salidas26[CANT BARRAS])</f>
        <v>0</v>
      </c>
      <c r="O44">
        <f>(samgung26[[#This Row],["J"PRECIO COMPRA ]]*samgung26[[#This Row],[STOCK JUEGOS]])</f>
        <v>2520</v>
      </c>
      <c r="P44">
        <f>(samgung26[[#This Row],["J" PRECIO VENTA ]]*samgung26[[#This Row],[STOCK JUEGOS]])</f>
        <v>3150</v>
      </c>
      <c r="Q44">
        <f>(samgung26[[#This Row],["B"PRECIO COMPRA]]*samgung26[[#This Row],[STOCK BARRAS]])</f>
        <v>0</v>
      </c>
      <c r="R44">
        <f>(samgung26[[#This Row],["B"PRECIO VENTA ]]*samgung26[[#This Row],[STOCK BARRAS]])</f>
        <v>0</v>
      </c>
      <c r="S44" s="28">
        <v>9</v>
      </c>
      <c r="T44" s="28"/>
      <c r="U44">
        <v>12</v>
      </c>
      <c r="V44" t="s">
        <v>215</v>
      </c>
      <c r="W44" t="s">
        <v>216</v>
      </c>
    </row>
    <row r="45" spans="1:24" ht="15.75">
      <c r="A45">
        <v>37</v>
      </c>
      <c r="B45">
        <v>2081</v>
      </c>
      <c r="C45" s="40" t="s">
        <v>217</v>
      </c>
      <c r="D45">
        <f>(samgung26[[#This Row],[CANTIDAD INICIAL JUEGO ]]+samgung26[[#This Row],[ENTRADAS JUEGOS ]]-samgung26[[#This Row],[SALIDAS JUEGOS]])</f>
        <v>20</v>
      </c>
      <c r="E45">
        <f>(samgung26[[#This Row],[CANTIDAD INICIAL BARRAS]]+samgung26[[#This Row],[ENTRADAS BARRAS]]-samgung26[[#This Row],[SALIDA BARRAS]])</f>
        <v>1</v>
      </c>
      <c r="F45" s="35">
        <v>420</v>
      </c>
      <c r="G45" s="18">
        <v>126</v>
      </c>
      <c r="H45" s="18">
        <v>2</v>
      </c>
      <c r="I45">
        <f>(samgung26[[#This Row],["J" PRECIO VENTA ]]/samgung26[[#This Row],[BARRAS]])</f>
        <v>210</v>
      </c>
      <c r="J45">
        <f>(samgung26[[#This Row],["J"PRECIO COMPRA ]]/samgung26[[#This Row],[BARRAS]])</f>
        <v>63</v>
      </c>
      <c r="K45">
        <f>SUMIF(entradas26[CODIGO],samgung26[[#This Row],[CODIGO ]],entradas26[[CAN JUEGOS ]])</f>
        <v>0</v>
      </c>
      <c r="L45">
        <f>SUMIF(entradas26[CODIGO],samgung26[[#This Row],[CODIGO ]],entradas26[CAN BARRAS])</f>
        <v>0</v>
      </c>
      <c r="M45">
        <f>SUMIF(salidas26[[CODIGO ]],samgung26[[#This Row],[CODIGO ]],salidas26[[CANT JUEGOS ]])</f>
        <v>1</v>
      </c>
      <c r="N45">
        <f>SUMIF(salidas26[[CODIGO ]],samgung26[[#This Row],[CODIGO ]],salidas26[CANT BARRAS])</f>
        <v>0</v>
      </c>
      <c r="O45">
        <f>(samgung26[[#This Row],["J"PRECIO COMPRA ]]*samgung26[[#This Row],[STOCK JUEGOS]])</f>
        <v>2520</v>
      </c>
      <c r="P45">
        <f>(samgung26[[#This Row],["J" PRECIO VENTA ]]*samgung26[[#This Row],[STOCK JUEGOS]])</f>
        <v>8400</v>
      </c>
      <c r="Q45">
        <f>(samgung26[[#This Row],["B"PRECIO COMPRA]]*samgung26[[#This Row],[STOCK BARRAS]])</f>
        <v>63</v>
      </c>
      <c r="R45">
        <f>(samgung26[[#This Row],["B"PRECIO VENTA ]]*samgung26[[#This Row],[STOCK BARRAS]])</f>
        <v>210</v>
      </c>
      <c r="S45" s="28">
        <v>21</v>
      </c>
      <c r="T45" s="28">
        <v>1</v>
      </c>
      <c r="U45">
        <v>6.3</v>
      </c>
      <c r="V45" t="s">
        <v>215</v>
      </c>
      <c r="W45" t="s">
        <v>218</v>
      </c>
    </row>
    <row r="46" spans="1:24" ht="15.75">
      <c r="A46">
        <v>38</v>
      </c>
      <c r="B46">
        <v>2082</v>
      </c>
      <c r="C46" s="41" t="s">
        <v>219</v>
      </c>
      <c r="D46">
        <f>(samgung26[[#This Row],[CANTIDAD INICIAL JUEGO ]]+samgung26[[#This Row],[ENTRADAS JUEGOS ]]-samgung26[[#This Row],[SALIDAS JUEGOS]])</f>
        <v>9</v>
      </c>
      <c r="E46">
        <f>(samgung26[[#This Row],[CANTIDAD INICIAL BARRAS]]+samgung26[[#This Row],[ENTRADAS BARRAS]]-samgung26[[#This Row],[SALIDA BARRAS]])</f>
        <v>0</v>
      </c>
      <c r="F46" s="35">
        <v>400</v>
      </c>
      <c r="G46" s="18">
        <v>194</v>
      </c>
      <c r="H46" s="18">
        <v>2</v>
      </c>
      <c r="I46">
        <f>(samgung26[[#This Row],["J" PRECIO VENTA ]]/samgung26[[#This Row],[BARRAS]])</f>
        <v>200</v>
      </c>
      <c r="J46">
        <f>(samgung26[[#This Row],["J"PRECIO COMPRA ]]/samgung26[[#This Row],[BARRAS]])</f>
        <v>97</v>
      </c>
      <c r="K46">
        <f>SUMIF(entradas26[CODIGO],samgung26[[#This Row],[CODIGO ]],entradas26[[CAN JUEGOS ]])</f>
        <v>0</v>
      </c>
      <c r="L46">
        <f>SUMIF(entradas26[CODIGO],samgung26[[#This Row],[CODIGO ]],entradas26[CAN BARRAS])</f>
        <v>0</v>
      </c>
      <c r="M46">
        <f>SUMIF(salidas26[[CODIGO ]],samgung26[[#This Row],[CODIGO ]],salidas26[[CANT JUEGOS ]])</f>
        <v>1</v>
      </c>
      <c r="N46">
        <f>SUMIF(salidas26[[CODIGO ]],samgung26[[#This Row],[CODIGO ]],salidas26[CANT BARRAS])</f>
        <v>0</v>
      </c>
      <c r="O46">
        <f>(samgung26[[#This Row],["J"PRECIO COMPRA ]]*samgung26[[#This Row],[STOCK JUEGOS]])</f>
        <v>1746</v>
      </c>
      <c r="P46">
        <f>(samgung26[[#This Row],["J" PRECIO VENTA ]]*samgung26[[#This Row],[STOCK JUEGOS]])</f>
        <v>3600</v>
      </c>
      <c r="Q46">
        <f>(samgung26[[#This Row],["B"PRECIO COMPRA]]*samgung26[[#This Row],[STOCK BARRAS]])</f>
        <v>0</v>
      </c>
      <c r="R46">
        <f>(samgung26[[#This Row],["B"PRECIO VENTA ]]*samgung26[[#This Row],[STOCK BARRAS]])</f>
        <v>0</v>
      </c>
      <c r="S46" s="28">
        <v>10</v>
      </c>
      <c r="T46" s="28"/>
      <c r="U46">
        <v>6.28</v>
      </c>
      <c r="W46" t="s">
        <v>42</v>
      </c>
    </row>
    <row r="47" spans="1:24" ht="15.75">
      <c r="B47">
        <v>2083</v>
      </c>
      <c r="C47" s="214" t="s">
        <v>890</v>
      </c>
      <c r="D47">
        <f>(samgung26[[#This Row],[CANTIDAD INICIAL JUEGO ]]+samgung26[[#This Row],[ENTRADAS JUEGOS ]]-samgung26[[#This Row],[SALIDAS JUEGOS]])</f>
        <v>5</v>
      </c>
      <c r="E47">
        <f>(samgung26[[#This Row],[CANTIDAD INICIAL BARRAS]]+samgung26[[#This Row],[ENTRADAS BARRAS]]-samgung26[[#This Row],[SALIDA BARRAS]])</f>
        <v>0</v>
      </c>
      <c r="F47" s="213">
        <v>500</v>
      </c>
      <c r="G47" s="18">
        <v>280</v>
      </c>
      <c r="H47" s="18"/>
      <c r="I47" t="e">
        <f>(samgung26[[#This Row],["J" PRECIO VENTA ]]/samgung26[[#This Row],[BARRAS]])</f>
        <v>#DIV/0!</v>
      </c>
      <c r="J47" t="e">
        <f>(samgung26[[#This Row],["J"PRECIO COMPRA ]]/samgung26[[#This Row],[BARRAS]])</f>
        <v>#DIV/0!</v>
      </c>
      <c r="K47">
        <f>SUMIF(entradas26[CODIGO],samgung26[[#This Row],[CODIGO ]],entradas26[[CAN JUEGOS ]])</f>
        <v>5</v>
      </c>
      <c r="L47">
        <f>SUMIF(entradas26[CODIGO],samgung26[[#This Row],[CODIGO ]],entradas26[CAN BARRAS])</f>
        <v>0</v>
      </c>
      <c r="M47">
        <f>SUMIF(salidas26[[CODIGO ]],samgung26[[#This Row],[CODIGO ]],salidas26[[CANT JUEGOS ]])</f>
        <v>0</v>
      </c>
      <c r="N47">
        <f>SUMIF(salidas26[[CODIGO ]],samgung26[[#This Row],[CODIGO ]],salidas26[CANT BARRAS])</f>
        <v>0</v>
      </c>
      <c r="O47">
        <f>(samgung26[[#This Row],["J"PRECIO COMPRA ]]*samgung26[[#This Row],[STOCK JUEGOS]])</f>
        <v>1400</v>
      </c>
      <c r="P47">
        <f>(samgung26[[#This Row],["J" PRECIO VENTA ]]*samgung26[[#This Row],[STOCK JUEGOS]])</f>
        <v>2500</v>
      </c>
      <c r="Q47" t="e">
        <f>(samgung26[[#This Row],["B"PRECIO COMPRA]]*samgung26[[#This Row],[STOCK BARRAS]])</f>
        <v>#DIV/0!</v>
      </c>
      <c r="R47" t="e">
        <f>(samgung26[[#This Row],["B"PRECIO VENTA ]]*samgung26[[#This Row],[STOCK BARRAS]])</f>
        <v>#DIV/0!</v>
      </c>
      <c r="S47" s="28"/>
      <c r="T47" s="28"/>
      <c r="U47">
        <v>14</v>
      </c>
      <c r="W47" t="s">
        <v>891</v>
      </c>
    </row>
    <row r="48" spans="1:24" ht="15.75">
      <c r="A48">
        <v>39</v>
      </c>
      <c r="B48">
        <v>2084</v>
      </c>
      <c r="C48" s="40" t="s">
        <v>220</v>
      </c>
      <c r="D48">
        <f>(samgung26[[#This Row],[CANTIDAD INICIAL JUEGO ]]+samgung26[[#This Row],[ENTRADAS JUEGOS ]]-samgung26[[#This Row],[SALIDAS JUEGOS]])</f>
        <v>1</v>
      </c>
      <c r="E48">
        <f>(samgung26[[#This Row],[CANTIDAD INICIAL BARRAS]]+samgung26[[#This Row],[ENTRADAS BARRAS]]-samgung26[[#This Row],[SALIDA BARRAS]])</f>
        <v>0</v>
      </c>
      <c r="F48" s="35">
        <v>300</v>
      </c>
      <c r="G48" s="18">
        <v>125</v>
      </c>
      <c r="H48" s="18">
        <v>8</v>
      </c>
      <c r="I48">
        <f>(samgung26[[#This Row],["J" PRECIO VENTA ]]/samgung26[[#This Row],[BARRAS]])</f>
        <v>37.5</v>
      </c>
      <c r="J48">
        <f>(samgung26[[#This Row],["J"PRECIO COMPRA ]]/samgung26[[#This Row],[BARRAS]])</f>
        <v>15.625</v>
      </c>
      <c r="K48">
        <f>SUMIF(entradas26[CODIGO],samgung26[[#This Row],[CODIGO ]],entradas26[[CAN JUEGOS ]])</f>
        <v>0</v>
      </c>
      <c r="L48">
        <f>SUMIF(entradas26[CODIGO],samgung26[[#This Row],[CODIGO ]],entradas26[CAN BARRAS])</f>
        <v>0</v>
      </c>
      <c r="M48">
        <f>SUMIF(salidas26[[CODIGO ]],samgung26[[#This Row],[CODIGO ]],salidas26[[CANT JUEGOS ]])</f>
        <v>0</v>
      </c>
      <c r="N48">
        <f>SUMIF(salidas26[[CODIGO ]],samgung26[[#This Row],[CODIGO ]],salidas26[CANT BARRAS])</f>
        <v>0</v>
      </c>
      <c r="O48">
        <f>(samgung26[[#This Row],["J"PRECIO COMPRA ]]*samgung26[[#This Row],[STOCK JUEGOS]])</f>
        <v>125</v>
      </c>
      <c r="P48">
        <f>(samgung26[[#This Row],["J" PRECIO VENTA ]]*samgung26[[#This Row],[STOCK JUEGOS]])</f>
        <v>300</v>
      </c>
      <c r="Q48">
        <f>(samgung26[[#This Row],["B"PRECIO COMPRA]]*samgung26[[#This Row],[STOCK BARRAS]])</f>
        <v>0</v>
      </c>
      <c r="R48">
        <f>(samgung26[[#This Row],["B"PRECIO VENTA ]]*samgung26[[#This Row],[STOCK BARRAS]])</f>
        <v>0</v>
      </c>
      <c r="S48" s="28">
        <v>1</v>
      </c>
      <c r="T48" s="28"/>
    </row>
    <row r="49" spans="1:24" ht="15.75">
      <c r="A49">
        <v>40</v>
      </c>
      <c r="B49">
        <v>2085</v>
      </c>
      <c r="C49" s="40" t="s">
        <v>727</v>
      </c>
      <c r="D49">
        <f>(samgung26[[#This Row],[CANTIDAD INICIAL JUEGO ]]+samgung26[[#This Row],[ENTRADAS JUEGOS ]]-samgung26[[#This Row],[SALIDAS JUEGOS]])</f>
        <v>5</v>
      </c>
      <c r="E49">
        <f>(samgung26[[#This Row],[CANTIDAD INICIAL BARRAS]]+samgung26[[#This Row],[ENTRADAS BARRAS]]-samgung26[[#This Row],[SALIDA BARRAS]])</f>
        <v>0</v>
      </c>
      <c r="F49" s="35">
        <v>450</v>
      </c>
      <c r="G49" s="18">
        <v>264</v>
      </c>
      <c r="H49" s="18">
        <v>2</v>
      </c>
      <c r="I49">
        <f>(samgung26[[#This Row],["J" PRECIO VENTA ]]/samgung26[[#This Row],[BARRAS]])</f>
        <v>225</v>
      </c>
      <c r="J49">
        <f>(samgung26[[#This Row],["J"PRECIO COMPRA ]]/samgung26[[#This Row],[BARRAS]])</f>
        <v>132</v>
      </c>
      <c r="K49">
        <f>SUMIF(entradas26[CODIGO],samgung26[[#This Row],[CODIGO ]],entradas26[[CAN JUEGOS ]])</f>
        <v>0</v>
      </c>
      <c r="L49">
        <f>SUMIF(entradas26[CODIGO],samgung26[[#This Row],[CODIGO ]],entradas26[CAN BARRAS])</f>
        <v>0</v>
      </c>
      <c r="M49">
        <f>SUMIF(salidas26[[CODIGO ]],samgung26[[#This Row],[CODIGO ]],salidas26[[CANT JUEGOS ]])</f>
        <v>0</v>
      </c>
      <c r="N49">
        <f>SUMIF(salidas26[[CODIGO ]],samgung26[[#This Row],[CODIGO ]],salidas26[CANT BARRAS])</f>
        <v>0</v>
      </c>
      <c r="O49">
        <f>(samgung26[[#This Row],["J"PRECIO COMPRA ]]*samgung26[[#This Row],[STOCK JUEGOS]])</f>
        <v>1320</v>
      </c>
      <c r="P49">
        <f>(samgung26[[#This Row],["J" PRECIO VENTA ]]*samgung26[[#This Row],[STOCK JUEGOS]])</f>
        <v>2250</v>
      </c>
      <c r="Q49">
        <f>(samgung26[[#This Row],["B"PRECIO COMPRA]]*samgung26[[#This Row],[STOCK BARRAS]])</f>
        <v>0</v>
      </c>
      <c r="R49">
        <f>(samgung26[[#This Row],["B"PRECIO VENTA ]]*samgung26[[#This Row],[STOCK BARRAS]])</f>
        <v>0</v>
      </c>
      <c r="S49" s="28">
        <v>5</v>
      </c>
      <c r="T49" s="28"/>
      <c r="U49">
        <v>13.2</v>
      </c>
      <c r="W49" t="s">
        <v>221</v>
      </c>
    </row>
    <row r="50" spans="1:24" ht="15.75">
      <c r="A50">
        <v>41</v>
      </c>
      <c r="B50">
        <v>2087</v>
      </c>
      <c r="C50" s="40" t="s">
        <v>222</v>
      </c>
      <c r="D50">
        <f>(samgung26[[#This Row],[CANTIDAD INICIAL JUEGO ]]+samgung26[[#This Row],[ENTRADAS JUEGOS ]]-samgung26[[#This Row],[SALIDAS JUEGOS]])</f>
        <v>10</v>
      </c>
      <c r="E50">
        <f>(samgung26[[#This Row],[CANTIDAD INICIAL BARRAS]]+samgung26[[#This Row],[ENTRADAS BARRAS]]-samgung26[[#This Row],[SALIDA BARRAS]])</f>
        <v>0</v>
      </c>
      <c r="F50" s="35">
        <v>240</v>
      </c>
      <c r="G50" s="18">
        <v>69</v>
      </c>
      <c r="H50" s="18">
        <v>2</v>
      </c>
      <c r="I50">
        <f>(samgung26[[#This Row],["J" PRECIO VENTA ]]/samgung26[[#This Row],[BARRAS]])</f>
        <v>120</v>
      </c>
      <c r="J50">
        <f>(samgung26[[#This Row],["J"PRECIO COMPRA ]]/samgung26[[#This Row],[BARRAS]])</f>
        <v>34.5</v>
      </c>
      <c r="K50">
        <f>SUMIF(entradas26[CODIGO],samgung26[[#This Row],[CODIGO ]],entradas26[[CAN JUEGOS ]])</f>
        <v>20</v>
      </c>
      <c r="L50">
        <f>SUMIF(entradas26[CODIGO],samgung26[[#This Row],[CODIGO ]],entradas26[CAN BARRAS])</f>
        <v>0</v>
      </c>
      <c r="M50">
        <f>SUMIF(salidas26[[CODIGO ]],samgung26[[#This Row],[CODIGO ]],salidas26[[CANT JUEGOS ]])</f>
        <v>23</v>
      </c>
      <c r="N50">
        <f>SUMIF(salidas26[[CODIGO ]],samgung26[[#This Row],[CODIGO ]],salidas26[CANT BARRAS])</f>
        <v>1</v>
      </c>
      <c r="O50">
        <f>(samgung26[[#This Row],["J"PRECIO COMPRA ]]*samgung26[[#This Row],[STOCK JUEGOS]])</f>
        <v>690</v>
      </c>
      <c r="P50">
        <f>(samgung26[[#This Row],["J" PRECIO VENTA ]]*samgung26[[#This Row],[STOCK JUEGOS]])</f>
        <v>2400</v>
      </c>
      <c r="Q50">
        <f>(samgung26[[#This Row],["B"PRECIO COMPRA]]*samgung26[[#This Row],[STOCK BARRAS]])</f>
        <v>0</v>
      </c>
      <c r="R50">
        <f>(samgung26[[#This Row],["B"PRECIO VENTA ]]*samgung26[[#This Row],[STOCK BARRAS]])</f>
        <v>0</v>
      </c>
      <c r="S50" s="28">
        <v>13</v>
      </c>
      <c r="T50" s="28">
        <v>1</v>
      </c>
      <c r="U50">
        <v>3.6</v>
      </c>
      <c r="W50" t="s">
        <v>223</v>
      </c>
      <c r="X50" t="s">
        <v>224</v>
      </c>
    </row>
    <row r="51" spans="1:24" ht="15.75">
      <c r="A51">
        <v>42</v>
      </c>
      <c r="B51">
        <v>2088</v>
      </c>
      <c r="C51" s="41" t="s">
        <v>225</v>
      </c>
      <c r="D51">
        <f>(samgung26[[#This Row],[CANTIDAD INICIAL JUEGO ]]+samgung26[[#This Row],[ENTRADAS JUEGOS ]]-samgung26[[#This Row],[SALIDAS JUEGOS]])</f>
        <v>2</v>
      </c>
      <c r="E51">
        <f>(samgung26[[#This Row],[CANTIDAD INICIAL BARRAS]]+samgung26[[#This Row],[ENTRADAS BARRAS]]-samgung26[[#This Row],[SALIDA BARRAS]])</f>
        <v>0</v>
      </c>
      <c r="F51" s="35">
        <v>420</v>
      </c>
      <c r="G51" s="18">
        <v>269</v>
      </c>
      <c r="H51" s="18">
        <v>8</v>
      </c>
      <c r="I51">
        <f>(samgung26[[#This Row],["J" PRECIO VENTA ]]/samgung26[[#This Row],[BARRAS]])</f>
        <v>52.5</v>
      </c>
      <c r="J51">
        <f>(samgung26[[#This Row],["J"PRECIO COMPRA ]]/samgung26[[#This Row],[BARRAS]])</f>
        <v>33.625</v>
      </c>
      <c r="K51">
        <f>SUMIF(entradas26[CODIGO],samgung26[[#This Row],[CODIGO ]],entradas26[[CAN JUEGOS ]])</f>
        <v>0</v>
      </c>
      <c r="L51">
        <f>SUMIF(entradas26[CODIGO],samgung26[[#This Row],[CODIGO ]],entradas26[CAN BARRAS])</f>
        <v>0</v>
      </c>
      <c r="M51">
        <f>SUMIF(salidas26[[CODIGO ]],samgung26[[#This Row],[CODIGO ]],salidas26[[CANT JUEGOS ]])</f>
        <v>0</v>
      </c>
      <c r="N51">
        <f>SUMIF(salidas26[[CODIGO ]],samgung26[[#This Row],[CODIGO ]],salidas26[CANT BARRAS])</f>
        <v>0</v>
      </c>
      <c r="O51">
        <f>(samgung26[[#This Row],["J"PRECIO COMPRA ]]*samgung26[[#This Row],[STOCK JUEGOS]])</f>
        <v>538</v>
      </c>
      <c r="P51">
        <f>(samgung26[[#This Row],["J" PRECIO VENTA ]]*samgung26[[#This Row],[STOCK JUEGOS]])</f>
        <v>840</v>
      </c>
      <c r="Q51">
        <f>(samgung26[[#This Row],["B"PRECIO COMPRA]]*samgung26[[#This Row],[STOCK BARRAS]])</f>
        <v>0</v>
      </c>
      <c r="R51">
        <f>(samgung26[[#This Row],["B"PRECIO VENTA ]]*samgung26[[#This Row],[STOCK BARRAS]])</f>
        <v>0</v>
      </c>
      <c r="S51" s="28">
        <v>2</v>
      </c>
      <c r="T51" s="28"/>
    </row>
    <row r="52" spans="1:24" ht="15.75">
      <c r="A52">
        <v>43</v>
      </c>
      <c r="B52">
        <v>2089</v>
      </c>
      <c r="C52" s="41" t="s">
        <v>226</v>
      </c>
      <c r="D52">
        <f>(samgung26[[#This Row],[CANTIDAD INICIAL JUEGO ]]+samgung26[[#This Row],[ENTRADAS JUEGOS ]]-samgung26[[#This Row],[SALIDAS JUEGOS]])</f>
        <v>19</v>
      </c>
      <c r="E52">
        <f>(samgung26[[#This Row],[CANTIDAD INICIAL BARRAS]]+samgung26[[#This Row],[ENTRADAS BARRAS]]-samgung26[[#This Row],[SALIDA BARRAS]])</f>
        <v>0</v>
      </c>
      <c r="F52" s="35">
        <v>320</v>
      </c>
      <c r="G52" s="18">
        <v>87.4</v>
      </c>
      <c r="H52" s="18">
        <v>8</v>
      </c>
      <c r="I52">
        <f>(samgung26[[#This Row],["J" PRECIO VENTA ]]/samgung26[[#This Row],[BARRAS]])</f>
        <v>40</v>
      </c>
      <c r="J52">
        <f>(samgung26[[#This Row],["J"PRECIO COMPRA ]]/samgung26[[#This Row],[BARRAS]])</f>
        <v>10.925000000000001</v>
      </c>
      <c r="K52">
        <f>SUMIF(entradas26[CODIGO],samgung26[[#This Row],[CODIGO ]],entradas26[[CAN JUEGOS ]])</f>
        <v>23</v>
      </c>
      <c r="L52">
        <f>SUMIF(entradas26[CODIGO],samgung26[[#This Row],[CODIGO ]],entradas26[CAN BARRAS])</f>
        <v>0</v>
      </c>
      <c r="M52">
        <f>SUMIF(salidas26[[CODIGO ]],samgung26[[#This Row],[CODIGO ]],salidas26[[CANT JUEGOS ]])</f>
        <v>5</v>
      </c>
      <c r="N52">
        <f>SUMIF(salidas26[[CODIGO ]],samgung26[[#This Row],[CODIGO ]],salidas26[CANT BARRAS])</f>
        <v>0</v>
      </c>
      <c r="O52">
        <f>(samgung26[[#This Row],["J"PRECIO COMPRA ]]*samgung26[[#This Row],[STOCK JUEGOS]])</f>
        <v>1660.6000000000001</v>
      </c>
      <c r="P52">
        <f>(samgung26[[#This Row],["J" PRECIO VENTA ]]*samgung26[[#This Row],[STOCK JUEGOS]])</f>
        <v>6080</v>
      </c>
      <c r="Q52">
        <f>(samgung26[[#This Row],["B"PRECIO COMPRA]]*samgung26[[#This Row],[STOCK BARRAS]])</f>
        <v>0</v>
      </c>
      <c r="R52">
        <f>(samgung26[[#This Row],["B"PRECIO VENTA ]]*samgung26[[#This Row],[STOCK BARRAS]])</f>
        <v>0</v>
      </c>
      <c r="S52" s="28">
        <v>1</v>
      </c>
      <c r="T52" s="28"/>
      <c r="U52">
        <v>4.5999999999999996</v>
      </c>
      <c r="W52" t="s">
        <v>749</v>
      </c>
    </row>
    <row r="53" spans="1:24" ht="15.75">
      <c r="A53">
        <v>44</v>
      </c>
      <c r="B53">
        <v>2090</v>
      </c>
      <c r="C53" s="40" t="s">
        <v>227</v>
      </c>
      <c r="D53">
        <f>(samgung26[[#This Row],[CANTIDAD INICIAL JUEGO ]]+samgung26[[#This Row],[ENTRADAS JUEGOS ]]-samgung26[[#This Row],[SALIDAS JUEGOS]])</f>
        <v>14</v>
      </c>
      <c r="E53">
        <f>(samgung26[[#This Row],[CANTIDAD INICIAL BARRAS]]+samgung26[[#This Row],[ENTRADAS BARRAS]]-samgung26[[#This Row],[SALIDA BARRAS]])</f>
        <v>10</v>
      </c>
      <c r="F53" s="35">
        <v>350</v>
      </c>
      <c r="G53" s="18">
        <v>166</v>
      </c>
      <c r="H53" s="18">
        <v>12</v>
      </c>
      <c r="I53">
        <f>(samgung26[[#This Row],["J" PRECIO VENTA ]]/samgung26[[#This Row],[BARRAS]])</f>
        <v>29.166666666666668</v>
      </c>
      <c r="J53">
        <f>(samgung26[[#This Row],["J"PRECIO COMPRA ]]/samgung26[[#This Row],[BARRAS]])</f>
        <v>13.833333333333334</v>
      </c>
      <c r="K53">
        <f>SUMIF(entradas26[CODIGO],samgung26[[#This Row],[CODIGO ]],entradas26[[CAN JUEGOS ]])</f>
        <v>0</v>
      </c>
      <c r="L53">
        <f>SUMIF(entradas26[CODIGO],samgung26[[#This Row],[CODIGO ]],entradas26[CAN BARRAS])</f>
        <v>0</v>
      </c>
      <c r="M53">
        <f>SUMIF(salidas26[[CODIGO ]],samgung26[[#This Row],[CODIGO ]],salidas26[[CANT JUEGOS ]])</f>
        <v>9</v>
      </c>
      <c r="N53">
        <f>SUMIF(salidas26[[CODIGO ]],samgung26[[#This Row],[CODIGO ]],salidas26[CANT BARRAS])</f>
        <v>0</v>
      </c>
      <c r="O53">
        <f>(samgung26[[#This Row],["J"PRECIO COMPRA ]]*samgung26[[#This Row],[STOCK JUEGOS]])</f>
        <v>2324</v>
      </c>
      <c r="P53">
        <f>(samgung26[[#This Row],["J" PRECIO VENTA ]]*samgung26[[#This Row],[STOCK JUEGOS]])</f>
        <v>4900</v>
      </c>
      <c r="Q53">
        <f>(samgung26[[#This Row],["B"PRECIO COMPRA]]*samgung26[[#This Row],[STOCK BARRAS]])</f>
        <v>138.33333333333334</v>
      </c>
      <c r="R53">
        <f>(samgung26[[#This Row],["B"PRECIO VENTA ]]*samgung26[[#This Row],[STOCK BARRAS]])</f>
        <v>291.66666666666669</v>
      </c>
      <c r="S53" s="28">
        <v>23</v>
      </c>
      <c r="T53" s="28">
        <v>10</v>
      </c>
      <c r="U53">
        <v>7.2</v>
      </c>
      <c r="W53" t="s">
        <v>228</v>
      </c>
    </row>
    <row r="54" spans="1:24" ht="15.75">
      <c r="A54">
        <v>45</v>
      </c>
      <c r="B54">
        <v>2092</v>
      </c>
      <c r="C54" s="41" t="s">
        <v>229</v>
      </c>
      <c r="D54">
        <f>(samgung26[[#This Row],[CANTIDAD INICIAL JUEGO ]]+samgung26[[#This Row],[ENTRADAS JUEGOS ]]-samgung26[[#This Row],[SALIDAS JUEGOS]])</f>
        <v>19</v>
      </c>
      <c r="E54">
        <f>(samgung26[[#This Row],[CANTIDAD INICIAL BARRAS]]+samgung26[[#This Row],[ENTRADAS BARRAS]]-samgung26[[#This Row],[SALIDA BARRAS]])</f>
        <v>0</v>
      </c>
      <c r="F54" s="35">
        <v>400</v>
      </c>
      <c r="G54" s="18">
        <v>125</v>
      </c>
      <c r="H54" s="18">
        <v>2</v>
      </c>
      <c r="I54">
        <f>(samgung26[[#This Row],["J" PRECIO VENTA ]]/samgung26[[#This Row],[BARRAS]])</f>
        <v>200</v>
      </c>
      <c r="J54">
        <f>(samgung26[[#This Row],["J"PRECIO COMPRA ]]/samgung26[[#This Row],[BARRAS]])</f>
        <v>62.5</v>
      </c>
      <c r="K54">
        <f>SUMIF(entradas26[CODIGO],samgung26[[#This Row],[CODIGO ]],entradas26[[CAN JUEGOS ]])</f>
        <v>0</v>
      </c>
      <c r="L54">
        <f>SUMIF(entradas26[CODIGO],samgung26[[#This Row],[CODIGO ]],entradas26[CAN BARRAS])</f>
        <v>0</v>
      </c>
      <c r="M54">
        <f>SUMIF(salidas26[[CODIGO ]],samgung26[[#This Row],[CODIGO ]],salidas26[[CANT JUEGOS ]])</f>
        <v>0</v>
      </c>
      <c r="N54">
        <f>SUMIF(salidas26[[CODIGO ]],samgung26[[#This Row],[CODIGO ]],salidas26[CANT BARRAS])</f>
        <v>0</v>
      </c>
      <c r="O54">
        <f>(samgung26[[#This Row],["J"PRECIO COMPRA ]]*samgung26[[#This Row],[STOCK JUEGOS]])</f>
        <v>2375</v>
      </c>
      <c r="P54">
        <f>(samgung26[[#This Row],["J" PRECIO VENTA ]]*samgung26[[#This Row],[STOCK JUEGOS]])</f>
        <v>7600</v>
      </c>
      <c r="Q54">
        <f>(samgung26[[#This Row],["B"PRECIO COMPRA]]*samgung26[[#This Row],[STOCK BARRAS]])</f>
        <v>0</v>
      </c>
      <c r="R54">
        <f>(samgung26[[#This Row],["B"PRECIO VENTA ]]*samgung26[[#This Row],[STOCK BARRAS]])</f>
        <v>0</v>
      </c>
      <c r="S54" s="28">
        <v>19</v>
      </c>
      <c r="T54" s="28"/>
      <c r="X54" t="s">
        <v>230</v>
      </c>
    </row>
    <row r="55" spans="1:24" ht="15.75">
      <c r="A55">
        <v>46</v>
      </c>
      <c r="B55">
        <v>2093</v>
      </c>
      <c r="C55" s="40" t="s">
        <v>231</v>
      </c>
      <c r="D55">
        <f>(samgung26[[#This Row],[CANTIDAD INICIAL JUEGO ]]+samgung26[[#This Row],[ENTRADAS JUEGOS ]]-samgung26[[#This Row],[SALIDAS JUEGOS]])</f>
        <v>14</v>
      </c>
      <c r="E55">
        <f>(samgung26[[#This Row],[CANTIDAD INICIAL BARRAS]]+samgung26[[#This Row],[ENTRADAS BARRAS]]-samgung26[[#This Row],[SALIDA BARRAS]])</f>
        <v>2</v>
      </c>
      <c r="F55" s="35">
        <v>400</v>
      </c>
      <c r="G55" s="18">
        <v>160</v>
      </c>
      <c r="H55" s="18">
        <v>12</v>
      </c>
      <c r="I55">
        <f>(samgung26[[#This Row],["J" PRECIO VENTA ]]/samgung26[[#This Row],[BARRAS]])</f>
        <v>33.333333333333336</v>
      </c>
      <c r="J55">
        <f>(samgung26[[#This Row],["J"PRECIO COMPRA ]]/samgung26[[#This Row],[BARRAS]])</f>
        <v>13.333333333333334</v>
      </c>
      <c r="K55">
        <f>SUMIF(entradas26[CODIGO],samgung26[[#This Row],[CODIGO ]],entradas26[[CAN JUEGOS ]])</f>
        <v>10</v>
      </c>
      <c r="L55">
        <f>SUMIF(entradas26[CODIGO],samgung26[[#This Row],[CODIGO ]],entradas26[CAN BARRAS])</f>
        <v>0</v>
      </c>
      <c r="M55">
        <f>SUMIF(salidas26[[CODIGO ]],samgung26[[#This Row],[CODIGO ]],salidas26[[CANT JUEGOS ]])</f>
        <v>4</v>
      </c>
      <c r="N55">
        <f>SUMIF(salidas26[[CODIGO ]],samgung26[[#This Row],[CODIGO ]],salidas26[CANT BARRAS])</f>
        <v>1</v>
      </c>
      <c r="O55">
        <f>(samgung26[[#This Row],["J"PRECIO COMPRA ]]*samgung26[[#This Row],[STOCK JUEGOS]])</f>
        <v>2240</v>
      </c>
      <c r="P55">
        <f>(samgung26[[#This Row],["J" PRECIO VENTA ]]*samgung26[[#This Row],[STOCK JUEGOS]])</f>
        <v>5600</v>
      </c>
      <c r="Q55">
        <f>(samgung26[[#This Row],["B"PRECIO COMPRA]]*samgung26[[#This Row],[STOCK BARRAS]])</f>
        <v>26.666666666666668</v>
      </c>
      <c r="R55">
        <f>(samgung26[[#This Row],["B"PRECIO VENTA ]]*samgung26[[#This Row],[STOCK BARRAS]])</f>
        <v>66.666666666666671</v>
      </c>
      <c r="S55" s="28">
        <v>8</v>
      </c>
      <c r="T55" s="28">
        <v>3</v>
      </c>
      <c r="U55">
        <v>8</v>
      </c>
      <c r="W55" t="s">
        <v>232</v>
      </c>
    </row>
    <row r="56" spans="1:24" ht="15.75">
      <c r="A56">
        <v>47</v>
      </c>
      <c r="B56">
        <v>2094</v>
      </c>
      <c r="C56" s="40" t="s">
        <v>233</v>
      </c>
      <c r="D56">
        <f>(samgung26[[#This Row],[CANTIDAD INICIAL JUEGO ]]+samgung26[[#This Row],[ENTRADAS JUEGOS ]]-samgung26[[#This Row],[SALIDAS JUEGOS]])</f>
        <v>9</v>
      </c>
      <c r="E56">
        <f>(samgung26[[#This Row],[CANTIDAD INICIAL BARRAS]]+samgung26[[#This Row],[ENTRADAS BARRAS]]-samgung26[[#This Row],[SALIDA BARRAS]])</f>
        <v>0</v>
      </c>
      <c r="F56" s="35">
        <v>500</v>
      </c>
      <c r="G56" s="18">
        <v>340</v>
      </c>
      <c r="H56" s="18">
        <v>14</v>
      </c>
      <c r="I56">
        <f>(samgung26[[#This Row],["J" PRECIO VENTA ]]/samgung26[[#This Row],[BARRAS]])</f>
        <v>35.714285714285715</v>
      </c>
      <c r="J56">
        <f>(samgung26[[#This Row],["J"PRECIO COMPRA ]]/samgung26[[#This Row],[BARRAS]])</f>
        <v>24.285714285714285</v>
      </c>
      <c r="K56">
        <f>SUMIF(entradas26[CODIGO],samgung26[[#This Row],[CODIGO ]],entradas26[[CAN JUEGOS ]])</f>
        <v>0</v>
      </c>
      <c r="L56">
        <f>SUMIF(entradas26[CODIGO],samgung26[[#This Row],[CODIGO ]],entradas26[CAN BARRAS])</f>
        <v>0</v>
      </c>
      <c r="M56">
        <f>SUMIF(salidas26[[CODIGO ]],samgung26[[#This Row],[CODIGO ]],salidas26[[CANT JUEGOS ]])</f>
        <v>0</v>
      </c>
      <c r="N56">
        <f>SUMIF(salidas26[[CODIGO ]],samgung26[[#This Row],[CODIGO ]],salidas26[CANT BARRAS])</f>
        <v>0</v>
      </c>
      <c r="O56">
        <f>(samgung26[[#This Row],["J"PRECIO COMPRA ]]*samgung26[[#This Row],[STOCK JUEGOS]])</f>
        <v>3060</v>
      </c>
      <c r="P56">
        <f>(samgung26[[#This Row],["J" PRECIO VENTA ]]*samgung26[[#This Row],[STOCK JUEGOS]])</f>
        <v>4500</v>
      </c>
      <c r="Q56">
        <f>(samgung26[[#This Row],["B"PRECIO COMPRA]]*samgung26[[#This Row],[STOCK BARRAS]])</f>
        <v>0</v>
      </c>
      <c r="R56">
        <f>(samgung26[[#This Row],["B"PRECIO VENTA ]]*samgung26[[#This Row],[STOCK BARRAS]])</f>
        <v>0</v>
      </c>
      <c r="S56" s="28">
        <v>9</v>
      </c>
      <c r="T56" s="28"/>
      <c r="U56">
        <v>15.6</v>
      </c>
      <c r="W56" t="s">
        <v>234</v>
      </c>
    </row>
    <row r="57" spans="1:24" ht="15.75">
      <c r="A57">
        <v>48</v>
      </c>
      <c r="B57">
        <v>2095</v>
      </c>
      <c r="C57" s="41" t="s">
        <v>235</v>
      </c>
      <c r="D57">
        <f>(samgung26[[#This Row],[CANTIDAD INICIAL JUEGO ]]+samgung26[[#This Row],[ENTRADAS JUEGOS ]]-samgung26[[#This Row],[SALIDAS JUEGOS]])</f>
        <v>38</v>
      </c>
      <c r="E57">
        <f>(samgung26[[#This Row],[CANTIDAD INICIAL BARRAS]]+samgung26[[#This Row],[ENTRADAS BARRAS]]-samgung26[[#This Row],[SALIDA BARRAS]])</f>
        <v>0</v>
      </c>
      <c r="F57" s="35">
        <v>250</v>
      </c>
      <c r="G57" s="47">
        <v>100</v>
      </c>
      <c r="H57" s="18">
        <v>2</v>
      </c>
      <c r="I57">
        <f>(samgung26[[#This Row],["J" PRECIO VENTA ]]/samgung26[[#This Row],[BARRAS]])</f>
        <v>125</v>
      </c>
      <c r="J57">
        <f>(samgung26[[#This Row],["J"PRECIO COMPRA ]]/samgung26[[#This Row],[BARRAS]])</f>
        <v>50</v>
      </c>
      <c r="K57">
        <f>SUMIF(entradas26[CODIGO],samgung26[[#This Row],[CODIGO ]],entradas26[[CAN JUEGOS ]])</f>
        <v>40</v>
      </c>
      <c r="L57">
        <f>SUMIF(entradas26[CODIGO],samgung26[[#This Row],[CODIGO ]],entradas26[CAN BARRAS])</f>
        <v>2</v>
      </c>
      <c r="M57">
        <f>SUMIF(salidas26[[CODIGO ]],samgung26[[#This Row],[CODIGO ]],salidas26[[CANT JUEGOS ]])</f>
        <v>12</v>
      </c>
      <c r="N57">
        <f>SUMIF(salidas26[[CODIGO ]],samgung26[[#This Row],[CODIGO ]],salidas26[CANT BARRAS])</f>
        <v>2</v>
      </c>
      <c r="O57">
        <f>(samgung26[[#This Row],["J"PRECIO COMPRA ]]*samgung26[[#This Row],[STOCK JUEGOS]])</f>
        <v>3800</v>
      </c>
      <c r="P57">
        <f>(samgung26[[#This Row],["J" PRECIO VENTA ]]*samgung26[[#This Row],[STOCK JUEGOS]])</f>
        <v>9500</v>
      </c>
      <c r="Q57">
        <f>(samgung26[[#This Row],["B"PRECIO COMPRA]]*samgung26[[#This Row],[STOCK BARRAS]])</f>
        <v>0</v>
      </c>
      <c r="R57">
        <f>(samgung26[[#This Row],["B"PRECIO VENTA ]]*samgung26[[#This Row],[STOCK BARRAS]])</f>
        <v>0</v>
      </c>
      <c r="S57" s="28">
        <v>10</v>
      </c>
      <c r="T57" s="28"/>
      <c r="U57">
        <v>5</v>
      </c>
      <c r="W57" t="s">
        <v>236</v>
      </c>
    </row>
    <row r="58" spans="1:24" ht="15.75">
      <c r="A58">
        <v>49</v>
      </c>
      <c r="B58">
        <v>2096</v>
      </c>
      <c r="C58" s="40" t="s">
        <v>237</v>
      </c>
      <c r="D58">
        <f>(samgung26[[#This Row],[CANTIDAD INICIAL JUEGO ]]+samgung26[[#This Row],[ENTRADAS JUEGOS ]]-samgung26[[#This Row],[SALIDAS JUEGOS]])</f>
        <v>10</v>
      </c>
      <c r="E58">
        <f>(samgung26[[#This Row],[CANTIDAD INICIAL BARRAS]]+samgung26[[#This Row],[ENTRADAS BARRAS]]-samgung26[[#This Row],[SALIDA BARRAS]])</f>
        <v>0</v>
      </c>
      <c r="F58" s="35">
        <v>550</v>
      </c>
      <c r="G58" s="18">
        <v>312</v>
      </c>
      <c r="H58" s="18">
        <v>2</v>
      </c>
      <c r="I58">
        <f>(samgung26[[#This Row],["J" PRECIO VENTA ]]/samgung26[[#This Row],[BARRAS]])</f>
        <v>275</v>
      </c>
      <c r="J58">
        <f>(samgung26[[#This Row],["J"PRECIO COMPRA ]]/samgung26[[#This Row],[BARRAS]])</f>
        <v>156</v>
      </c>
      <c r="K58">
        <f>SUMIF(entradas26[CODIGO],samgung26[[#This Row],[CODIGO ]],entradas26[[CAN JUEGOS ]])</f>
        <v>0</v>
      </c>
      <c r="L58">
        <f>SUMIF(entradas26[CODIGO],samgung26[[#This Row],[CODIGO ]],entradas26[CAN BARRAS])</f>
        <v>0</v>
      </c>
      <c r="M58">
        <f>SUMIF(salidas26[[CODIGO ]],samgung26[[#This Row],[CODIGO ]],salidas26[[CANT JUEGOS ]])</f>
        <v>0</v>
      </c>
      <c r="N58">
        <f>SUMIF(salidas26[[CODIGO ]],samgung26[[#This Row],[CODIGO ]],salidas26[CANT BARRAS])</f>
        <v>0</v>
      </c>
      <c r="O58">
        <f>(samgung26[[#This Row],["J"PRECIO COMPRA ]]*samgung26[[#This Row],[STOCK JUEGOS]])</f>
        <v>3120</v>
      </c>
      <c r="P58">
        <f>(samgung26[[#This Row],["J" PRECIO VENTA ]]*samgung26[[#This Row],[STOCK JUEGOS]])</f>
        <v>5500</v>
      </c>
      <c r="Q58">
        <f>(samgung26[[#This Row],["B"PRECIO COMPRA]]*samgung26[[#This Row],[STOCK BARRAS]])</f>
        <v>0</v>
      </c>
      <c r="R58">
        <f>(samgung26[[#This Row],["B"PRECIO VENTA ]]*samgung26[[#This Row],[STOCK BARRAS]])</f>
        <v>0</v>
      </c>
      <c r="S58" s="28">
        <v>10</v>
      </c>
      <c r="T58" s="28"/>
      <c r="U58">
        <v>9</v>
      </c>
      <c r="W58" t="s">
        <v>238</v>
      </c>
    </row>
    <row r="59" spans="1:24" ht="15.75">
      <c r="A59">
        <v>50</v>
      </c>
      <c r="B59">
        <v>2097</v>
      </c>
      <c r="C59" s="41" t="s">
        <v>239</v>
      </c>
      <c r="D59">
        <f>(samgung26[[#This Row],[CANTIDAD INICIAL JUEGO ]]+samgung26[[#This Row],[ENTRADAS JUEGOS ]]-samgung26[[#This Row],[SALIDAS JUEGOS]])</f>
        <v>3</v>
      </c>
      <c r="E59">
        <f>(samgung26[[#This Row],[CANTIDAD INICIAL BARRAS]]+samgung26[[#This Row],[ENTRADAS BARRAS]]-samgung26[[#This Row],[SALIDA BARRAS]])</f>
        <v>1</v>
      </c>
      <c r="F59" s="35">
        <v>320</v>
      </c>
      <c r="G59" s="38">
        <v>94</v>
      </c>
      <c r="H59" s="18">
        <v>2</v>
      </c>
      <c r="I59">
        <f>(samgung26[[#This Row],["J" PRECIO VENTA ]]/samgung26[[#This Row],[BARRAS]])</f>
        <v>160</v>
      </c>
      <c r="J59">
        <f>(samgung26[[#This Row],["J"PRECIO COMPRA ]]/samgung26[[#This Row],[BARRAS]])</f>
        <v>47</v>
      </c>
      <c r="K59">
        <f>SUMIF(entradas26[CODIGO],samgung26[[#This Row],[CODIGO ]],entradas26[[CAN JUEGOS ]])</f>
        <v>0</v>
      </c>
      <c r="L59">
        <f>SUMIF(entradas26[CODIGO],samgung26[[#This Row],[CODIGO ]],entradas26[CAN BARRAS])</f>
        <v>0</v>
      </c>
      <c r="M59">
        <f>SUMIF(salidas26[[CODIGO ]],samgung26[[#This Row],[CODIGO ]],salidas26[[CANT JUEGOS ]])</f>
        <v>8</v>
      </c>
      <c r="N59">
        <f>SUMIF(salidas26[[CODIGO ]],samgung26[[#This Row],[CODIGO ]],salidas26[CANT BARRAS])</f>
        <v>0</v>
      </c>
      <c r="O59">
        <f>(samgung26[[#This Row],["J"PRECIO COMPRA ]]*samgung26[[#This Row],[STOCK JUEGOS]])</f>
        <v>282</v>
      </c>
      <c r="P59">
        <f>(samgung26[[#This Row],["J" PRECIO VENTA ]]*samgung26[[#This Row],[STOCK JUEGOS]])</f>
        <v>960</v>
      </c>
      <c r="Q59">
        <f>(samgung26[[#This Row],["B"PRECIO COMPRA]]*samgung26[[#This Row],[STOCK BARRAS]])</f>
        <v>47</v>
      </c>
      <c r="R59">
        <f>(samgung26[[#This Row],["B"PRECIO VENTA ]]*samgung26[[#This Row],[STOCK BARRAS]])</f>
        <v>160</v>
      </c>
      <c r="S59" s="28">
        <v>11</v>
      </c>
      <c r="T59" s="28">
        <v>1</v>
      </c>
      <c r="U59">
        <v>6.7</v>
      </c>
      <c r="W59" t="s">
        <v>236</v>
      </c>
      <c r="X59" t="s">
        <v>240</v>
      </c>
    </row>
    <row r="60" spans="1:24" ht="15.75">
      <c r="B60">
        <v>2106</v>
      </c>
      <c r="C60" s="41" t="s">
        <v>241</v>
      </c>
      <c r="D60">
        <f>(samgung26[[#This Row],[CANTIDAD INICIAL JUEGO ]]+samgung26[[#This Row],[ENTRADAS JUEGOS ]]-samgung26[[#This Row],[SALIDAS JUEGOS]])</f>
        <v>3</v>
      </c>
      <c r="E60">
        <f>(samgung26[[#This Row],[CANTIDAD INICIAL BARRAS]]+samgung26[[#This Row],[ENTRADAS BARRAS]]-samgung26[[#This Row],[SALIDA BARRAS]])</f>
        <v>0</v>
      </c>
      <c r="F60" s="35">
        <v>800</v>
      </c>
      <c r="G60" s="18">
        <v>494</v>
      </c>
      <c r="H60" s="18">
        <v>2</v>
      </c>
      <c r="I60">
        <f>(samgung26[[#This Row],["J" PRECIO VENTA ]]/samgung26[[#This Row],[BARRAS]])</f>
        <v>400</v>
      </c>
      <c r="J60">
        <f>(samgung26[[#This Row],["J"PRECIO COMPRA ]]/samgung26[[#This Row],[BARRAS]])</f>
        <v>247</v>
      </c>
      <c r="K60">
        <f>SUMIF(entradas26[CODIGO],samgung26[[#This Row],[CODIGO ]],entradas26[[CAN JUEGOS ]])</f>
        <v>0</v>
      </c>
      <c r="L60">
        <f>SUMIF(entradas26[CODIGO],samgung26[[#This Row],[CODIGO ]],entradas26[CAN BARRAS])</f>
        <v>0</v>
      </c>
      <c r="M60">
        <f>SUMIF(salidas26[[CODIGO ]],samgung26[[#This Row],[CODIGO ]],salidas26[[CANT JUEGOS ]])</f>
        <v>0</v>
      </c>
      <c r="N60">
        <f>SUMIF(salidas26[[CODIGO ]],samgung26[[#This Row],[CODIGO ]],salidas26[CANT BARRAS])</f>
        <v>0</v>
      </c>
      <c r="O60">
        <f>(samgung26[[#This Row],["J"PRECIO COMPRA ]]*samgung26[[#This Row],[STOCK JUEGOS]])</f>
        <v>1482</v>
      </c>
      <c r="P60">
        <f>(samgung26[[#This Row],["J" PRECIO VENTA ]]*samgung26[[#This Row],[STOCK JUEGOS]])</f>
        <v>2400</v>
      </c>
      <c r="Q60">
        <f>(samgung26[[#This Row],["B"PRECIO COMPRA]]*samgung26[[#This Row],[STOCK BARRAS]])</f>
        <v>0</v>
      </c>
      <c r="R60">
        <f>(samgung26[[#This Row],["B"PRECIO VENTA ]]*samgung26[[#This Row],[STOCK BARRAS]])</f>
        <v>0</v>
      </c>
      <c r="S60" s="28">
        <v>3</v>
      </c>
      <c r="T60" s="28"/>
      <c r="U60">
        <v>16</v>
      </c>
      <c r="W60" t="s">
        <v>242</v>
      </c>
    </row>
    <row r="61" spans="1:24" ht="15.75">
      <c r="B61">
        <v>2091</v>
      </c>
      <c r="C61" s="89" t="s">
        <v>243</v>
      </c>
      <c r="D61">
        <f>(samgung26[[#This Row],[CANTIDAD INICIAL JUEGO ]]+samgung26[[#This Row],[ENTRADAS JUEGOS ]]-samgung26[[#This Row],[SALIDAS JUEGOS]])</f>
        <v>7</v>
      </c>
      <c r="E61">
        <f>(samgung26[[#This Row],[CANTIDAD INICIAL BARRAS]]+samgung26[[#This Row],[ENTRADAS BARRAS]]-samgung26[[#This Row],[SALIDA BARRAS]])</f>
        <v>0</v>
      </c>
      <c r="F61" s="88">
        <v>700</v>
      </c>
      <c r="G61" s="18"/>
      <c r="H61" s="18"/>
      <c r="I61" t="e">
        <f>(samgung26[[#This Row],["J" PRECIO VENTA ]]/samgung26[[#This Row],[BARRAS]])</f>
        <v>#DIV/0!</v>
      </c>
      <c r="J61" t="e">
        <f>(samgung26[[#This Row],["J"PRECIO COMPRA ]]/samgung26[[#This Row],[BARRAS]])</f>
        <v>#DIV/0!</v>
      </c>
      <c r="K61">
        <f>SUMIF(entradas26[CODIGO],samgung26[[#This Row],[CODIGO ]],entradas26[[CAN JUEGOS ]])</f>
        <v>10</v>
      </c>
      <c r="L61">
        <f>SUMIF(entradas26[CODIGO],samgung26[[#This Row],[CODIGO ]],entradas26[CAN BARRAS])</f>
        <v>0</v>
      </c>
      <c r="M61">
        <f>SUMIF(salidas26[[CODIGO ]],samgung26[[#This Row],[CODIGO ]],salidas26[[CANT JUEGOS ]])</f>
        <v>3</v>
      </c>
      <c r="N61">
        <f>SUMIF(salidas26[[CODIGO ]],samgung26[[#This Row],[CODIGO ]],salidas26[CANT BARRAS])</f>
        <v>0</v>
      </c>
      <c r="O61">
        <f>(samgung26[[#This Row],["J"PRECIO COMPRA ]]*samgung26[[#This Row],[STOCK JUEGOS]])</f>
        <v>0</v>
      </c>
      <c r="P61">
        <f>(samgung26[[#This Row],["J" PRECIO VENTA ]]*samgung26[[#This Row],[STOCK JUEGOS]])</f>
        <v>4900</v>
      </c>
      <c r="Q61" t="e">
        <f>(samgung26[[#This Row],["B"PRECIO COMPRA]]*samgung26[[#This Row],[STOCK BARRAS]])</f>
        <v>#DIV/0!</v>
      </c>
      <c r="R61" t="e">
        <f>(samgung26[[#This Row],["B"PRECIO VENTA ]]*samgung26[[#This Row],[STOCK BARRAS]])</f>
        <v>#DIV/0!</v>
      </c>
      <c r="S61" s="28"/>
      <c r="T61" s="28"/>
      <c r="U61">
        <v>18.600000000000001</v>
      </c>
      <c r="W61" t="s">
        <v>244</v>
      </c>
    </row>
    <row r="62" spans="1:24" ht="15.75">
      <c r="B62" s="90">
        <v>2086</v>
      </c>
      <c r="C62" s="89" t="s">
        <v>245</v>
      </c>
      <c r="D62">
        <f>(samgung26[[#This Row],[CANTIDAD INICIAL JUEGO ]]+samgung26[[#This Row],[ENTRADAS JUEGOS ]]-samgung26[[#This Row],[SALIDAS JUEGOS]])</f>
        <v>10</v>
      </c>
      <c r="E62">
        <f>(samgung26[[#This Row],[CANTIDAD INICIAL BARRAS]]+samgung26[[#This Row],[ENTRADAS BARRAS]]-samgung26[[#This Row],[SALIDA BARRAS]])</f>
        <v>0</v>
      </c>
      <c r="F62" s="88">
        <v>420</v>
      </c>
      <c r="G62" s="18"/>
      <c r="H62" s="18"/>
      <c r="I62" t="e">
        <f>(samgung26[[#This Row],["J" PRECIO VENTA ]]/samgung26[[#This Row],[BARRAS]])</f>
        <v>#DIV/0!</v>
      </c>
      <c r="J62" t="e">
        <f>(samgung26[[#This Row],["J"PRECIO COMPRA ]]/samgung26[[#This Row],[BARRAS]])</f>
        <v>#DIV/0!</v>
      </c>
      <c r="K62">
        <f>SUMIF(entradas26[CODIGO],samgung26[[#This Row],[CODIGO ]],entradas26[[CAN JUEGOS ]])</f>
        <v>10</v>
      </c>
      <c r="L62">
        <f>SUMIF(entradas26[CODIGO],samgung26[[#This Row],[CODIGO ]],entradas26[CAN BARRAS])</f>
        <v>0</v>
      </c>
      <c r="M62">
        <f>SUMIF(salidas26[[CODIGO ]],samgung26[[#This Row],[CODIGO ]],salidas26[[CANT JUEGOS ]])</f>
        <v>0</v>
      </c>
      <c r="N62">
        <f>SUMIF(salidas26[[CODIGO ]],samgung26[[#This Row],[CODIGO ]],salidas26[CANT BARRAS])</f>
        <v>0</v>
      </c>
      <c r="O62">
        <f>(samgung26[[#This Row],["J"PRECIO COMPRA ]]*samgung26[[#This Row],[STOCK JUEGOS]])</f>
        <v>0</v>
      </c>
      <c r="P62">
        <f>(samgung26[[#This Row],["J" PRECIO VENTA ]]*samgung26[[#This Row],[STOCK JUEGOS]])</f>
        <v>4200</v>
      </c>
      <c r="Q62" t="e">
        <f>(samgung26[[#This Row],["B"PRECIO COMPRA]]*samgung26[[#This Row],[STOCK BARRAS]])</f>
        <v>#DIV/0!</v>
      </c>
      <c r="R62" t="e">
        <f>(samgung26[[#This Row],["B"PRECIO VENTA ]]*samgung26[[#This Row],[STOCK BARRAS]])</f>
        <v>#DIV/0!</v>
      </c>
      <c r="S62" s="28"/>
      <c r="T62" s="28"/>
      <c r="U62">
        <v>5.2</v>
      </c>
      <c r="W62" t="s">
        <v>246</v>
      </c>
    </row>
    <row r="63" spans="1:24" ht="15.75">
      <c r="A63">
        <v>51</v>
      </c>
      <c r="B63">
        <v>2098</v>
      </c>
      <c r="C63" s="41" t="s">
        <v>247</v>
      </c>
      <c r="D63">
        <f>(samgung26[[#This Row],[CANTIDAD INICIAL JUEGO ]]+samgung26[[#This Row],[ENTRADAS JUEGOS ]]-samgung26[[#This Row],[SALIDAS JUEGOS]])</f>
        <v>10</v>
      </c>
      <c r="E63">
        <f>(samgung26[[#This Row],[CANTIDAD INICIAL BARRAS]]+samgung26[[#This Row],[ENTRADAS BARRAS]]-samgung26[[#This Row],[SALIDA BARRAS]])</f>
        <v>0</v>
      </c>
      <c r="F63" s="35">
        <v>700</v>
      </c>
      <c r="G63" s="18">
        <v>480</v>
      </c>
      <c r="H63" s="18">
        <v>16</v>
      </c>
      <c r="I63">
        <f>(samgung26[[#This Row],["J" PRECIO VENTA ]]/samgung26[[#This Row],[BARRAS]])</f>
        <v>43.75</v>
      </c>
      <c r="J63">
        <f>(samgung26[[#This Row],["J"PRECIO COMPRA ]]/samgung26[[#This Row],[BARRAS]])</f>
        <v>30</v>
      </c>
      <c r="K63">
        <f>SUMIF(entradas26[CODIGO],samgung26[[#This Row],[CODIGO ]],entradas26[[CAN JUEGOS ]])</f>
        <v>0</v>
      </c>
      <c r="L63">
        <f>SUMIF(entradas26[CODIGO],samgung26[[#This Row],[CODIGO ]],entradas26[CAN BARRAS])</f>
        <v>0</v>
      </c>
      <c r="M63">
        <f>SUMIF(salidas26[[CODIGO ]],samgung26[[#This Row],[CODIGO ]],salidas26[[CANT JUEGOS ]])</f>
        <v>0</v>
      </c>
      <c r="N63">
        <f>SUMIF(salidas26[[CODIGO ]],samgung26[[#This Row],[CODIGO ]],salidas26[CANT BARRAS])</f>
        <v>0</v>
      </c>
      <c r="O63">
        <f>(samgung26[[#This Row],["J"PRECIO COMPRA ]]*samgung26[[#This Row],[STOCK JUEGOS]])</f>
        <v>4800</v>
      </c>
      <c r="P63">
        <f>(samgung26[[#This Row],["J" PRECIO VENTA ]]*samgung26[[#This Row],[STOCK JUEGOS]])</f>
        <v>7000</v>
      </c>
      <c r="Q63">
        <f>(samgung26[[#This Row],["B"PRECIO COMPRA]]*samgung26[[#This Row],[STOCK BARRAS]])</f>
        <v>0</v>
      </c>
      <c r="R63">
        <f>(samgung26[[#This Row],["B"PRECIO VENTA ]]*samgung26[[#This Row],[STOCK BARRAS]])</f>
        <v>0</v>
      </c>
      <c r="S63" s="28">
        <v>10</v>
      </c>
      <c r="T63" s="28"/>
      <c r="U63">
        <v>16</v>
      </c>
      <c r="W63" t="s">
        <v>248</v>
      </c>
    </row>
    <row r="64" spans="1:24" ht="15.75">
      <c r="A64">
        <v>52</v>
      </c>
      <c r="B64">
        <v>2099</v>
      </c>
      <c r="C64" s="40" t="s">
        <v>249</v>
      </c>
      <c r="D64">
        <f>(samgung26[[#This Row],[CANTIDAD INICIAL JUEGO ]]+samgung26[[#This Row],[ENTRADAS JUEGOS ]]-samgung26[[#This Row],[SALIDAS JUEGOS]])</f>
        <v>18</v>
      </c>
      <c r="E64">
        <f>(samgung26[[#This Row],[CANTIDAD INICIAL BARRAS]]+samgung26[[#This Row],[ENTRADAS BARRAS]]-samgung26[[#This Row],[SALIDA BARRAS]])</f>
        <v>0</v>
      </c>
      <c r="F64" s="35">
        <v>260</v>
      </c>
      <c r="G64" s="18">
        <v>106</v>
      </c>
      <c r="H64" s="18">
        <v>2</v>
      </c>
      <c r="I64">
        <f>(samgung26[[#This Row],["J" PRECIO VENTA ]]/samgung26[[#This Row],[BARRAS]])</f>
        <v>130</v>
      </c>
      <c r="J64">
        <f>(samgung26[[#This Row],["J"PRECIO COMPRA ]]/samgung26[[#This Row],[BARRAS]])</f>
        <v>53</v>
      </c>
      <c r="K64">
        <f>SUMIF(entradas26[CODIGO],samgung26[[#This Row],[CODIGO ]],entradas26[[CAN JUEGOS ]])</f>
        <v>0</v>
      </c>
      <c r="L64">
        <f>SUMIF(entradas26[CODIGO],samgung26[[#This Row],[CODIGO ]],entradas26[CAN BARRAS])</f>
        <v>0</v>
      </c>
      <c r="M64">
        <f>SUMIF(salidas26[[CODIGO ]],samgung26[[#This Row],[CODIGO ]],salidas26[[CANT JUEGOS ]])</f>
        <v>4</v>
      </c>
      <c r="N64">
        <f>SUMIF(salidas26[[CODIGO ]],samgung26[[#This Row],[CODIGO ]],salidas26[CANT BARRAS])</f>
        <v>0</v>
      </c>
      <c r="O64">
        <f>(samgung26[[#This Row],["J"PRECIO COMPRA ]]*samgung26[[#This Row],[STOCK JUEGOS]])</f>
        <v>1908</v>
      </c>
      <c r="P64">
        <f>(samgung26[[#This Row],["J" PRECIO VENTA ]]*samgung26[[#This Row],[STOCK JUEGOS]])</f>
        <v>4680</v>
      </c>
      <c r="Q64">
        <f>(samgung26[[#This Row],["B"PRECIO COMPRA]]*samgung26[[#This Row],[STOCK BARRAS]])</f>
        <v>0</v>
      </c>
      <c r="R64">
        <f>(samgung26[[#This Row],["B"PRECIO VENTA ]]*samgung26[[#This Row],[STOCK BARRAS]])</f>
        <v>0</v>
      </c>
      <c r="S64" s="28">
        <v>22</v>
      </c>
      <c r="T64" s="28"/>
      <c r="U64">
        <v>4.5999999999999996</v>
      </c>
      <c r="W64" t="s">
        <v>250</v>
      </c>
    </row>
    <row r="65" spans="1:24" ht="15.75">
      <c r="A65">
        <v>53</v>
      </c>
      <c r="B65">
        <v>2100</v>
      </c>
      <c r="C65" s="41" t="s">
        <v>251</v>
      </c>
      <c r="D65">
        <f>(samgung26[[#This Row],[CANTIDAD INICIAL JUEGO ]]+samgung26[[#This Row],[ENTRADAS JUEGOS ]]-samgung26[[#This Row],[SALIDAS JUEGOS]])</f>
        <v>10</v>
      </c>
      <c r="E65">
        <f>(samgung26[[#This Row],[CANTIDAD INICIAL BARRAS]]+samgung26[[#This Row],[ENTRADAS BARRAS]]-samgung26[[#This Row],[SALIDA BARRAS]])</f>
        <v>0</v>
      </c>
      <c r="F65" s="35">
        <v>460</v>
      </c>
      <c r="G65" s="18">
        <v>171</v>
      </c>
      <c r="H65" s="18">
        <v>10</v>
      </c>
      <c r="I65">
        <f>(samgung26[[#This Row],["J" PRECIO VENTA ]]/samgung26[[#This Row],[BARRAS]])</f>
        <v>46</v>
      </c>
      <c r="J65">
        <f>(samgung26[[#This Row],["J"PRECIO COMPRA ]]/samgung26[[#This Row],[BARRAS]])</f>
        <v>17.100000000000001</v>
      </c>
      <c r="K65">
        <f>SUMIF(entradas26[CODIGO],samgung26[[#This Row],[CODIGO ]],entradas26[[CAN JUEGOS ]])</f>
        <v>0</v>
      </c>
      <c r="L65">
        <f>SUMIF(entradas26[CODIGO],samgung26[[#This Row],[CODIGO ]],entradas26[CAN BARRAS])</f>
        <v>0</v>
      </c>
      <c r="M65">
        <f>SUMIF(salidas26[[CODIGO ]],samgung26[[#This Row],[CODIGO ]],salidas26[[CANT JUEGOS ]])</f>
        <v>0</v>
      </c>
      <c r="N65">
        <f>SUMIF(salidas26[[CODIGO ]],samgung26[[#This Row],[CODIGO ]],salidas26[CANT BARRAS])</f>
        <v>0</v>
      </c>
      <c r="O65">
        <f>(samgung26[[#This Row],["J"PRECIO COMPRA ]]*samgung26[[#This Row],[STOCK JUEGOS]])</f>
        <v>1710</v>
      </c>
      <c r="P65">
        <f>(samgung26[[#This Row],["J" PRECIO VENTA ]]*samgung26[[#This Row],[STOCK JUEGOS]])</f>
        <v>4600</v>
      </c>
      <c r="Q65">
        <f>(samgung26[[#This Row],["B"PRECIO COMPRA]]*samgung26[[#This Row],[STOCK BARRAS]])</f>
        <v>0</v>
      </c>
      <c r="R65">
        <f>(samgung26[[#This Row],["B"PRECIO VENTA ]]*samgung26[[#This Row],[STOCK BARRAS]])</f>
        <v>0</v>
      </c>
      <c r="S65" s="28">
        <v>10</v>
      </c>
      <c r="T65" s="28"/>
      <c r="U65">
        <v>6.5</v>
      </c>
      <c r="W65" t="s">
        <v>252</v>
      </c>
    </row>
    <row r="66" spans="1:24" ht="15.75">
      <c r="A66">
        <v>54</v>
      </c>
      <c r="B66">
        <v>2101</v>
      </c>
      <c r="C66" s="41" t="s">
        <v>253</v>
      </c>
      <c r="D66">
        <f>(samgung26[[#This Row],[CANTIDAD INICIAL JUEGO ]]+samgung26[[#This Row],[ENTRADAS JUEGOS ]]-samgung26[[#This Row],[SALIDAS JUEGOS]])</f>
        <v>1</v>
      </c>
      <c r="E66">
        <f>(samgung26[[#This Row],[CANTIDAD INICIAL BARRAS]]+samgung26[[#This Row],[ENTRADAS BARRAS]]-samgung26[[#This Row],[SALIDA BARRAS]])</f>
        <v>0</v>
      </c>
      <c r="F66" s="35">
        <v>400</v>
      </c>
      <c r="G66" s="18"/>
      <c r="H66" s="18">
        <v>10</v>
      </c>
      <c r="I66">
        <f>(samgung26[[#This Row],["J" PRECIO VENTA ]]/samgung26[[#This Row],[BARRAS]])</f>
        <v>40</v>
      </c>
      <c r="J66">
        <f>(samgung26[[#This Row],["J"PRECIO COMPRA ]]/samgung26[[#This Row],[BARRAS]])</f>
        <v>0</v>
      </c>
      <c r="K66">
        <f>SUMIF(entradas26[CODIGO],samgung26[[#This Row],[CODIGO ]],entradas26[[CAN JUEGOS ]])</f>
        <v>0</v>
      </c>
      <c r="L66">
        <f>SUMIF(entradas26[CODIGO],samgung26[[#This Row],[CODIGO ]],entradas26[CAN BARRAS])</f>
        <v>0</v>
      </c>
      <c r="M66">
        <f>SUMIF(salidas26[[CODIGO ]],samgung26[[#This Row],[CODIGO ]],salidas26[[CANT JUEGOS ]])</f>
        <v>0</v>
      </c>
      <c r="N66">
        <f>SUMIF(salidas26[[CODIGO ]],samgung26[[#This Row],[CODIGO ]],salidas26[CANT BARRAS])</f>
        <v>0</v>
      </c>
      <c r="O66">
        <f>(samgung26[[#This Row],["J"PRECIO COMPRA ]]*samgung26[[#This Row],[STOCK JUEGOS]])</f>
        <v>0</v>
      </c>
      <c r="P66">
        <f>(samgung26[[#This Row],["J" PRECIO VENTA ]]*samgung26[[#This Row],[STOCK JUEGOS]])</f>
        <v>400</v>
      </c>
      <c r="Q66">
        <f>(samgung26[[#This Row],["B"PRECIO COMPRA]]*samgung26[[#This Row],[STOCK BARRAS]])</f>
        <v>0</v>
      </c>
      <c r="R66">
        <f>(samgung26[[#This Row],["B"PRECIO VENTA ]]*samgung26[[#This Row],[STOCK BARRAS]])</f>
        <v>0</v>
      </c>
      <c r="S66" s="28">
        <v>1</v>
      </c>
      <c r="T66" s="28"/>
    </row>
    <row r="67" spans="1:24" ht="15.75">
      <c r="A67">
        <v>55</v>
      </c>
      <c r="B67">
        <v>2102</v>
      </c>
      <c r="C67" s="40" t="s">
        <v>254</v>
      </c>
      <c r="D67">
        <f>(samgung26[[#This Row],[CANTIDAD INICIAL JUEGO ]]+samgung26[[#This Row],[ENTRADAS JUEGOS ]]-samgung26[[#This Row],[SALIDAS JUEGOS]])</f>
        <v>3</v>
      </c>
      <c r="E67">
        <f>(samgung26[[#This Row],[CANTIDAD INICIAL BARRAS]]+samgung26[[#This Row],[ENTRADAS BARRAS]]-samgung26[[#This Row],[SALIDA BARRAS]])</f>
        <v>0</v>
      </c>
      <c r="F67" s="35">
        <v>1300</v>
      </c>
      <c r="G67" s="18">
        <v>618</v>
      </c>
      <c r="H67" s="18">
        <v>36</v>
      </c>
      <c r="I67">
        <f>(samgung26[[#This Row],["J" PRECIO VENTA ]]/samgung26[[#This Row],[BARRAS]])</f>
        <v>36.111111111111114</v>
      </c>
      <c r="J67">
        <f>(samgung26[[#This Row],["J"PRECIO COMPRA ]]/samgung26[[#This Row],[BARRAS]])</f>
        <v>17.166666666666668</v>
      </c>
      <c r="K67">
        <f>SUMIF(entradas26[CODIGO],samgung26[[#This Row],[CODIGO ]],entradas26[[CAN JUEGOS ]])</f>
        <v>0</v>
      </c>
      <c r="L67">
        <f>SUMIF(entradas26[CODIGO],samgung26[[#This Row],[CODIGO ]],entradas26[CAN BARRAS])</f>
        <v>0</v>
      </c>
      <c r="M67">
        <f>SUMIF(salidas26[[CODIGO ]],samgung26[[#This Row],[CODIGO ]],salidas26[[CANT JUEGOS ]])</f>
        <v>1</v>
      </c>
      <c r="N67">
        <f>SUMIF(salidas26[[CODIGO ]],samgung26[[#This Row],[CODIGO ]],salidas26[CANT BARRAS])</f>
        <v>0</v>
      </c>
      <c r="O67">
        <f>(samgung26[[#This Row],["J"PRECIO COMPRA ]]*samgung26[[#This Row],[STOCK JUEGOS]])</f>
        <v>1854</v>
      </c>
      <c r="P67">
        <f>(samgung26[[#This Row],["J" PRECIO VENTA ]]*samgung26[[#This Row],[STOCK JUEGOS]])</f>
        <v>3900</v>
      </c>
      <c r="Q67">
        <f>(samgung26[[#This Row],["B"PRECIO COMPRA]]*samgung26[[#This Row],[STOCK BARRAS]])</f>
        <v>0</v>
      </c>
      <c r="R67">
        <f>(samgung26[[#This Row],["B"PRECIO VENTA ]]*samgung26[[#This Row],[STOCK BARRAS]])</f>
        <v>0</v>
      </c>
      <c r="S67" s="28">
        <v>4</v>
      </c>
      <c r="T67" s="28"/>
      <c r="U67">
        <v>44.5</v>
      </c>
    </row>
    <row r="68" spans="1:24" ht="15.75">
      <c r="A68">
        <v>56</v>
      </c>
      <c r="B68">
        <v>2103</v>
      </c>
      <c r="C68" s="41" t="s">
        <v>255</v>
      </c>
      <c r="D68">
        <f>(samgung26[[#This Row],[CANTIDAD INICIAL JUEGO ]]+samgung26[[#This Row],[ENTRADAS JUEGOS ]]-samgung26[[#This Row],[SALIDAS JUEGOS]])</f>
        <v>10</v>
      </c>
      <c r="E68">
        <f>(samgung26[[#This Row],[CANTIDAD INICIAL BARRAS]]+samgung26[[#This Row],[ENTRADAS BARRAS]]-samgung26[[#This Row],[SALIDA BARRAS]])</f>
        <v>0</v>
      </c>
      <c r="F68" s="35">
        <v>600</v>
      </c>
      <c r="G68" s="18">
        <v>189</v>
      </c>
      <c r="H68" s="18">
        <v>18</v>
      </c>
      <c r="I68">
        <f>(samgung26[[#This Row],["J" PRECIO VENTA ]]/samgung26[[#This Row],[BARRAS]])</f>
        <v>33.333333333333336</v>
      </c>
      <c r="J68">
        <f>(samgung26[[#This Row],["J"PRECIO COMPRA ]]/samgung26[[#This Row],[BARRAS]])</f>
        <v>10.5</v>
      </c>
      <c r="K68">
        <f>SUMIF(entradas26[CODIGO],samgung26[[#This Row],[CODIGO ]],entradas26[[CAN JUEGOS ]])</f>
        <v>0</v>
      </c>
      <c r="L68">
        <f>SUMIF(entradas26[CODIGO],samgung26[[#This Row],[CODIGO ]],entradas26[CAN BARRAS])</f>
        <v>0</v>
      </c>
      <c r="M68">
        <f>SUMIF(salidas26[[CODIGO ]],samgung26[[#This Row],[CODIGO ]],salidas26[[CANT JUEGOS ]])</f>
        <v>0</v>
      </c>
      <c r="N68">
        <f>SUMIF(salidas26[[CODIGO ]],samgung26[[#This Row],[CODIGO ]],salidas26[CANT BARRAS])</f>
        <v>0</v>
      </c>
      <c r="O68">
        <f>(samgung26[[#This Row],["J"PRECIO COMPRA ]]*samgung26[[#This Row],[STOCK JUEGOS]])</f>
        <v>1890</v>
      </c>
      <c r="P68">
        <f>(samgung26[[#This Row],["J" PRECIO VENTA ]]*samgung26[[#This Row],[STOCK JUEGOS]])</f>
        <v>6000</v>
      </c>
      <c r="Q68">
        <f>(samgung26[[#This Row],["B"PRECIO COMPRA]]*samgung26[[#This Row],[STOCK BARRAS]])</f>
        <v>0</v>
      </c>
      <c r="R68">
        <f>(samgung26[[#This Row],["B"PRECIO VENTA ]]*samgung26[[#This Row],[STOCK BARRAS]])</f>
        <v>0</v>
      </c>
      <c r="S68" s="28">
        <v>10</v>
      </c>
      <c r="T68" s="28"/>
      <c r="U68">
        <v>7.2</v>
      </c>
      <c r="W68" t="s">
        <v>256</v>
      </c>
    </row>
    <row r="69" spans="1:24" ht="15.75">
      <c r="B69">
        <v>2107</v>
      </c>
      <c r="C69" s="41" t="s">
        <v>257</v>
      </c>
      <c r="D69">
        <f>(samgung26[[#This Row],[CANTIDAD INICIAL JUEGO ]]+samgung26[[#This Row],[ENTRADAS JUEGOS ]]-samgung26[[#This Row],[SALIDAS JUEGOS]])</f>
        <v>8</v>
      </c>
      <c r="E69">
        <f>(samgung26[[#This Row],[CANTIDAD INICIAL BARRAS]]+samgung26[[#This Row],[ENTRADAS BARRAS]]-samgung26[[#This Row],[SALIDA BARRAS]])</f>
        <v>0</v>
      </c>
      <c r="F69" s="46">
        <v>400</v>
      </c>
      <c r="G69" s="18">
        <v>232</v>
      </c>
      <c r="H69" s="18">
        <v>4</v>
      </c>
      <c r="I69">
        <f>(samgung26[[#This Row],["J" PRECIO VENTA ]]/samgung26[[#This Row],[BARRAS]])</f>
        <v>100</v>
      </c>
      <c r="J69">
        <f>(samgung26[[#This Row],["J"PRECIO COMPRA ]]/samgung26[[#This Row],[BARRAS]])</f>
        <v>58</v>
      </c>
      <c r="K69">
        <f>SUMIF(entradas26[CODIGO],samgung26[[#This Row],[CODIGO ]],entradas26[[CAN JUEGOS ]])</f>
        <v>0</v>
      </c>
      <c r="L69">
        <f>SUMIF(entradas26[CODIGO],samgung26[[#This Row],[CODIGO ]],entradas26[CAN BARRAS])</f>
        <v>0</v>
      </c>
      <c r="M69">
        <f>SUMIF(salidas26[[CODIGO ]],samgung26[[#This Row],[CODIGO ]],salidas26[[CANT JUEGOS ]])</f>
        <v>2</v>
      </c>
      <c r="N69">
        <f>SUMIF(salidas26[[CODIGO ]],samgung26[[#This Row],[CODIGO ]],salidas26[CANT BARRAS])</f>
        <v>0</v>
      </c>
      <c r="O69">
        <f>(samgung26[[#This Row],["J"PRECIO COMPRA ]]*samgung26[[#This Row],[STOCK JUEGOS]])</f>
        <v>1856</v>
      </c>
      <c r="P69">
        <f>(samgung26[[#This Row],["J" PRECIO VENTA ]]*samgung26[[#This Row],[STOCK JUEGOS]])</f>
        <v>3200</v>
      </c>
      <c r="Q69">
        <f>(samgung26[[#This Row],["B"PRECIO COMPRA]]*samgung26[[#This Row],[STOCK BARRAS]])</f>
        <v>0</v>
      </c>
      <c r="R69">
        <f>(samgung26[[#This Row],["B"PRECIO VENTA ]]*samgung26[[#This Row],[STOCK BARRAS]])</f>
        <v>0</v>
      </c>
      <c r="S69" s="28">
        <v>10</v>
      </c>
      <c r="T69" s="28"/>
      <c r="W69" t="s">
        <v>258</v>
      </c>
    </row>
    <row r="70" spans="1:24" ht="15.75">
      <c r="A70">
        <v>57</v>
      </c>
      <c r="B70">
        <v>2104</v>
      </c>
      <c r="C70" s="41" t="s">
        <v>259</v>
      </c>
      <c r="D70">
        <f>(samgung26[[#This Row],[CANTIDAD INICIAL JUEGO ]]+samgung26[[#This Row],[ENTRADAS JUEGOS ]]-samgung26[[#This Row],[SALIDAS JUEGOS]])</f>
        <v>7</v>
      </c>
      <c r="E70">
        <f>(samgung26[[#This Row],[CANTIDAD INICIAL BARRAS]]+samgung26[[#This Row],[ENTRADAS BARRAS]]-samgung26[[#This Row],[SALIDA BARRAS]])</f>
        <v>15</v>
      </c>
      <c r="F70" s="35">
        <v>600</v>
      </c>
      <c r="G70" s="18">
        <v>236</v>
      </c>
      <c r="H70" s="18">
        <v>18</v>
      </c>
      <c r="I70">
        <f>(samgung26[[#This Row],["J" PRECIO VENTA ]]/samgung26[[#This Row],[BARRAS]])</f>
        <v>33.333333333333336</v>
      </c>
      <c r="J70">
        <f>(samgung26[[#This Row],["J"PRECIO COMPRA ]]/samgung26[[#This Row],[BARRAS]])</f>
        <v>13.111111111111111</v>
      </c>
      <c r="K70">
        <f>SUMIF(entradas26[CODIGO],samgung26[[#This Row],[CODIGO ]],entradas26[[CAN JUEGOS ]])</f>
        <v>0</v>
      </c>
      <c r="L70">
        <f>SUMIF(entradas26[CODIGO],samgung26[[#This Row],[CODIGO ]],entradas26[CAN BARRAS])</f>
        <v>18</v>
      </c>
      <c r="M70">
        <f>SUMIF(salidas26[[CODIGO ]],samgung26[[#This Row],[CODIGO ]],salidas26[[CANT JUEGOS ]])</f>
        <v>2</v>
      </c>
      <c r="N70">
        <f>SUMIF(salidas26[[CODIGO ]],samgung26[[#This Row],[CODIGO ]],salidas26[CANT BARRAS])</f>
        <v>3</v>
      </c>
      <c r="O70">
        <f>(samgung26[[#This Row],["J"PRECIO COMPRA ]]*samgung26[[#This Row],[STOCK JUEGOS]])</f>
        <v>1652</v>
      </c>
      <c r="P70">
        <f>(samgung26[[#This Row],["J" PRECIO VENTA ]]*samgung26[[#This Row],[STOCK JUEGOS]])</f>
        <v>4200</v>
      </c>
      <c r="Q70">
        <f>(samgung26[[#This Row],["B"PRECIO COMPRA]]*samgung26[[#This Row],[STOCK BARRAS]])</f>
        <v>196.66666666666666</v>
      </c>
      <c r="R70">
        <f>(samgung26[[#This Row],["B"PRECIO VENTA ]]*samgung26[[#This Row],[STOCK BARRAS]])</f>
        <v>500.00000000000006</v>
      </c>
      <c r="S70" s="28">
        <v>9</v>
      </c>
      <c r="T70" s="28"/>
      <c r="U70">
        <v>9</v>
      </c>
      <c r="W70" t="s">
        <v>260</v>
      </c>
    </row>
    <row r="71" spans="1:24">
      <c r="B71">
        <v>2108</v>
      </c>
      <c r="C71" t="s">
        <v>754</v>
      </c>
      <c r="D71">
        <f>(samgung26[[#This Row],[CANTIDAD INICIAL JUEGO ]]+samgung26[[#This Row],[ENTRADAS JUEGOS ]]-samgung26[[#This Row],[SALIDAS JUEGOS]])</f>
        <v>9</v>
      </c>
      <c r="E71">
        <f>(samgung26[[#This Row],[CANTIDAD INICIAL BARRAS]]+samgung26[[#This Row],[ENTRADAS BARRAS]]-samgung26[[#This Row],[SALIDA BARRAS]])</f>
        <v>0</v>
      </c>
      <c r="F71" s="35">
        <v>320</v>
      </c>
      <c r="G71" s="18">
        <v>105</v>
      </c>
      <c r="H71" s="18"/>
      <c r="I71" t="e">
        <f>(samgung26[[#This Row],["J" PRECIO VENTA ]]/samgung26[[#This Row],[BARRAS]])</f>
        <v>#DIV/0!</v>
      </c>
      <c r="J71" t="e">
        <f>(samgung26[[#This Row],["J"PRECIO COMPRA ]]/samgung26[[#This Row],[BARRAS]])</f>
        <v>#DIV/0!</v>
      </c>
      <c r="K71">
        <f>SUMIF(entradas26[CODIGO],samgung26[[#This Row],[CODIGO ]],entradas26[[CAN JUEGOS ]])</f>
        <v>10</v>
      </c>
      <c r="L71">
        <f>SUMIF(entradas26[CODIGO],samgung26[[#This Row],[CODIGO ]],entradas26[CAN BARRAS])</f>
        <v>0</v>
      </c>
      <c r="M71">
        <f>SUMIF(salidas26[[CODIGO ]],samgung26[[#This Row],[CODIGO ]],salidas26[[CANT JUEGOS ]])</f>
        <v>1</v>
      </c>
      <c r="N71">
        <f>SUMIF(salidas26[[CODIGO ]],samgung26[[#This Row],[CODIGO ]],salidas26[CANT BARRAS])</f>
        <v>0</v>
      </c>
      <c r="O71">
        <f>(samgung26[[#This Row],["J"PRECIO COMPRA ]]*samgung26[[#This Row],[STOCK JUEGOS]])</f>
        <v>945</v>
      </c>
      <c r="P71">
        <f>(samgung26[[#This Row],["J" PRECIO VENTA ]]*samgung26[[#This Row],[STOCK JUEGOS]])</f>
        <v>2880</v>
      </c>
      <c r="Q71" t="e">
        <f>(samgung26[[#This Row],["B"PRECIO COMPRA]]*samgung26[[#This Row],[STOCK BARRAS]])</f>
        <v>#DIV/0!</v>
      </c>
      <c r="R71" t="e">
        <f>(samgung26[[#This Row],["B"PRECIO VENTA ]]*samgung26[[#This Row],[STOCK BARRAS]])</f>
        <v>#DIV/0!</v>
      </c>
      <c r="S71" s="28"/>
      <c r="T71" s="28"/>
      <c r="U71">
        <v>5.5</v>
      </c>
      <c r="W71" t="s">
        <v>755</v>
      </c>
    </row>
    <row r="72" spans="1:24" ht="15.75">
      <c r="A72">
        <v>58</v>
      </c>
      <c r="B72">
        <v>2105</v>
      </c>
      <c r="C72" s="41" t="s">
        <v>261</v>
      </c>
      <c r="D72">
        <f>(samgung26[[#This Row],[CANTIDAD INICIAL JUEGO ]]+samgung26[[#This Row],[ENTRADAS JUEGOS ]]-samgung26[[#This Row],[SALIDAS JUEGOS]])</f>
        <v>24</v>
      </c>
      <c r="E72">
        <f>(samgung26[[#This Row],[CANTIDAD INICIAL BARRAS]]+samgung26[[#This Row],[ENTRADAS BARRAS]]-samgung26[[#This Row],[SALIDA BARRAS]])</f>
        <v>3</v>
      </c>
      <c r="F72" s="35">
        <v>600</v>
      </c>
      <c r="G72" s="47">
        <v>228</v>
      </c>
      <c r="H72" s="18">
        <v>4</v>
      </c>
      <c r="I72">
        <f>(samgung26[[#This Row],["J" PRECIO VENTA ]]/samgung26[[#This Row],[BARRAS]])</f>
        <v>150</v>
      </c>
      <c r="J72">
        <f>(samgung26[[#This Row],["J"PRECIO COMPRA ]]/samgung26[[#This Row],[BARRAS]])</f>
        <v>57</v>
      </c>
      <c r="K72">
        <f>SUMIF(entradas26[CODIGO],samgung26[[#This Row],[CODIGO ]],entradas26[[CAN JUEGOS ]])</f>
        <v>20</v>
      </c>
      <c r="L72">
        <f>SUMIF(entradas26[CODIGO],samgung26[[#This Row],[CODIGO ]],entradas26[CAN BARRAS])</f>
        <v>4</v>
      </c>
      <c r="M72">
        <f>SUMIF(salidas26[[CODIGO ]],samgung26[[#This Row],[CODIGO ]],salidas26[[CANT JUEGOS ]])</f>
        <v>6</v>
      </c>
      <c r="N72">
        <f>SUMIF(salidas26[[CODIGO ]],samgung26[[#This Row],[CODIGO ]],salidas26[CANT BARRAS])</f>
        <v>1</v>
      </c>
      <c r="O72">
        <f>(samgung26[[#This Row],["J"PRECIO COMPRA ]]*samgung26[[#This Row],[STOCK JUEGOS]])</f>
        <v>5472</v>
      </c>
      <c r="P72">
        <f>(samgung26[[#This Row],["J" PRECIO VENTA ]]*samgung26[[#This Row],[STOCK JUEGOS]])</f>
        <v>14400</v>
      </c>
      <c r="Q72">
        <f>(samgung26[[#This Row],["B"PRECIO COMPRA]]*samgung26[[#This Row],[STOCK BARRAS]])</f>
        <v>171</v>
      </c>
      <c r="R72">
        <f>(samgung26[[#This Row],["B"PRECIO VENTA ]]*samgung26[[#This Row],[STOCK BARRAS]])</f>
        <v>450</v>
      </c>
      <c r="S72" s="28">
        <v>10</v>
      </c>
      <c r="T72" s="28"/>
      <c r="U72">
        <v>11.4</v>
      </c>
      <c r="W72" t="s">
        <v>262</v>
      </c>
      <c r="X72" t="s">
        <v>263</v>
      </c>
    </row>
    <row r="73" spans="1:24">
      <c r="A73">
        <v>59</v>
      </c>
      <c r="D73" s="18"/>
    </row>
    <row r="74" spans="1:24">
      <c r="A74">
        <v>60</v>
      </c>
    </row>
  </sheetData>
  <mergeCells count="1">
    <mergeCell ref="B2:V3"/>
  </mergeCells>
  <pageMargins left="0.7" right="0.7" top="0.75" bottom="0.75" header="0.3" footer="0.3"/>
  <pageSetup paperSize="9" orientation="portrait" horizontalDpi="120" verticalDpi="7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0"/>
  <sheetViews>
    <sheetView zoomScale="115" zoomScaleNormal="115" workbookViewId="0">
      <selection activeCell="C13" sqref="C13"/>
    </sheetView>
  </sheetViews>
  <sheetFormatPr baseColWidth="10" defaultColWidth="11.42578125" defaultRowHeight="15"/>
  <cols>
    <col min="1" max="1" width="5.5703125" customWidth="1"/>
    <col min="2" max="2" width="6.5703125" customWidth="1"/>
    <col min="3" max="3" width="34" customWidth="1"/>
    <col min="4" max="8" width="8.140625" customWidth="1"/>
    <col min="9" max="20" width="8.140625" hidden="1" customWidth="1"/>
    <col min="21" max="22" width="8.140625" customWidth="1"/>
    <col min="23" max="23" width="11.42578125" customWidth="1"/>
  </cols>
  <sheetData>
    <row r="2" spans="1:22" ht="8.25" customHeight="1">
      <c r="B2" s="242" t="s">
        <v>264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 spans="1:22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</row>
    <row r="4" spans="1:22" ht="21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73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</row>
    <row r="5" spans="1:22">
      <c r="A5">
        <v>1</v>
      </c>
      <c r="B5">
        <v>3000</v>
      </c>
      <c r="C5" s="48" t="s">
        <v>265</v>
      </c>
      <c r="D5">
        <f>(haier26[[#This Row],[CANTIDAD INICIAL JUEGO ]]+haier26[[#This Row],[ENTRADAS JUEGOS ]]-haier26[[#This Row],[SALIDAS JUEGOS]])</f>
        <v>22</v>
      </c>
      <c r="E5">
        <f>(haier26[[#This Row],[CANTIDAD INICIAL BARRAS]]+haier26[[#This Row],[ENTRADAS BARRAS]]-haier26[[#This Row],[SALIDA BARRAS]])</f>
        <v>1</v>
      </c>
      <c r="F5" s="35">
        <v>90</v>
      </c>
      <c r="G5" s="18">
        <v>50</v>
      </c>
      <c r="H5" s="18">
        <v>3</v>
      </c>
      <c r="I5">
        <f>(haier26[[#This Row],["J" PRECIO VENTA ]]/haier26[[#This Row],[BARRAS]])</f>
        <v>30</v>
      </c>
      <c r="J5">
        <f>(haier26[[#This Row],["J"PRECIO COMPRA ]]/haier26[[#This Row],[BARRAS]])</f>
        <v>16.666666666666668</v>
      </c>
      <c r="K5">
        <f>SUMIF(entradas26[CODIGO],haier26[[#This Row],[CODIGO ]],entradas26[[CAN JUEGOS ]])</f>
        <v>40</v>
      </c>
      <c r="L5">
        <f>SUMIF(entradas26[CODIGO],haier26[[#This Row],[CODIGO ]],entradas26[CAN BARRAS])</f>
        <v>0</v>
      </c>
      <c r="M5">
        <f>SUMIF(salidas26[[CODIGO ]],haier26[[#This Row],[CODIGO ]],salidas26[[CANT JUEGOS ]])</f>
        <v>22</v>
      </c>
      <c r="N5">
        <f>SUMIF(salidas26[[CODIGO ]],haier26[[#This Row],[CODIGO ]],salidas26[CANT BARRAS])</f>
        <v>0</v>
      </c>
      <c r="O5">
        <f>(haier26[[#This Row],["J"PRECIO COMPRA ]]*haier26[[#This Row],[STOCK JUEGOS]])</f>
        <v>1100</v>
      </c>
      <c r="P5">
        <f>(haier26[[#This Row],["J" PRECIO VENTA ]]*haier26[[#This Row],[STOCK JUEGOS]])</f>
        <v>1980</v>
      </c>
      <c r="Q5">
        <f>(haier26[[#This Row],["B"PRECIO COMPRA]]*haier26[[#This Row],[STOCK BARRAS]])</f>
        <v>16.666666666666668</v>
      </c>
      <c r="R5">
        <f>(haier26[[#This Row],["B"PRECIO VENTA ]]*haier26[[#This Row],[STOCK BARRAS]])</f>
        <v>30</v>
      </c>
      <c r="S5" s="28">
        <v>4</v>
      </c>
      <c r="T5" s="28">
        <v>1</v>
      </c>
      <c r="U5">
        <v>2.5</v>
      </c>
      <c r="V5" t="s">
        <v>902</v>
      </c>
    </row>
    <row r="6" spans="1:22">
      <c r="A6">
        <v>2</v>
      </c>
      <c r="B6">
        <v>3001</v>
      </c>
      <c r="C6" s="49" t="s">
        <v>266</v>
      </c>
      <c r="D6">
        <f>(haier26[[#This Row],[CANTIDAD INICIAL JUEGO ]]+haier26[[#This Row],[ENTRADAS JUEGOS ]]-haier26[[#This Row],[SALIDAS JUEGOS]])</f>
        <v>7</v>
      </c>
      <c r="E6">
        <f>(haier26[[#This Row],[CANTIDAD INICIAL BARRAS]]+haier26[[#This Row],[ENTRADAS BARRAS]]-haier26[[#This Row],[SALIDA BARRAS]])</f>
        <v>0</v>
      </c>
      <c r="F6" s="35">
        <v>100</v>
      </c>
      <c r="G6" s="18">
        <v>93</v>
      </c>
      <c r="H6" s="18">
        <v>3</v>
      </c>
      <c r="I6">
        <f>(haier26[[#This Row],["J" PRECIO VENTA ]]/haier26[[#This Row],[BARRAS]])</f>
        <v>33.333333333333336</v>
      </c>
      <c r="J6">
        <f>(haier26[[#This Row],["J"PRECIO COMPRA ]]/haier26[[#This Row],[BARRAS]])</f>
        <v>31</v>
      </c>
      <c r="K6">
        <f>SUMIF(entradas26[CODIGO],haier26[[#This Row],[CODIGO ]],entradas26[[CAN JUEGOS ]])</f>
        <v>0</v>
      </c>
      <c r="L6">
        <f>SUMIF(entradas26[CODIGO],haier26[[#This Row],[CODIGO ]],entradas26[CAN BARRAS])</f>
        <v>0</v>
      </c>
      <c r="M6">
        <f>SUMIF(salidas26[[CODIGO ]],haier26[[#This Row],[CODIGO ]],salidas26[[CANT JUEGOS ]])</f>
        <v>11</v>
      </c>
      <c r="N6">
        <f>SUMIF(salidas26[[CODIGO ]],haier26[[#This Row],[CODIGO ]],salidas26[CANT BARRAS])</f>
        <v>0</v>
      </c>
      <c r="O6">
        <f>(haier26[[#This Row],["J"PRECIO COMPRA ]]*haier26[[#This Row],[STOCK JUEGOS]])</f>
        <v>651</v>
      </c>
      <c r="P6">
        <f>(haier26[[#This Row],["J" PRECIO VENTA ]]*haier26[[#This Row],[STOCK JUEGOS]])</f>
        <v>700</v>
      </c>
      <c r="Q6">
        <f>(haier26[[#This Row],["B"PRECIO COMPRA]]*haier26[[#This Row],[STOCK BARRAS]])</f>
        <v>0</v>
      </c>
      <c r="R6">
        <f>(haier26[[#This Row],["B"PRECIO VENTA ]]*haier26[[#This Row],[STOCK BARRAS]])</f>
        <v>0</v>
      </c>
      <c r="S6" s="28">
        <v>18</v>
      </c>
      <c r="T6" s="28"/>
    </row>
    <row r="7" spans="1:22">
      <c r="A7">
        <v>3</v>
      </c>
      <c r="B7">
        <v>3003</v>
      </c>
      <c r="C7" s="50" t="s">
        <v>267</v>
      </c>
      <c r="D7">
        <f>(haier26[[#This Row],[CANTIDAD INICIAL JUEGO ]]+haier26[[#This Row],[ENTRADAS JUEGOS ]]-haier26[[#This Row],[SALIDAS JUEGOS]])</f>
        <v>20</v>
      </c>
      <c r="E7">
        <f>(haier26[[#This Row],[CANTIDAD INICIAL BARRAS]]+haier26[[#This Row],[ENTRADAS BARRAS]]-haier26[[#This Row],[SALIDA BARRAS]])</f>
        <v>1</v>
      </c>
      <c r="F7" s="35">
        <v>160</v>
      </c>
      <c r="G7" s="47">
        <v>78</v>
      </c>
      <c r="H7" s="18">
        <v>4</v>
      </c>
      <c r="I7">
        <f>(haier26[[#This Row],["J" PRECIO VENTA ]]/haier26[[#This Row],[BARRAS]])</f>
        <v>40</v>
      </c>
      <c r="J7">
        <f>(haier26[[#This Row],["J"PRECIO COMPRA ]]/haier26[[#This Row],[BARRAS]])</f>
        <v>19.5</v>
      </c>
      <c r="K7">
        <f>SUMIF(entradas26[CODIGO],haier26[[#This Row],[CODIGO ]],entradas26[[CAN JUEGOS ]])</f>
        <v>20</v>
      </c>
      <c r="L7">
        <f>SUMIF(entradas26[CODIGO],haier26[[#This Row],[CODIGO ]],entradas26[CAN BARRAS])</f>
        <v>8</v>
      </c>
      <c r="M7">
        <f>SUMIF(salidas26[[CODIGO ]],haier26[[#This Row],[CODIGO ]],salidas26[[CANT JUEGOS ]])</f>
        <v>12</v>
      </c>
      <c r="N7">
        <f>SUMIF(salidas26[[CODIGO ]],haier26[[#This Row],[CODIGO ]],salidas26[CANT BARRAS])</f>
        <v>9</v>
      </c>
      <c r="O7">
        <f>(haier26[[#This Row],["J"PRECIO COMPRA ]]*haier26[[#This Row],[STOCK JUEGOS]])</f>
        <v>1560</v>
      </c>
      <c r="P7">
        <f>(haier26[[#This Row],["J" PRECIO VENTA ]]*haier26[[#This Row],[STOCK JUEGOS]])</f>
        <v>3200</v>
      </c>
      <c r="Q7">
        <f>(haier26[[#This Row],["B"PRECIO COMPRA]]*haier26[[#This Row],[STOCK BARRAS]])</f>
        <v>19.5</v>
      </c>
      <c r="R7">
        <f>(haier26[[#This Row],["B"PRECIO VENTA ]]*haier26[[#This Row],[STOCK BARRAS]])</f>
        <v>40</v>
      </c>
      <c r="S7" s="28">
        <v>12</v>
      </c>
      <c r="T7" s="28">
        <v>2</v>
      </c>
      <c r="U7">
        <v>3.9</v>
      </c>
      <c r="V7" t="s">
        <v>893</v>
      </c>
    </row>
    <row r="8" spans="1:22">
      <c r="A8">
        <v>4</v>
      </c>
      <c r="B8">
        <v>3006</v>
      </c>
      <c r="C8" s="18" t="s">
        <v>268</v>
      </c>
      <c r="D8">
        <f>(haier26[[#This Row],[CANTIDAD INICIAL JUEGO ]]+haier26[[#This Row],[ENTRADAS JUEGOS ]]-haier26[[#This Row],[SALIDAS JUEGOS]])</f>
        <v>24</v>
      </c>
      <c r="E8">
        <f>(haier26[[#This Row],[CANTIDAD INICIAL BARRAS]]+haier26[[#This Row],[ENTRADAS BARRAS]]-haier26[[#This Row],[SALIDA BARRAS]])</f>
        <v>0</v>
      </c>
      <c r="F8" s="35">
        <v>180</v>
      </c>
      <c r="G8" s="47">
        <v>98</v>
      </c>
      <c r="H8" s="18">
        <v>4</v>
      </c>
      <c r="I8">
        <f>(haier26[[#This Row],["J" PRECIO VENTA ]]/haier26[[#This Row],[BARRAS]])</f>
        <v>45</v>
      </c>
      <c r="J8">
        <f>(haier26[[#This Row],["J"PRECIO COMPRA ]]/haier26[[#This Row],[BARRAS]])</f>
        <v>24.5</v>
      </c>
      <c r="K8">
        <f>SUMIF(entradas26[CODIGO],haier26[[#This Row],[CODIGO ]],entradas26[[CAN JUEGOS ]])</f>
        <v>20</v>
      </c>
      <c r="L8">
        <f>SUMIF(entradas26[CODIGO],haier26[[#This Row],[CODIGO ]],entradas26[CAN BARRAS])</f>
        <v>0</v>
      </c>
      <c r="M8">
        <f>SUMIF(salidas26[[CODIGO ]],haier26[[#This Row],[CODIGO ]],salidas26[[CANT JUEGOS ]])</f>
        <v>11</v>
      </c>
      <c r="N8">
        <f>SUMIF(salidas26[[CODIGO ]],haier26[[#This Row],[CODIGO ]],salidas26[CANT BARRAS])</f>
        <v>0</v>
      </c>
      <c r="O8">
        <f>(haier26[[#This Row],["J"PRECIO COMPRA ]]*haier26[[#This Row],[STOCK JUEGOS]])</f>
        <v>2352</v>
      </c>
      <c r="P8">
        <f>(haier26[[#This Row],["J" PRECIO VENTA ]]*haier26[[#This Row],[STOCK JUEGOS]])</f>
        <v>4320</v>
      </c>
      <c r="Q8">
        <f>(haier26[[#This Row],["B"PRECIO COMPRA]]*haier26[[#This Row],[STOCK BARRAS]])</f>
        <v>0</v>
      </c>
      <c r="R8">
        <f>(haier26[[#This Row],["B"PRECIO VENTA ]]*haier26[[#This Row],[STOCK BARRAS]])</f>
        <v>0</v>
      </c>
      <c r="S8" s="28">
        <v>15</v>
      </c>
      <c r="T8" s="28"/>
      <c r="U8">
        <v>4.9000000000000004</v>
      </c>
      <c r="V8" t="s">
        <v>894</v>
      </c>
    </row>
    <row r="9" spans="1:22">
      <c r="A9">
        <v>5</v>
      </c>
      <c r="B9">
        <v>3009</v>
      </c>
      <c r="C9" s="18" t="s">
        <v>269</v>
      </c>
      <c r="D9">
        <f>(haier26[[#This Row],[CANTIDAD INICIAL JUEGO ]]+haier26[[#This Row],[ENTRADAS JUEGOS ]]-haier26[[#This Row],[SALIDAS JUEGOS]])</f>
        <v>18</v>
      </c>
      <c r="E9">
        <f>(haier26[[#This Row],[CANTIDAD INICIAL BARRAS]]+haier26[[#This Row],[ENTRADAS BARRAS]]-haier26[[#This Row],[SALIDA BARRAS]])</f>
        <v>1</v>
      </c>
      <c r="F9" s="35">
        <v>220</v>
      </c>
      <c r="G9" s="47">
        <v>74</v>
      </c>
      <c r="H9" s="18">
        <v>4</v>
      </c>
      <c r="I9">
        <f>(haier26[[#This Row],["J" PRECIO VENTA ]]/haier26[[#This Row],[BARRAS]])</f>
        <v>55</v>
      </c>
      <c r="J9">
        <f>(haier26[[#This Row],["J"PRECIO COMPRA ]]/haier26[[#This Row],[BARRAS]])</f>
        <v>18.5</v>
      </c>
      <c r="K9">
        <f>SUMIF(entradas26[CODIGO],haier26[[#This Row],[CODIGO ]],entradas26[[CAN JUEGOS ]])</f>
        <v>0</v>
      </c>
      <c r="L9">
        <f>SUMIF(entradas26[CODIGO],haier26[[#This Row],[CODIGO ]],entradas26[CAN BARRAS])</f>
        <v>4</v>
      </c>
      <c r="M9">
        <f>SUMIF(salidas26[[CODIGO ]],haier26[[#This Row],[CODIGO ]],salidas26[[CANT JUEGOS ]])</f>
        <v>1</v>
      </c>
      <c r="N9">
        <f>SUMIF(salidas26[[CODIGO ]],haier26[[#This Row],[CODIGO ]],salidas26[CANT BARRAS])</f>
        <v>6</v>
      </c>
      <c r="O9">
        <f>(haier26[[#This Row],["J"PRECIO COMPRA ]]*haier26[[#This Row],[STOCK JUEGOS]])</f>
        <v>1332</v>
      </c>
      <c r="P9">
        <f>(haier26[[#This Row],["J" PRECIO VENTA ]]*haier26[[#This Row],[STOCK JUEGOS]])</f>
        <v>3960</v>
      </c>
      <c r="Q9">
        <f>(haier26[[#This Row],["B"PRECIO COMPRA]]*haier26[[#This Row],[STOCK BARRAS]])</f>
        <v>18.5</v>
      </c>
      <c r="R9">
        <f>(haier26[[#This Row],["B"PRECIO VENTA ]]*haier26[[#This Row],[STOCK BARRAS]])</f>
        <v>55</v>
      </c>
      <c r="S9" s="28">
        <v>19</v>
      </c>
      <c r="T9" s="28">
        <v>3</v>
      </c>
    </row>
    <row r="10" spans="1:22">
      <c r="A10">
        <v>6</v>
      </c>
      <c r="B10">
        <v>3012</v>
      </c>
      <c r="C10" s="18" t="s">
        <v>270</v>
      </c>
      <c r="D10">
        <f>(haier26[[#This Row],[CANTIDAD INICIAL JUEGO ]]+haier26[[#This Row],[ENTRADAS JUEGOS ]]-haier26[[#This Row],[SALIDAS JUEGOS]])</f>
        <v>14</v>
      </c>
      <c r="E10">
        <f>(haier26[[#This Row],[CANTIDAD INICIAL BARRAS]]+haier26[[#This Row],[ENTRADAS BARRAS]]-haier26[[#This Row],[SALIDA BARRAS]])</f>
        <v>6</v>
      </c>
      <c r="F10" s="35">
        <v>260</v>
      </c>
      <c r="G10" s="47">
        <v>154</v>
      </c>
      <c r="H10" s="18">
        <v>10</v>
      </c>
      <c r="I10">
        <f>(haier26[[#This Row],["J" PRECIO VENTA ]]/haier26[[#This Row],[BARRAS]])</f>
        <v>26</v>
      </c>
      <c r="J10">
        <f>(haier26[[#This Row],["J"PRECIO COMPRA ]]/haier26[[#This Row],[BARRAS]])</f>
        <v>15.4</v>
      </c>
      <c r="K10">
        <f>SUMIF(entradas26[CODIGO],haier26[[#This Row],[CODIGO ]],entradas26[[CAN JUEGOS ]])</f>
        <v>0</v>
      </c>
      <c r="L10">
        <f>SUMIF(entradas26[CODIGO],haier26[[#This Row],[CODIGO ]],entradas26[CAN BARRAS])</f>
        <v>0</v>
      </c>
      <c r="M10">
        <f>SUMIF(salidas26[[CODIGO ]],haier26[[#This Row],[CODIGO ]],salidas26[[CANT JUEGOS ]])</f>
        <v>3</v>
      </c>
      <c r="N10">
        <f>SUMIF(salidas26[[CODIGO ]],haier26[[#This Row],[CODIGO ]],salidas26[CANT BARRAS])</f>
        <v>6</v>
      </c>
      <c r="O10">
        <f>(haier26[[#This Row],["J"PRECIO COMPRA ]]*haier26[[#This Row],[STOCK JUEGOS]])</f>
        <v>2156</v>
      </c>
      <c r="P10">
        <f>(haier26[[#This Row],["J" PRECIO VENTA ]]*haier26[[#This Row],[STOCK JUEGOS]])</f>
        <v>3640</v>
      </c>
      <c r="Q10">
        <f>(haier26[[#This Row],["B"PRECIO COMPRA]]*haier26[[#This Row],[STOCK BARRAS]])</f>
        <v>92.4</v>
      </c>
      <c r="R10">
        <f>(haier26[[#This Row],["B"PRECIO VENTA ]]*haier26[[#This Row],[STOCK BARRAS]])</f>
        <v>156</v>
      </c>
      <c r="S10" s="28">
        <v>17</v>
      </c>
      <c r="T10" s="28">
        <v>12</v>
      </c>
    </row>
    <row r="11" spans="1:22">
      <c r="A11">
        <v>7</v>
      </c>
      <c r="B11">
        <v>3015</v>
      </c>
      <c r="C11" s="18" t="s">
        <v>271</v>
      </c>
      <c r="D11">
        <f>(haier26[[#This Row],[CANTIDAD INICIAL JUEGO ]]+haier26[[#This Row],[ENTRADAS JUEGOS ]]-haier26[[#This Row],[SALIDAS JUEGOS]])</f>
        <v>15</v>
      </c>
      <c r="E11">
        <f>(haier26[[#This Row],[CANTIDAD INICIAL BARRAS]]+haier26[[#This Row],[ENTRADAS BARRAS]]-haier26[[#This Row],[SALIDA BARRAS]])</f>
        <v>8</v>
      </c>
      <c r="F11" s="35">
        <v>260</v>
      </c>
      <c r="G11" s="18">
        <v>147</v>
      </c>
      <c r="H11" s="18">
        <v>10</v>
      </c>
      <c r="I11">
        <f>(haier26[[#This Row],["J" PRECIO VENTA ]]/haier26[[#This Row],[BARRAS]])</f>
        <v>26</v>
      </c>
      <c r="J11">
        <f>(haier26[[#This Row],["J"PRECIO COMPRA ]]/haier26[[#This Row],[BARRAS]])</f>
        <v>14.7</v>
      </c>
      <c r="K11">
        <f>SUMIF(entradas26[CODIGO],haier26[[#This Row],[CODIGO ]],entradas26[[CAN JUEGOS ]])</f>
        <v>0</v>
      </c>
      <c r="L11">
        <f>SUMIF(entradas26[CODIGO],haier26[[#This Row],[CODIGO ]],entradas26[CAN BARRAS])</f>
        <v>10</v>
      </c>
      <c r="M11">
        <f>SUMIF(salidas26[[CODIGO ]],haier26[[#This Row],[CODIGO ]],salidas26[[CANT JUEGOS ]])</f>
        <v>4</v>
      </c>
      <c r="N11">
        <f>SUMIF(salidas26[[CODIGO ]],haier26[[#This Row],[CODIGO ]],salidas26[CANT BARRAS])</f>
        <v>2</v>
      </c>
      <c r="O11">
        <f>(haier26[[#This Row],["J"PRECIO COMPRA ]]*haier26[[#This Row],[STOCK JUEGOS]])</f>
        <v>2205</v>
      </c>
      <c r="P11">
        <f>(haier26[[#This Row],["J" PRECIO VENTA ]]*haier26[[#This Row],[STOCK JUEGOS]])</f>
        <v>3900</v>
      </c>
      <c r="Q11">
        <f>(haier26[[#This Row],["B"PRECIO COMPRA]]*haier26[[#This Row],[STOCK BARRAS]])</f>
        <v>117.6</v>
      </c>
      <c r="R11">
        <f>(haier26[[#This Row],["B"PRECIO VENTA ]]*haier26[[#This Row],[STOCK BARRAS]])</f>
        <v>208</v>
      </c>
      <c r="S11" s="37">
        <v>19</v>
      </c>
      <c r="T11" s="37"/>
    </row>
    <row r="12" spans="1:22">
      <c r="A12">
        <v>8</v>
      </c>
      <c r="B12">
        <v>3018</v>
      </c>
      <c r="C12" s="18" t="s">
        <v>272</v>
      </c>
      <c r="D12">
        <f>(haier26[[#This Row],[CANTIDAD INICIAL JUEGO ]]+haier26[[#This Row],[ENTRADAS JUEGOS ]]-haier26[[#This Row],[SALIDAS JUEGOS]])</f>
        <v>24</v>
      </c>
      <c r="E12">
        <f>(haier26[[#This Row],[CANTIDAD INICIAL BARRAS]]+haier26[[#This Row],[ENTRADAS BARRAS]]-haier26[[#This Row],[SALIDA BARRAS]])</f>
        <v>6</v>
      </c>
      <c r="F12" s="35">
        <v>250</v>
      </c>
      <c r="G12" s="18">
        <v>86</v>
      </c>
      <c r="H12" s="18">
        <v>9</v>
      </c>
      <c r="I12">
        <f>(haier26[[#This Row],["J" PRECIO VENTA ]]/haier26[[#This Row],[BARRAS]])</f>
        <v>27.777777777777779</v>
      </c>
      <c r="J12">
        <f>(haier26[[#This Row],["J"PRECIO COMPRA ]]/haier26[[#This Row],[BARRAS]])</f>
        <v>9.5555555555555554</v>
      </c>
      <c r="K12">
        <f>SUMIF(entradas26[CODIGO],haier26[[#This Row],[CODIGO ]],entradas26[[CAN JUEGOS ]])</f>
        <v>20</v>
      </c>
      <c r="L12">
        <f>SUMIF(entradas26[CODIGO],haier26[[#This Row],[CODIGO ]],entradas26[CAN BARRAS])</f>
        <v>9</v>
      </c>
      <c r="M12">
        <f>SUMIF(salidas26[[CODIGO ]],haier26[[#This Row],[CODIGO ]],salidas26[[CANT JUEGOS ]])</f>
        <v>3</v>
      </c>
      <c r="N12">
        <f>SUMIF(salidas26[[CODIGO ]],haier26[[#This Row],[CODIGO ]],salidas26[CANT BARRAS])</f>
        <v>3</v>
      </c>
      <c r="O12">
        <f>(haier26[[#This Row],["J"PRECIO COMPRA ]]*haier26[[#This Row],[STOCK JUEGOS]])</f>
        <v>2064</v>
      </c>
      <c r="P12">
        <f>(haier26[[#This Row],["J" PRECIO VENTA ]]*haier26[[#This Row],[STOCK JUEGOS]])</f>
        <v>6000</v>
      </c>
      <c r="Q12">
        <f>(haier26[[#This Row],["B"PRECIO COMPRA]]*haier26[[#This Row],[STOCK BARRAS]])</f>
        <v>57.333333333333329</v>
      </c>
      <c r="R12">
        <f>(haier26[[#This Row],["B"PRECIO VENTA ]]*haier26[[#This Row],[STOCK BARRAS]])</f>
        <v>166.66666666666669</v>
      </c>
      <c r="S12" s="28">
        <v>7</v>
      </c>
      <c r="T12" s="28"/>
      <c r="U12">
        <v>4.5</v>
      </c>
      <c r="V12" t="s">
        <v>777</v>
      </c>
    </row>
    <row r="13" spans="1:22">
      <c r="A13">
        <v>9</v>
      </c>
      <c r="B13">
        <v>3021</v>
      </c>
      <c r="C13" s="18" t="s">
        <v>273</v>
      </c>
      <c r="D13">
        <f>(haier26[[#This Row],[CANTIDAD INICIAL JUEGO ]]+haier26[[#This Row],[ENTRADAS JUEGOS ]]-haier26[[#This Row],[SALIDAS JUEGOS]])</f>
        <v>9</v>
      </c>
      <c r="E13">
        <f>(haier26[[#This Row],[CANTIDAD INICIAL BARRAS]]+haier26[[#This Row],[ENTRADAS BARRAS]]-haier26[[#This Row],[SALIDA BARRAS]])</f>
        <v>0</v>
      </c>
      <c r="F13" s="35">
        <v>250</v>
      </c>
      <c r="G13" s="18">
        <v>138</v>
      </c>
      <c r="H13" s="18">
        <v>12</v>
      </c>
      <c r="I13">
        <f>(haier26[[#This Row],["J" PRECIO VENTA ]]/haier26[[#This Row],[BARRAS]])</f>
        <v>20.833333333333332</v>
      </c>
      <c r="J13">
        <f>(haier26[[#This Row],["J"PRECIO COMPRA ]]/haier26[[#This Row],[BARRAS]])</f>
        <v>11.5</v>
      </c>
      <c r="K13">
        <f>SUMIF(entradas26[CODIGO],haier26[[#This Row],[CODIGO ]],entradas26[[CAN JUEGOS ]])</f>
        <v>10</v>
      </c>
      <c r="L13">
        <f>SUMIF(entradas26[CODIGO],haier26[[#This Row],[CODIGO ]],entradas26[CAN BARRAS])</f>
        <v>0</v>
      </c>
      <c r="M13">
        <f>SUMIF(salidas26[[CODIGO ]],haier26[[#This Row],[CODIGO ]],salidas26[[CANT JUEGOS ]])</f>
        <v>1</v>
      </c>
      <c r="N13">
        <f>SUMIF(salidas26[[CODIGO ]],haier26[[#This Row],[CODIGO ]],salidas26[CANT BARRAS])</f>
        <v>0</v>
      </c>
      <c r="O13">
        <f>(haier26[[#This Row],["J"PRECIO COMPRA ]]*haier26[[#This Row],[STOCK JUEGOS]])</f>
        <v>1242</v>
      </c>
      <c r="P13">
        <f>(haier26[[#This Row],["J" PRECIO VENTA ]]*haier26[[#This Row],[STOCK JUEGOS]])</f>
        <v>2250</v>
      </c>
      <c r="Q13">
        <f>(haier26[[#This Row],["B"PRECIO COMPRA]]*haier26[[#This Row],[STOCK BARRAS]])</f>
        <v>0</v>
      </c>
      <c r="R13">
        <f>(haier26[[#This Row],["B"PRECIO VENTA ]]*haier26[[#This Row],[STOCK BARRAS]])</f>
        <v>0</v>
      </c>
      <c r="S13" s="28">
        <v>0</v>
      </c>
      <c r="T13" s="28">
        <v>0</v>
      </c>
      <c r="U13">
        <v>6.9</v>
      </c>
      <c r="V13" t="s">
        <v>898</v>
      </c>
    </row>
    <row r="14" spans="1:22">
      <c r="A14">
        <v>10</v>
      </c>
      <c r="B14">
        <v>3024</v>
      </c>
      <c r="C14" s="18" t="s">
        <v>274</v>
      </c>
      <c r="D14">
        <f>(haier26[[#This Row],[CANTIDAD INICIAL JUEGO ]]+haier26[[#This Row],[ENTRADAS JUEGOS ]]-haier26[[#This Row],[SALIDAS JUEGOS]])</f>
        <v>0</v>
      </c>
      <c r="E14">
        <f>(haier26[[#This Row],[CANTIDAD INICIAL BARRAS]]+haier26[[#This Row],[ENTRADAS BARRAS]]-haier26[[#This Row],[SALIDA BARRAS]])</f>
        <v>0</v>
      </c>
      <c r="F14" s="35">
        <v>280</v>
      </c>
      <c r="G14" s="18">
        <v>120</v>
      </c>
      <c r="H14" s="18">
        <v>10</v>
      </c>
      <c r="I14">
        <f>(haier26[[#This Row],["J" PRECIO VENTA ]]/haier26[[#This Row],[BARRAS]])</f>
        <v>28</v>
      </c>
      <c r="J14">
        <f>(haier26[[#This Row],["J"PRECIO COMPRA ]]/haier26[[#This Row],[BARRAS]])</f>
        <v>12</v>
      </c>
      <c r="K14">
        <f>SUMIF(entradas26[CODIGO],haier26[[#This Row],[CODIGO ]],entradas26[[CAN JUEGOS ]])</f>
        <v>0</v>
      </c>
      <c r="L14">
        <f>SUMIF(entradas26[CODIGO],haier26[[#This Row],[CODIGO ]],entradas26[CAN BARRAS])</f>
        <v>0</v>
      </c>
      <c r="M14">
        <f>SUMIF(salidas26[[CODIGO ]],haier26[[#This Row],[CODIGO ]],salidas26[[CANT JUEGOS ]])</f>
        <v>0</v>
      </c>
      <c r="N14">
        <f>SUMIF(salidas26[[CODIGO ]],haier26[[#This Row],[CODIGO ]],salidas26[CANT BARRAS])</f>
        <v>0</v>
      </c>
      <c r="O14">
        <f>(haier26[[#This Row],["J"PRECIO COMPRA ]]*haier26[[#This Row],[STOCK JUEGOS]])</f>
        <v>0</v>
      </c>
      <c r="P14">
        <f>(haier26[[#This Row],["J" PRECIO VENTA ]]*haier26[[#This Row],[STOCK JUEGOS]])</f>
        <v>0</v>
      </c>
      <c r="Q14">
        <f>(haier26[[#This Row],["B"PRECIO COMPRA]]*haier26[[#This Row],[STOCK BARRAS]])</f>
        <v>0</v>
      </c>
      <c r="R14">
        <f>(haier26[[#This Row],["B"PRECIO VENTA ]]*haier26[[#This Row],[STOCK BARRAS]])</f>
        <v>0</v>
      </c>
      <c r="S14" s="28">
        <v>0</v>
      </c>
      <c r="T14" s="28">
        <v>0</v>
      </c>
    </row>
    <row r="15" spans="1:22">
      <c r="A15">
        <v>11</v>
      </c>
      <c r="B15">
        <v>3027</v>
      </c>
      <c r="C15" s="51" t="s">
        <v>275</v>
      </c>
      <c r="D15">
        <f>(haier26[[#This Row],[CANTIDAD INICIAL JUEGO ]]+haier26[[#This Row],[ENTRADAS JUEGOS ]]-haier26[[#This Row],[SALIDAS JUEGOS]])</f>
        <v>5</v>
      </c>
      <c r="E15">
        <f>(haier26[[#This Row],[CANTIDAD INICIAL BARRAS]]+haier26[[#This Row],[ENTRADAS BARRAS]]-haier26[[#This Row],[SALIDA BARRAS]])</f>
        <v>8</v>
      </c>
      <c r="F15" s="35">
        <v>280</v>
      </c>
      <c r="G15" s="18">
        <v>84</v>
      </c>
      <c r="H15" s="18">
        <v>9</v>
      </c>
      <c r="I15">
        <f>(haier26[[#This Row],["J" PRECIO VENTA ]]/haier26[[#This Row],[BARRAS]])</f>
        <v>31.111111111111111</v>
      </c>
      <c r="J15">
        <f>(haier26[[#This Row],["J"PRECIO COMPRA ]]/haier26[[#This Row],[BARRAS]])</f>
        <v>9.3333333333333339</v>
      </c>
      <c r="K15">
        <f>SUMIF(entradas26[CODIGO],haier26[[#This Row],[CODIGO ]],entradas26[[CAN JUEGOS ]])</f>
        <v>0</v>
      </c>
      <c r="L15">
        <f>SUMIF(entradas26[CODIGO],haier26[[#This Row],[CODIGO ]],entradas26[CAN BARRAS])</f>
        <v>0</v>
      </c>
      <c r="M15">
        <f>SUMIF(salidas26[[CODIGO ]],haier26[[#This Row],[CODIGO ]],salidas26[[CANT JUEGOS ]])</f>
        <v>4</v>
      </c>
      <c r="N15">
        <f>SUMIF(salidas26[[CODIGO ]],haier26[[#This Row],[CODIGO ]],salidas26[CANT BARRAS])</f>
        <v>0</v>
      </c>
      <c r="O15">
        <f>(haier26[[#This Row],["J"PRECIO COMPRA ]]*haier26[[#This Row],[STOCK JUEGOS]])</f>
        <v>420</v>
      </c>
      <c r="P15">
        <f>(haier26[[#This Row],["J" PRECIO VENTA ]]*haier26[[#This Row],[STOCK JUEGOS]])</f>
        <v>1400</v>
      </c>
      <c r="Q15">
        <f>(haier26[[#This Row],["B"PRECIO COMPRA]]*haier26[[#This Row],[STOCK BARRAS]])</f>
        <v>74.666666666666671</v>
      </c>
      <c r="R15">
        <f>(haier26[[#This Row],["B"PRECIO VENTA ]]*haier26[[#This Row],[STOCK BARRAS]])</f>
        <v>248.88888888888889</v>
      </c>
      <c r="S15" s="28">
        <v>9</v>
      </c>
      <c r="T15" s="28">
        <v>8</v>
      </c>
    </row>
    <row r="16" spans="1:22">
      <c r="A16">
        <v>12</v>
      </c>
      <c r="B16">
        <v>3028</v>
      </c>
      <c r="C16" s="51" t="s">
        <v>276</v>
      </c>
      <c r="D16">
        <f>(haier26[[#This Row],[CANTIDAD INICIAL JUEGO ]]+haier26[[#This Row],[ENTRADAS JUEGOS ]]-haier26[[#This Row],[SALIDAS JUEGOS]])</f>
        <v>7</v>
      </c>
      <c r="E16">
        <f>(haier26[[#This Row],[CANTIDAD INICIAL BARRAS]]+haier26[[#This Row],[ENTRADAS BARRAS]]-haier26[[#This Row],[SALIDA BARRAS]])</f>
        <v>0</v>
      </c>
      <c r="F16" s="35">
        <v>350</v>
      </c>
      <c r="G16" s="18">
        <v>206</v>
      </c>
      <c r="H16" s="18">
        <v>14</v>
      </c>
      <c r="I16">
        <f>(haier26[[#This Row],["J" PRECIO VENTA ]]/haier26[[#This Row],[BARRAS]])</f>
        <v>25</v>
      </c>
      <c r="J16">
        <f>(haier26[[#This Row],["J"PRECIO COMPRA ]]/haier26[[#This Row],[BARRAS]])</f>
        <v>14.714285714285714</v>
      </c>
      <c r="K16">
        <f>SUMIF(entradas26[CODIGO],haier26[[#This Row],[CODIGO ]],entradas26[[CAN JUEGOS ]])</f>
        <v>0</v>
      </c>
      <c r="L16">
        <f>SUMIF(entradas26[CODIGO],haier26[[#This Row],[CODIGO ]],entradas26[CAN BARRAS])</f>
        <v>0</v>
      </c>
      <c r="M16">
        <f>SUMIF(salidas26[[CODIGO ]],haier26[[#This Row],[CODIGO ]],salidas26[[CANT JUEGOS ]])</f>
        <v>2</v>
      </c>
      <c r="N16">
        <f>SUMIF(salidas26[[CODIGO ]],haier26[[#This Row],[CODIGO ]],salidas26[CANT BARRAS])</f>
        <v>0</v>
      </c>
      <c r="O16">
        <f>(haier26[[#This Row],["J"PRECIO COMPRA ]]*haier26[[#This Row],[STOCK JUEGOS]])</f>
        <v>1442</v>
      </c>
      <c r="P16">
        <f>(haier26[[#This Row],["J" PRECIO VENTA ]]*haier26[[#This Row],[STOCK JUEGOS]])</f>
        <v>2450</v>
      </c>
      <c r="Q16">
        <f>(haier26[[#This Row],["B"PRECIO COMPRA]]*haier26[[#This Row],[STOCK BARRAS]])</f>
        <v>0</v>
      </c>
      <c r="R16">
        <f>(haier26[[#This Row],["B"PRECIO VENTA ]]*haier26[[#This Row],[STOCK BARRAS]])</f>
        <v>0</v>
      </c>
      <c r="S16" s="28">
        <v>9</v>
      </c>
      <c r="T16" s="28"/>
    </row>
    <row r="17" spans="1:22">
      <c r="A17">
        <v>13</v>
      </c>
      <c r="B17">
        <v>3030</v>
      </c>
      <c r="C17" s="18" t="s">
        <v>277</v>
      </c>
      <c r="D17">
        <f>(haier26[[#This Row],[CANTIDAD INICIAL JUEGO ]]+haier26[[#This Row],[ENTRADAS JUEGOS ]]-haier26[[#This Row],[SALIDAS JUEGOS]])</f>
        <v>17</v>
      </c>
      <c r="E17">
        <f>(haier26[[#This Row],[CANTIDAD INICIAL BARRAS]]+haier26[[#This Row],[ENTRADAS BARRAS]]-haier26[[#This Row],[SALIDA BARRAS]])</f>
        <v>0</v>
      </c>
      <c r="F17" s="35">
        <v>320</v>
      </c>
      <c r="G17" s="47">
        <v>259</v>
      </c>
      <c r="H17" s="18">
        <v>14</v>
      </c>
      <c r="I17">
        <f>(haier26[[#This Row],["J" PRECIO VENTA ]]/haier26[[#This Row],[BARRAS]])</f>
        <v>22.857142857142858</v>
      </c>
      <c r="J17">
        <f>(haier26[[#This Row],["J"PRECIO COMPRA ]]/haier26[[#This Row],[BARRAS]])</f>
        <v>18.5</v>
      </c>
      <c r="K17">
        <f>SUMIF(entradas26[CODIGO],haier26[[#This Row],[CODIGO ]],entradas26[[CAN JUEGOS ]])</f>
        <v>0</v>
      </c>
      <c r="L17">
        <f>SUMIF(entradas26[CODIGO],haier26[[#This Row],[CODIGO ]],entradas26[CAN BARRAS])</f>
        <v>0</v>
      </c>
      <c r="M17">
        <f>SUMIF(salidas26[[CODIGO ]],haier26[[#This Row],[CODIGO ]],salidas26[[CANT JUEGOS ]])</f>
        <v>2</v>
      </c>
      <c r="N17">
        <f>SUMIF(salidas26[[CODIGO ]],haier26[[#This Row],[CODIGO ]],salidas26[CANT BARRAS])</f>
        <v>0</v>
      </c>
      <c r="O17">
        <f>(haier26[[#This Row],["J"PRECIO COMPRA ]]*haier26[[#This Row],[STOCK JUEGOS]])</f>
        <v>4403</v>
      </c>
      <c r="P17">
        <f>(haier26[[#This Row],["J" PRECIO VENTA ]]*haier26[[#This Row],[STOCK JUEGOS]])</f>
        <v>5440</v>
      </c>
      <c r="Q17">
        <f>(haier26[[#This Row],["B"PRECIO COMPRA]]*haier26[[#This Row],[STOCK BARRAS]])</f>
        <v>0</v>
      </c>
      <c r="R17">
        <f>(haier26[[#This Row],["B"PRECIO VENTA ]]*haier26[[#This Row],[STOCK BARRAS]])</f>
        <v>0</v>
      </c>
      <c r="S17" s="28">
        <v>19</v>
      </c>
      <c r="T17" s="28"/>
    </row>
    <row r="18" spans="1:22">
      <c r="A18">
        <v>14</v>
      </c>
      <c r="B18">
        <v>3033</v>
      </c>
      <c r="C18" s="18" t="s">
        <v>278</v>
      </c>
      <c r="D18">
        <f>(haier26[[#This Row],[CANTIDAD INICIAL JUEGO ]]+haier26[[#This Row],[ENTRADAS JUEGOS ]]-haier26[[#This Row],[SALIDAS JUEGOS]])</f>
        <v>22</v>
      </c>
      <c r="E18">
        <f>(haier26[[#This Row],[CANTIDAD INICIAL BARRAS]]+haier26[[#This Row],[ENTRADAS BARRAS]]-haier26[[#This Row],[SALIDA BARRAS]])</f>
        <v>7</v>
      </c>
      <c r="F18" s="35">
        <v>320</v>
      </c>
      <c r="G18" s="38">
        <v>143</v>
      </c>
      <c r="H18" s="18">
        <v>14</v>
      </c>
      <c r="I18">
        <f>(haier26[[#This Row],["J" PRECIO VENTA ]]/haier26[[#This Row],[BARRAS]])</f>
        <v>22.857142857142858</v>
      </c>
      <c r="J18">
        <f>(haier26[[#This Row],["J"PRECIO COMPRA ]]/haier26[[#This Row],[BARRAS]])</f>
        <v>10.214285714285714</v>
      </c>
      <c r="K18">
        <f>SUMIF(entradas26[CODIGO],haier26[[#This Row],[CODIGO ]],entradas26[[CAN JUEGOS ]])</f>
        <v>20</v>
      </c>
      <c r="L18">
        <f>SUMIF(entradas26[CODIGO],haier26[[#This Row],[CODIGO ]],entradas26[CAN BARRAS])</f>
        <v>0</v>
      </c>
      <c r="M18">
        <f>SUMIF(salidas26[[CODIGO ]],haier26[[#This Row],[CODIGO ]],salidas26[[CANT JUEGOS ]])</f>
        <v>5</v>
      </c>
      <c r="N18">
        <f>SUMIF(salidas26[[CODIGO ]],haier26[[#This Row],[CODIGO ]],salidas26[CANT BARRAS])</f>
        <v>0</v>
      </c>
      <c r="O18">
        <f>(haier26[[#This Row],["J"PRECIO COMPRA ]]*haier26[[#This Row],[STOCK JUEGOS]])</f>
        <v>3146</v>
      </c>
      <c r="P18">
        <f>(haier26[[#This Row],["J" PRECIO VENTA ]]*haier26[[#This Row],[STOCK JUEGOS]])</f>
        <v>7040</v>
      </c>
      <c r="Q18">
        <f>(haier26[[#This Row],["B"PRECIO COMPRA]]*haier26[[#This Row],[STOCK BARRAS]])</f>
        <v>71.5</v>
      </c>
      <c r="R18">
        <f>(haier26[[#This Row],["B"PRECIO VENTA ]]*haier26[[#This Row],[STOCK BARRAS]])</f>
        <v>160</v>
      </c>
      <c r="S18" s="28">
        <v>7</v>
      </c>
      <c r="T18" s="28">
        <v>7</v>
      </c>
      <c r="U18">
        <v>7.5</v>
      </c>
      <c r="V18" t="s">
        <v>836</v>
      </c>
    </row>
    <row r="19" spans="1:22">
      <c r="A19">
        <v>15</v>
      </c>
      <c r="B19">
        <v>3036</v>
      </c>
      <c r="C19" s="18" t="s">
        <v>279</v>
      </c>
      <c r="D19">
        <f>(haier26[[#This Row],[CANTIDAD INICIAL JUEGO ]]+haier26[[#This Row],[ENTRADAS JUEGOS ]]-haier26[[#This Row],[SALIDAS JUEGOS]])</f>
        <v>13</v>
      </c>
      <c r="E19">
        <f>(haier26[[#This Row],[CANTIDAD INICIAL BARRAS]]+haier26[[#This Row],[ENTRADAS BARRAS]]-haier26[[#This Row],[SALIDA BARRAS]])</f>
        <v>8</v>
      </c>
      <c r="F19" s="35">
        <v>350</v>
      </c>
      <c r="G19" s="18">
        <v>250</v>
      </c>
      <c r="H19" s="18">
        <v>12</v>
      </c>
      <c r="I19">
        <f>(haier26[[#This Row],["J" PRECIO VENTA ]]/haier26[[#This Row],[BARRAS]])</f>
        <v>29.166666666666668</v>
      </c>
      <c r="J19">
        <f>(haier26[[#This Row],["J"PRECIO COMPRA ]]/haier26[[#This Row],[BARRAS]])</f>
        <v>20.833333333333332</v>
      </c>
      <c r="K19">
        <f>SUMIF(entradas26[CODIGO],haier26[[#This Row],[CODIGO ]],entradas26[[CAN JUEGOS ]])</f>
        <v>0</v>
      </c>
      <c r="L19">
        <f>SUMIF(entradas26[CODIGO],haier26[[#This Row],[CODIGO ]],entradas26[CAN BARRAS])</f>
        <v>0</v>
      </c>
      <c r="M19">
        <f>SUMIF(salidas26[[CODIGO ]],haier26[[#This Row],[CODIGO ]],salidas26[[CANT JUEGOS ]])</f>
        <v>1</v>
      </c>
      <c r="N19">
        <f>SUMIF(salidas26[[CODIGO ]],haier26[[#This Row],[CODIGO ]],salidas26[CANT BARRAS])</f>
        <v>0</v>
      </c>
      <c r="O19">
        <f>(haier26[[#This Row],["J"PRECIO COMPRA ]]*haier26[[#This Row],[STOCK JUEGOS]])</f>
        <v>3250</v>
      </c>
      <c r="P19">
        <f>(haier26[[#This Row],["J" PRECIO VENTA ]]*haier26[[#This Row],[STOCK JUEGOS]])</f>
        <v>4550</v>
      </c>
      <c r="Q19">
        <f>(haier26[[#This Row],["B"PRECIO COMPRA]]*haier26[[#This Row],[STOCK BARRAS]])</f>
        <v>166.66666666666666</v>
      </c>
      <c r="R19">
        <f>(haier26[[#This Row],["B"PRECIO VENTA ]]*haier26[[#This Row],[STOCK BARRAS]])</f>
        <v>233.33333333333334</v>
      </c>
      <c r="S19" s="28">
        <v>14</v>
      </c>
      <c r="T19" s="28">
        <v>8</v>
      </c>
    </row>
    <row r="20" spans="1:22">
      <c r="A20">
        <v>16</v>
      </c>
      <c r="B20">
        <v>3040</v>
      </c>
      <c r="C20" s="51" t="s">
        <v>280</v>
      </c>
      <c r="D20">
        <f>(haier26[[#This Row],[CANTIDAD INICIAL JUEGO ]]+haier26[[#This Row],[ENTRADAS JUEGOS ]]-haier26[[#This Row],[SALIDAS JUEGOS]])</f>
        <v>18</v>
      </c>
      <c r="E20">
        <f>(haier26[[#This Row],[CANTIDAD INICIAL BARRAS]]+haier26[[#This Row],[ENTRADAS BARRAS]]-haier26[[#This Row],[SALIDA BARRAS]])</f>
        <v>0</v>
      </c>
      <c r="F20" s="46">
        <v>450</v>
      </c>
      <c r="G20" s="18">
        <v>335</v>
      </c>
      <c r="H20" s="18">
        <v>16</v>
      </c>
      <c r="I20">
        <f>(haier26[[#This Row],["J" PRECIO VENTA ]]/haier26[[#This Row],[BARRAS]])</f>
        <v>28.125</v>
      </c>
      <c r="J20">
        <f>(haier26[[#This Row],["J"PRECIO COMPRA ]]/haier26[[#This Row],[BARRAS]])</f>
        <v>20.9375</v>
      </c>
      <c r="K20">
        <f>SUMIF(entradas26[CODIGO],haier26[[#This Row],[CODIGO ]],entradas26[[CAN JUEGOS ]])</f>
        <v>0</v>
      </c>
      <c r="L20">
        <f>SUMIF(entradas26[CODIGO],haier26[[#This Row],[CODIGO ]],entradas26[CAN BARRAS])</f>
        <v>0</v>
      </c>
      <c r="M20">
        <f>SUMIF(salidas26[[CODIGO ]],haier26[[#This Row],[CODIGO ]],salidas26[[CANT JUEGOS ]])</f>
        <v>2</v>
      </c>
      <c r="N20">
        <f>SUMIF(salidas26[[CODIGO ]],haier26[[#This Row],[CODIGO ]],salidas26[CANT BARRAS])</f>
        <v>0</v>
      </c>
      <c r="O20">
        <f>(haier26[[#This Row],["J"PRECIO COMPRA ]]*haier26[[#This Row],[STOCK JUEGOS]])</f>
        <v>6030</v>
      </c>
      <c r="P20">
        <f>(haier26[[#This Row],["J" PRECIO VENTA ]]*haier26[[#This Row],[STOCK JUEGOS]])</f>
        <v>8100</v>
      </c>
      <c r="Q20">
        <f>(haier26[[#This Row],["B"PRECIO COMPRA]]*haier26[[#This Row],[STOCK BARRAS]])</f>
        <v>0</v>
      </c>
      <c r="R20">
        <f>(haier26[[#This Row],["B"PRECIO VENTA ]]*haier26[[#This Row],[STOCK BARRAS]])</f>
        <v>0</v>
      </c>
      <c r="S20" s="28">
        <v>20</v>
      </c>
      <c r="T20" s="28"/>
    </row>
  </sheetData>
  <mergeCells count="1">
    <mergeCell ref="B2:V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opLeftCell="A4" zoomScale="115" zoomScaleNormal="115" workbookViewId="0">
      <selection activeCell="C10" sqref="C10"/>
    </sheetView>
  </sheetViews>
  <sheetFormatPr baseColWidth="10" defaultColWidth="11.42578125" defaultRowHeight="15"/>
  <cols>
    <col min="1" max="2" width="5.42578125" customWidth="1"/>
    <col min="3" max="3" width="34.140625" customWidth="1"/>
    <col min="4" max="4" width="7.7109375" customWidth="1"/>
    <col min="5" max="5" width="7.85546875" customWidth="1"/>
    <col min="6" max="6" width="6.42578125" customWidth="1"/>
    <col min="7" max="7" width="5.85546875" customWidth="1"/>
    <col min="8" max="8" width="5.28515625" customWidth="1"/>
    <col min="9" max="9" width="6.7109375" hidden="1" customWidth="1"/>
    <col min="10" max="10" width="10" hidden="1" customWidth="1"/>
    <col min="11" max="11" width="9.7109375" hidden="1" customWidth="1"/>
    <col min="12" max="18" width="8.42578125" hidden="1" customWidth="1"/>
    <col min="19" max="19" width="6.28515625" customWidth="1"/>
    <col min="20" max="20" width="8.85546875" customWidth="1"/>
    <col min="21" max="21" width="12" customWidth="1"/>
    <col min="22" max="22" width="10.28515625" customWidth="1"/>
  </cols>
  <sheetData>
    <row r="1" spans="1:23" ht="19.5" customHeight="1"/>
    <row r="2" spans="1:23" ht="11.25" customHeight="1">
      <c r="B2" s="242" t="s">
        <v>281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 spans="1:2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</row>
    <row r="4" spans="1:23" ht="19.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  <c r="W4" t="s">
        <v>22</v>
      </c>
    </row>
    <row r="5" spans="1:23" ht="30">
      <c r="A5">
        <v>1</v>
      </c>
      <c r="B5">
        <v>4000</v>
      </c>
      <c r="C5" s="53" t="s">
        <v>282</v>
      </c>
      <c r="D5">
        <f>(daewoo26[[#This Row],[CANTIDAD INICIAL JUEGO ]]+daewoo26[[#This Row],[ENTRADAS JUEGOS ]]-daewoo26[[#This Row],[SALIDAS JUEGOS]])</f>
        <v>36</v>
      </c>
      <c r="E5">
        <f>(daewoo26[[#This Row],[CANTIDAD INICIAL BARRAS]]+daewoo26[[#This Row],[ENTRADAS BARRAS]]-daewoo26[[#This Row],[SALIDA BARRAS]])</f>
        <v>0</v>
      </c>
      <c r="F5" s="34">
        <v>60</v>
      </c>
      <c r="G5" s="18">
        <v>20</v>
      </c>
      <c r="H5" s="18">
        <v>2</v>
      </c>
      <c r="I5">
        <f>(daewoo26[[#This Row],["J" PRECIO VENTA ]]/daewoo26[[#This Row],[BARRAS]])</f>
        <v>30</v>
      </c>
      <c r="J5">
        <f>(daewoo26[[#This Row],["J"PRECIO COMPRA ]]/daewoo26[[#This Row],[BARRAS]])</f>
        <v>10</v>
      </c>
      <c r="K5">
        <f>SUMIF(entradas26[CODIGO],daewoo26[[#This Row],[CODIGO ]],entradas26[[CAN JUEGOS ]])</f>
        <v>50</v>
      </c>
      <c r="L5">
        <f>SUMIF(entradas26[CODIGO],daewoo26[[#This Row],[CODIGO ]],entradas26[CAN BARRAS])</f>
        <v>0</v>
      </c>
      <c r="M5">
        <f>SUMIF(salidas26[[CODIGO ]],daewoo26[[#This Row],[CODIGO ]],salidas26[[CANT JUEGOS ]])</f>
        <v>32</v>
      </c>
      <c r="N5">
        <f>SUMIF(salidas26[[CODIGO ]],daewoo26[[#This Row],[CODIGO ]],salidas26[CANT BARRAS])</f>
        <v>0</v>
      </c>
      <c r="O5">
        <f>(daewoo26[[#This Row],["J"PRECIO COMPRA ]]*daewoo26[[#This Row],[STOCK JUEGOS]])</f>
        <v>720</v>
      </c>
      <c r="P5">
        <f>(daewoo26[[#This Row],["J" PRECIO VENTA ]]*daewoo26[[#This Row],[STOCK JUEGOS]])</f>
        <v>2160</v>
      </c>
      <c r="Q5">
        <f>(daewoo26[[#This Row],["B"PRECIO COMPRA]]*daewoo26[[#This Row],[STOCK BARRAS]])</f>
        <v>0</v>
      </c>
      <c r="R5">
        <f>(daewoo26[[#This Row],["B"PRECIO VENTA ]]*daewoo26[[#This Row],[STOCK BARRAS]])</f>
        <v>0</v>
      </c>
      <c r="S5" s="28">
        <v>18</v>
      </c>
      <c r="T5" s="28"/>
      <c r="U5">
        <v>1.3</v>
      </c>
      <c r="V5" t="s">
        <v>283</v>
      </c>
    </row>
    <row r="6" spans="1:23" ht="15.75">
      <c r="A6">
        <v>2</v>
      </c>
      <c r="B6">
        <v>4002</v>
      </c>
      <c r="C6" s="50" t="s">
        <v>284</v>
      </c>
      <c r="D6">
        <f>(daewoo26[[#This Row],[CANTIDAD INICIAL JUEGO ]]+daewoo26[[#This Row],[ENTRADAS JUEGOS ]]-daewoo26[[#This Row],[SALIDAS JUEGOS]])</f>
        <v>26</v>
      </c>
      <c r="E6">
        <f>(daewoo26[[#This Row],[CANTIDAD INICIAL BARRAS]]+daewoo26[[#This Row],[ENTRADAS BARRAS]]-daewoo26[[#This Row],[SALIDA BARRAS]])</f>
        <v>0</v>
      </c>
      <c r="F6" s="34">
        <v>60</v>
      </c>
      <c r="G6" s="18">
        <v>35</v>
      </c>
      <c r="H6" s="18">
        <v>2</v>
      </c>
      <c r="I6">
        <f>(daewoo26[[#This Row],["J" PRECIO VENTA ]]/daewoo26[[#This Row],[BARRAS]])</f>
        <v>30</v>
      </c>
      <c r="J6">
        <f>(daewoo26[[#This Row],["J"PRECIO COMPRA ]]/daewoo26[[#This Row],[BARRAS]])</f>
        <v>17.5</v>
      </c>
      <c r="K6">
        <f>SUMIF(entradas26[CODIGO],daewoo26[[#This Row],[CODIGO ]],entradas26[[CAN JUEGOS ]])</f>
        <v>20</v>
      </c>
      <c r="L6">
        <f>SUMIF(entradas26[CODIGO],daewoo26[[#This Row],[CODIGO ]],entradas26[CAN BARRAS])</f>
        <v>0</v>
      </c>
      <c r="M6">
        <f>SUMIF(salidas26[[CODIGO ]],daewoo26[[#This Row],[CODIGO ]],salidas26[[CANT JUEGOS ]])</f>
        <v>4</v>
      </c>
      <c r="N6">
        <f>SUMIF(salidas26[[CODIGO ]],daewoo26[[#This Row],[CODIGO ]],salidas26[CANT BARRAS])</f>
        <v>0</v>
      </c>
      <c r="O6">
        <f>(daewoo26[[#This Row],["J"PRECIO COMPRA ]]*daewoo26[[#This Row],[STOCK JUEGOS]])</f>
        <v>910</v>
      </c>
      <c r="P6">
        <f>(daewoo26[[#This Row],["J" PRECIO VENTA ]]*daewoo26[[#This Row],[STOCK JUEGOS]])</f>
        <v>1560</v>
      </c>
      <c r="Q6">
        <f>(daewoo26[[#This Row],["B"PRECIO COMPRA]]*daewoo26[[#This Row],[STOCK BARRAS]])</f>
        <v>0</v>
      </c>
      <c r="R6">
        <f>(daewoo26[[#This Row],["B"PRECIO VENTA ]]*daewoo26[[#This Row],[STOCK BARRAS]])</f>
        <v>0</v>
      </c>
      <c r="S6" s="28">
        <v>10</v>
      </c>
      <c r="T6" s="28"/>
      <c r="U6">
        <v>1.5</v>
      </c>
      <c r="V6" t="s">
        <v>285</v>
      </c>
    </row>
    <row r="7" spans="1:23" ht="15.75">
      <c r="A7">
        <v>3</v>
      </c>
      <c r="B7">
        <v>4003</v>
      </c>
      <c r="C7" s="18" t="s">
        <v>286</v>
      </c>
      <c r="D7">
        <f>(daewoo26[[#This Row],[CANTIDAD INICIAL JUEGO ]]+daewoo26[[#This Row],[ENTRADAS JUEGOS ]]-daewoo26[[#This Row],[SALIDAS JUEGOS]])</f>
        <v>8</v>
      </c>
      <c r="E7">
        <f>(daewoo26[[#This Row],[CANTIDAD INICIAL BARRAS]]+daewoo26[[#This Row],[ENTRADAS BARRAS]]-daewoo26[[#This Row],[SALIDA BARRAS]])</f>
        <v>2</v>
      </c>
      <c r="F7" s="54">
        <v>90</v>
      </c>
      <c r="G7" s="18">
        <v>35</v>
      </c>
      <c r="H7" s="18">
        <v>3</v>
      </c>
      <c r="I7">
        <f>(daewoo26[[#This Row],["J" PRECIO VENTA ]]/daewoo26[[#This Row],[BARRAS]])</f>
        <v>30</v>
      </c>
      <c r="J7">
        <f>(daewoo26[[#This Row],["J"PRECIO COMPRA ]]/daewoo26[[#This Row],[BARRAS]])</f>
        <v>11.666666666666666</v>
      </c>
      <c r="K7">
        <f>SUMIF(entradas26[CODIGO],daewoo26[[#This Row],[CODIGO ]],entradas26[[CAN JUEGOS ]])</f>
        <v>0</v>
      </c>
      <c r="L7">
        <f>SUMIF(entradas26[CODIGO],daewoo26[[#This Row],[CODIGO ]],entradas26[CAN BARRAS])</f>
        <v>3</v>
      </c>
      <c r="M7">
        <f>SUMIF(salidas26[[CODIGO ]],daewoo26[[#This Row],[CODIGO ]],salidas26[[CANT JUEGOS ]])</f>
        <v>19</v>
      </c>
      <c r="N7">
        <f>SUMIF(salidas26[[CODIGO ]],daewoo26[[#This Row],[CODIGO ]],salidas26[CANT BARRAS])</f>
        <v>3</v>
      </c>
      <c r="O7">
        <f>(daewoo26[[#This Row],["J"PRECIO COMPRA ]]*daewoo26[[#This Row],[STOCK JUEGOS]])</f>
        <v>280</v>
      </c>
      <c r="P7">
        <f>(daewoo26[[#This Row],["J" PRECIO VENTA ]]*daewoo26[[#This Row],[STOCK JUEGOS]])</f>
        <v>720</v>
      </c>
      <c r="Q7">
        <f>(daewoo26[[#This Row],["B"PRECIO COMPRA]]*daewoo26[[#This Row],[STOCK BARRAS]])</f>
        <v>23.333333333333332</v>
      </c>
      <c r="R7">
        <f>(daewoo26[[#This Row],["B"PRECIO VENTA ]]*daewoo26[[#This Row],[STOCK BARRAS]])</f>
        <v>60</v>
      </c>
      <c r="S7" s="28">
        <v>27</v>
      </c>
      <c r="T7" s="28">
        <v>2</v>
      </c>
      <c r="U7">
        <v>1.9</v>
      </c>
      <c r="V7" t="s">
        <v>287</v>
      </c>
    </row>
    <row r="8" spans="1:23" ht="15.75">
      <c r="A8">
        <v>4</v>
      </c>
      <c r="B8">
        <v>4009</v>
      </c>
      <c r="C8" s="18" t="s">
        <v>288</v>
      </c>
      <c r="D8">
        <f>(daewoo26[[#This Row],[CANTIDAD INICIAL JUEGO ]]+daewoo26[[#This Row],[ENTRADAS JUEGOS ]]-daewoo26[[#This Row],[SALIDAS JUEGOS]])</f>
        <v>21</v>
      </c>
      <c r="E8">
        <f>(daewoo26[[#This Row],[CANTIDAD INICIAL BARRAS]]+daewoo26[[#This Row],[ENTRADAS BARRAS]]-daewoo26[[#This Row],[SALIDA BARRAS]])</f>
        <v>1</v>
      </c>
      <c r="F8" s="34">
        <v>160</v>
      </c>
      <c r="G8" s="38">
        <v>67</v>
      </c>
      <c r="H8" s="18">
        <v>8</v>
      </c>
      <c r="I8">
        <f>(daewoo26[[#This Row],["J" PRECIO VENTA ]]/daewoo26[[#This Row],[BARRAS]])</f>
        <v>20</v>
      </c>
      <c r="J8">
        <f>(daewoo26[[#This Row],["J"PRECIO COMPRA ]]/daewoo26[[#This Row],[BARRAS]])</f>
        <v>8.375</v>
      </c>
      <c r="K8">
        <f>SUMIF(entradas26[CODIGO],daewoo26[[#This Row],[CODIGO ]],entradas26[[CAN JUEGOS ]])</f>
        <v>20</v>
      </c>
      <c r="L8">
        <f>SUMIF(entradas26[CODIGO],daewoo26[[#This Row],[CODIGO ]],entradas26[CAN BARRAS])</f>
        <v>0</v>
      </c>
      <c r="M8">
        <f>SUMIF(salidas26[[CODIGO ]],daewoo26[[#This Row],[CODIGO ]],salidas26[[CANT JUEGOS ]])</f>
        <v>16</v>
      </c>
      <c r="N8">
        <f>SUMIF(salidas26[[CODIGO ]],daewoo26[[#This Row],[CODIGO ]],salidas26[CANT BARRAS])</f>
        <v>2</v>
      </c>
      <c r="O8">
        <f>(daewoo26[[#This Row],["J"PRECIO COMPRA ]]*daewoo26[[#This Row],[STOCK JUEGOS]])</f>
        <v>1407</v>
      </c>
      <c r="P8">
        <f>(daewoo26[[#This Row],["J" PRECIO VENTA ]]*daewoo26[[#This Row],[STOCK JUEGOS]])</f>
        <v>3360</v>
      </c>
      <c r="Q8">
        <f>(daewoo26[[#This Row],["B"PRECIO COMPRA]]*daewoo26[[#This Row],[STOCK BARRAS]])</f>
        <v>8.375</v>
      </c>
      <c r="R8">
        <f>(daewoo26[[#This Row],["B"PRECIO VENTA ]]*daewoo26[[#This Row],[STOCK BARRAS]])</f>
        <v>20</v>
      </c>
      <c r="S8" s="28">
        <v>17</v>
      </c>
      <c r="T8" s="28">
        <v>3</v>
      </c>
      <c r="U8">
        <v>3.5</v>
      </c>
      <c r="V8" t="s">
        <v>289</v>
      </c>
    </row>
    <row r="9" spans="1:23" ht="15.75">
      <c r="A9">
        <v>5</v>
      </c>
      <c r="B9">
        <v>4010</v>
      </c>
      <c r="C9" s="50" t="s">
        <v>290</v>
      </c>
      <c r="D9">
        <f>(daewoo26[[#This Row],[CANTIDAD INICIAL JUEGO ]]+daewoo26[[#This Row],[ENTRADAS JUEGOS ]]-daewoo26[[#This Row],[SALIDAS JUEGOS]])</f>
        <v>21</v>
      </c>
      <c r="E9">
        <f>(daewoo26[[#This Row],[CANTIDAD INICIAL BARRAS]]+daewoo26[[#This Row],[ENTRADAS BARRAS]]-daewoo26[[#This Row],[SALIDA BARRAS]])</f>
        <v>0</v>
      </c>
      <c r="F9" s="34">
        <v>160</v>
      </c>
      <c r="G9" s="18">
        <v>36</v>
      </c>
      <c r="H9" s="18">
        <v>3</v>
      </c>
      <c r="I9">
        <f>(daewoo26[[#This Row],["J" PRECIO VENTA ]]/daewoo26[[#This Row],[BARRAS]])</f>
        <v>53.333333333333336</v>
      </c>
      <c r="J9">
        <f>(daewoo26[[#This Row],["J"PRECIO COMPRA ]]/daewoo26[[#This Row],[BARRAS]])</f>
        <v>12</v>
      </c>
      <c r="K9">
        <f>SUMIF(entradas26[CODIGO],daewoo26[[#This Row],[CODIGO ]],entradas26[[CAN JUEGOS ]])</f>
        <v>20</v>
      </c>
      <c r="L9">
        <f>SUMIF(entradas26[CODIGO],daewoo26[[#This Row],[CODIGO ]],entradas26[CAN BARRAS])</f>
        <v>3</v>
      </c>
      <c r="M9">
        <f>SUMIF(salidas26[[CODIGO ]],daewoo26[[#This Row],[CODIGO ]],salidas26[[CANT JUEGOS ]])</f>
        <v>17</v>
      </c>
      <c r="N9">
        <f>SUMIF(salidas26[[CODIGO ]],daewoo26[[#This Row],[CODIGO ]],salidas26[CANT BARRAS])</f>
        <v>4</v>
      </c>
      <c r="O9">
        <f>(daewoo26[[#This Row],["J"PRECIO COMPRA ]]*daewoo26[[#This Row],[STOCK JUEGOS]])</f>
        <v>756</v>
      </c>
      <c r="P9">
        <f>(daewoo26[[#This Row],["J" PRECIO VENTA ]]*daewoo26[[#This Row],[STOCK JUEGOS]])</f>
        <v>3360</v>
      </c>
      <c r="Q9">
        <f>(daewoo26[[#This Row],["B"PRECIO COMPRA]]*daewoo26[[#This Row],[STOCK BARRAS]])</f>
        <v>0</v>
      </c>
      <c r="R9">
        <f>(daewoo26[[#This Row],["B"PRECIO VENTA ]]*daewoo26[[#This Row],[STOCK BARRAS]])</f>
        <v>0</v>
      </c>
      <c r="S9" s="37">
        <v>18</v>
      </c>
      <c r="T9" s="37">
        <v>1</v>
      </c>
      <c r="U9">
        <v>1.8</v>
      </c>
      <c r="V9" t="s">
        <v>291</v>
      </c>
      <c r="W9" t="s">
        <v>292</v>
      </c>
    </row>
    <row r="10" spans="1:23" ht="15.75">
      <c r="A10">
        <v>6</v>
      </c>
      <c r="B10">
        <v>4011</v>
      </c>
      <c r="C10" s="50" t="s">
        <v>293</v>
      </c>
      <c r="D10">
        <f>(daewoo26[[#This Row],[CANTIDAD INICIAL JUEGO ]]+daewoo26[[#This Row],[ENTRADAS JUEGOS ]]-daewoo26[[#This Row],[SALIDAS JUEGOS]])</f>
        <v>18</v>
      </c>
      <c r="E10">
        <f>(daewoo26[[#This Row],[CANTIDAD INICIAL BARRAS]]+daewoo26[[#This Row],[ENTRADAS BARRAS]]-daewoo26[[#This Row],[SALIDA BARRAS]])</f>
        <v>2</v>
      </c>
      <c r="F10" s="34">
        <v>160</v>
      </c>
      <c r="G10" s="18">
        <v>34</v>
      </c>
      <c r="H10" s="18">
        <v>3</v>
      </c>
      <c r="I10">
        <f>(daewoo26[[#This Row],["J" PRECIO VENTA ]]/daewoo26[[#This Row],[BARRAS]])</f>
        <v>53.333333333333336</v>
      </c>
      <c r="J10">
        <f>(daewoo26[[#This Row],["J"PRECIO COMPRA ]]/daewoo26[[#This Row],[BARRAS]])</f>
        <v>11.333333333333334</v>
      </c>
      <c r="K10">
        <f>SUMIF(entradas26[CODIGO],daewoo26[[#This Row],[CODIGO ]],entradas26[[CAN JUEGOS ]])</f>
        <v>20</v>
      </c>
      <c r="L10">
        <f>SUMIF(entradas26[CODIGO],daewoo26[[#This Row],[CODIGO ]],entradas26[CAN BARRAS])</f>
        <v>9</v>
      </c>
      <c r="M10">
        <f>SUMIF(salidas26[[CODIGO ]],daewoo26[[#This Row],[CODIGO ]],salidas26[[CANT JUEGOS ]])</f>
        <v>19</v>
      </c>
      <c r="N10">
        <f>SUMIF(salidas26[[CODIGO ]],daewoo26[[#This Row],[CODIGO ]],salidas26[CANT BARRAS])</f>
        <v>8</v>
      </c>
      <c r="O10">
        <f>(daewoo26[[#This Row],["J"PRECIO COMPRA ]]*daewoo26[[#This Row],[STOCK JUEGOS]])</f>
        <v>612</v>
      </c>
      <c r="P10">
        <f>(daewoo26[[#This Row],["J" PRECIO VENTA ]]*daewoo26[[#This Row],[STOCK JUEGOS]])</f>
        <v>2880</v>
      </c>
      <c r="Q10">
        <f>(daewoo26[[#This Row],["B"PRECIO COMPRA]]*daewoo26[[#This Row],[STOCK BARRAS]])</f>
        <v>22.666666666666668</v>
      </c>
      <c r="R10">
        <f>(daewoo26[[#This Row],["B"PRECIO VENTA ]]*daewoo26[[#This Row],[STOCK BARRAS]])</f>
        <v>106.66666666666667</v>
      </c>
      <c r="S10" s="37">
        <v>17</v>
      </c>
      <c r="T10" s="37">
        <v>1</v>
      </c>
      <c r="U10">
        <v>1.7</v>
      </c>
      <c r="V10" t="s">
        <v>294</v>
      </c>
      <c r="W10" t="s">
        <v>295</v>
      </c>
    </row>
    <row r="11" spans="1:23" ht="15.75">
      <c r="A11">
        <v>7</v>
      </c>
      <c r="B11">
        <v>4015</v>
      </c>
      <c r="C11" s="55" t="s">
        <v>928</v>
      </c>
      <c r="D11">
        <f>(daewoo26[[#This Row],[CANTIDAD INICIAL JUEGO ]]+daewoo26[[#This Row],[ENTRADAS JUEGOS ]]-daewoo26[[#This Row],[SALIDAS JUEGOS]])</f>
        <v>25</v>
      </c>
      <c r="E11">
        <f>(daewoo26[[#This Row],[CANTIDAD INICIAL BARRAS]]+daewoo26[[#This Row],[ENTRADAS BARRAS]]-daewoo26[[#This Row],[SALIDA BARRAS]])</f>
        <v>7</v>
      </c>
      <c r="F11" s="34">
        <v>200</v>
      </c>
      <c r="G11" s="18">
        <v>94</v>
      </c>
      <c r="H11" s="18">
        <v>9</v>
      </c>
      <c r="I11">
        <f>(daewoo26[[#This Row],["J" PRECIO VENTA ]]/daewoo26[[#This Row],[BARRAS]])</f>
        <v>22.222222222222221</v>
      </c>
      <c r="J11">
        <f>(daewoo26[[#This Row],["J"PRECIO COMPRA ]]/daewoo26[[#This Row],[BARRAS]])</f>
        <v>10.444444444444445</v>
      </c>
      <c r="K11">
        <f>SUMIF(entradas26[CODIGO],daewoo26[[#This Row],[CODIGO ]],entradas26[[CAN JUEGOS ]])</f>
        <v>28</v>
      </c>
      <c r="L11">
        <f>SUMIF(entradas26[CODIGO],daewoo26[[#This Row],[CODIGO ]],entradas26[CAN BARRAS])</f>
        <v>0</v>
      </c>
      <c r="M11">
        <f>SUMIF(salidas26[[CODIGO ]],daewoo26[[#This Row],[CODIGO ]],salidas26[[CANT JUEGOS ]])</f>
        <v>6</v>
      </c>
      <c r="N11">
        <f>SUMIF(salidas26[[CODIGO ]],daewoo26[[#This Row],[CODIGO ]],salidas26[CANT BARRAS])</f>
        <v>0</v>
      </c>
      <c r="O11">
        <f>(daewoo26[[#This Row],["J"PRECIO COMPRA ]]*daewoo26[[#This Row],[STOCK JUEGOS]])</f>
        <v>2350</v>
      </c>
      <c r="P11">
        <f>(daewoo26[[#This Row],["J" PRECIO VENTA ]]*daewoo26[[#This Row],[STOCK JUEGOS]])</f>
        <v>5000</v>
      </c>
      <c r="Q11">
        <f>(daewoo26[[#This Row],["B"PRECIO COMPRA]]*daewoo26[[#This Row],[STOCK BARRAS]])</f>
        <v>73.111111111111114</v>
      </c>
      <c r="R11">
        <f>(daewoo26[[#This Row],["B"PRECIO VENTA ]]*daewoo26[[#This Row],[STOCK BARRAS]])</f>
        <v>155.55555555555554</v>
      </c>
      <c r="S11" s="28">
        <v>3</v>
      </c>
      <c r="T11" s="28">
        <v>7</v>
      </c>
      <c r="U11">
        <v>4.7</v>
      </c>
      <c r="V11" t="s">
        <v>297</v>
      </c>
    </row>
    <row r="12" spans="1:23" ht="15.75">
      <c r="A12">
        <v>8</v>
      </c>
      <c r="B12">
        <v>4018</v>
      </c>
      <c r="C12" s="50" t="s">
        <v>298</v>
      </c>
      <c r="D12">
        <f>(daewoo26[[#This Row],[CANTIDAD INICIAL JUEGO ]]+daewoo26[[#This Row],[ENTRADAS JUEGOS ]]-daewoo26[[#This Row],[SALIDAS JUEGOS]])</f>
        <v>4</v>
      </c>
      <c r="E12">
        <f>(daewoo26[[#This Row],[CANTIDAD INICIAL BARRAS]]+daewoo26[[#This Row],[ENTRADAS BARRAS]]-daewoo26[[#This Row],[SALIDA BARRAS]])</f>
        <v>8</v>
      </c>
      <c r="F12" s="34">
        <v>200</v>
      </c>
      <c r="G12" s="18">
        <v>93</v>
      </c>
      <c r="H12" s="18">
        <v>1</v>
      </c>
      <c r="I12">
        <f>(daewoo26[[#This Row],["J" PRECIO VENTA ]]/daewoo26[[#This Row],[BARRAS]])</f>
        <v>200</v>
      </c>
      <c r="J12">
        <f>(daewoo26[[#This Row],["J"PRECIO COMPRA ]]/daewoo26[[#This Row],[BARRAS]])</f>
        <v>93</v>
      </c>
      <c r="K12">
        <f>SUMIF(entradas26[CODIGO],daewoo26[[#This Row],[CODIGO ]],entradas26[[CAN JUEGOS ]])</f>
        <v>11</v>
      </c>
      <c r="L12">
        <f>SUMIF(entradas26[CODIGO],daewoo26[[#This Row],[CODIGO ]],entradas26[CAN BARRAS])</f>
        <v>9</v>
      </c>
      <c r="M12">
        <f>SUMIF(salidas26[[CODIGO ]],daewoo26[[#This Row],[CODIGO ]],salidas26[[CANT JUEGOS ]])</f>
        <v>7</v>
      </c>
      <c r="N12">
        <f>SUMIF(salidas26[[CODIGO ]],daewoo26[[#This Row],[CODIGO ]],salidas26[CANT BARRAS])</f>
        <v>1</v>
      </c>
      <c r="O12">
        <f>(daewoo26[[#This Row],["J"PRECIO COMPRA ]]*daewoo26[[#This Row],[STOCK JUEGOS]])</f>
        <v>372</v>
      </c>
      <c r="P12">
        <f>(daewoo26[[#This Row],["J" PRECIO VENTA ]]*daewoo26[[#This Row],[STOCK JUEGOS]])</f>
        <v>800</v>
      </c>
      <c r="Q12">
        <f>(daewoo26[[#This Row],["B"PRECIO COMPRA]]*daewoo26[[#This Row],[STOCK BARRAS]])</f>
        <v>744</v>
      </c>
      <c r="R12">
        <f>(daewoo26[[#This Row],["B"PRECIO VENTA ]]*daewoo26[[#This Row],[STOCK BARRAS]])</f>
        <v>1600</v>
      </c>
      <c r="S12" s="28">
        <v>0</v>
      </c>
      <c r="T12" s="28">
        <v>0</v>
      </c>
      <c r="U12">
        <v>4.5</v>
      </c>
      <c r="V12" t="s">
        <v>299</v>
      </c>
    </row>
    <row r="13" spans="1:23" ht="15.75">
      <c r="A13">
        <v>9</v>
      </c>
      <c r="B13">
        <v>4020</v>
      </c>
      <c r="C13" s="51" t="s">
        <v>300</v>
      </c>
      <c r="D13">
        <f>(daewoo26[[#This Row],[CANTIDAD INICIAL JUEGO ]]+daewoo26[[#This Row],[ENTRADAS JUEGOS ]]-daewoo26[[#This Row],[SALIDAS JUEGOS]])</f>
        <v>16</v>
      </c>
      <c r="E13">
        <f>(daewoo26[[#This Row],[CANTIDAD INICIAL BARRAS]]+daewoo26[[#This Row],[ENTRADAS BARRAS]]-daewoo26[[#This Row],[SALIDA BARRAS]])</f>
        <v>8</v>
      </c>
      <c r="F13" s="34">
        <v>250</v>
      </c>
      <c r="G13" s="18">
        <v>140</v>
      </c>
      <c r="H13" s="18">
        <v>10</v>
      </c>
      <c r="I13">
        <f>(daewoo26[[#This Row],["J" PRECIO VENTA ]]/daewoo26[[#This Row],[BARRAS]])</f>
        <v>25</v>
      </c>
      <c r="J13">
        <f>(daewoo26[[#This Row],["J"PRECIO COMPRA ]]/daewoo26[[#This Row],[BARRAS]])</f>
        <v>14</v>
      </c>
      <c r="K13">
        <f>SUMIF(entradas26[CODIGO],daewoo26[[#This Row],[CODIGO ]],entradas26[[CAN JUEGOS ]])</f>
        <v>0</v>
      </c>
      <c r="L13">
        <f>SUMIF(entradas26[CODIGO],daewoo26[[#This Row],[CODIGO ]],entradas26[CAN BARRAS])</f>
        <v>10</v>
      </c>
      <c r="M13">
        <f>SUMIF(salidas26[[CODIGO ]],daewoo26[[#This Row],[CODIGO ]],salidas26[[CANT JUEGOS ]])</f>
        <v>4</v>
      </c>
      <c r="N13">
        <f>SUMIF(salidas26[[CODIGO ]],daewoo26[[#This Row],[CODIGO ]],salidas26[CANT BARRAS])</f>
        <v>2</v>
      </c>
      <c r="O13">
        <f>(daewoo26[[#This Row],["J"PRECIO COMPRA ]]*daewoo26[[#This Row],[STOCK JUEGOS]])</f>
        <v>2240</v>
      </c>
      <c r="P13">
        <f>(daewoo26[[#This Row],["J" PRECIO VENTA ]]*daewoo26[[#This Row],[STOCK JUEGOS]])</f>
        <v>4000</v>
      </c>
      <c r="Q13">
        <f>(daewoo26[[#This Row],["B"PRECIO COMPRA]]*daewoo26[[#This Row],[STOCK BARRAS]])</f>
        <v>112</v>
      </c>
      <c r="R13">
        <f>(daewoo26[[#This Row],["B"PRECIO VENTA ]]*daewoo26[[#This Row],[STOCK BARRAS]])</f>
        <v>200</v>
      </c>
      <c r="S13" s="28">
        <v>20</v>
      </c>
      <c r="T13" s="28"/>
    </row>
    <row r="14" spans="1:23" s="18" customFormat="1" ht="15.75">
      <c r="A14">
        <v>10</v>
      </c>
      <c r="B14" s="18">
        <v>4021</v>
      </c>
      <c r="C14" s="69" t="s">
        <v>301</v>
      </c>
      <c r="D14" s="18">
        <f>(daewoo26[[#This Row],[CANTIDAD INICIAL JUEGO ]]+daewoo26[[#This Row],[ENTRADAS JUEGOS ]]-daewoo26[[#This Row],[SALIDAS JUEGOS]])</f>
        <v>11</v>
      </c>
      <c r="E14" s="18">
        <f>(daewoo26[[#This Row],[CANTIDAD INICIAL BARRAS]]+daewoo26[[#This Row],[ENTRADAS BARRAS]]-daewoo26[[#This Row],[SALIDA BARRAS]])</f>
        <v>7</v>
      </c>
      <c r="F14" s="36">
        <v>200</v>
      </c>
      <c r="G14" s="18">
        <v>76</v>
      </c>
      <c r="H14" s="18">
        <v>8</v>
      </c>
      <c r="I14" s="18">
        <f>(daewoo26[[#This Row],["J" PRECIO VENTA ]]/daewoo26[[#This Row],[BARRAS]])</f>
        <v>25</v>
      </c>
      <c r="J14" s="18">
        <f>(daewoo26[[#This Row],["J"PRECIO COMPRA ]]/daewoo26[[#This Row],[BARRAS]])</f>
        <v>9.5</v>
      </c>
      <c r="K14" s="18">
        <f>SUMIF(entradas26[CODIGO],daewoo26[[#This Row],[CODIGO ]],entradas26[[CAN JUEGOS ]])</f>
        <v>20</v>
      </c>
      <c r="L14" s="18">
        <f>SUMIF(entradas26[CODIGO],daewoo26[[#This Row],[CODIGO ]],entradas26[CAN BARRAS])</f>
        <v>24</v>
      </c>
      <c r="M14" s="18">
        <f>SUMIF(salidas26[[CODIGO ]],daewoo26[[#This Row],[CODIGO ]],salidas26[[CANT JUEGOS ]])</f>
        <v>9</v>
      </c>
      <c r="N14" s="18">
        <f>SUMIF(salidas26[[CODIGO ]],daewoo26[[#This Row],[CODIGO ]],salidas26[CANT BARRAS])</f>
        <v>17</v>
      </c>
      <c r="O14" s="18">
        <f>(daewoo26[[#This Row],["J"PRECIO COMPRA ]]*daewoo26[[#This Row],[STOCK JUEGOS]])</f>
        <v>836</v>
      </c>
      <c r="P14" s="18">
        <f>(daewoo26[[#This Row],["J" PRECIO VENTA ]]*daewoo26[[#This Row],[STOCK JUEGOS]])</f>
        <v>2200</v>
      </c>
      <c r="Q14" s="18">
        <f>(daewoo26[[#This Row],["B"PRECIO COMPRA]]*daewoo26[[#This Row],[STOCK BARRAS]])</f>
        <v>66.5</v>
      </c>
      <c r="R14" s="18">
        <f>(daewoo26[[#This Row],["B"PRECIO VENTA ]]*daewoo26[[#This Row],[STOCK BARRAS]])</f>
        <v>175</v>
      </c>
      <c r="U14" s="18">
        <v>3.71</v>
      </c>
      <c r="V14" s="18" t="s">
        <v>302</v>
      </c>
    </row>
  </sheetData>
  <mergeCells count="1">
    <mergeCell ref="B2:V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4"/>
  <sheetViews>
    <sheetView topLeftCell="A28" zoomScale="115" zoomScaleNormal="115" workbookViewId="0">
      <selection activeCell="E40" sqref="E40"/>
    </sheetView>
  </sheetViews>
  <sheetFormatPr baseColWidth="10" defaultColWidth="11.42578125" defaultRowHeight="15"/>
  <cols>
    <col min="1" max="1" width="6" customWidth="1"/>
    <col min="2" max="2" width="6.140625" customWidth="1"/>
    <col min="3" max="3" width="30.140625" customWidth="1"/>
    <col min="4" max="8" width="8.140625" customWidth="1"/>
    <col min="9" max="20" width="8.140625" hidden="1" customWidth="1"/>
    <col min="21" max="22" width="8.140625" customWidth="1"/>
  </cols>
  <sheetData>
    <row r="2" spans="1:22">
      <c r="B2" s="243" t="s">
        <v>303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</row>
    <row r="3" spans="1:22"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</row>
    <row r="4" spans="1:22" ht="23.2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</row>
    <row r="5" spans="1:22">
      <c r="A5">
        <v>1</v>
      </c>
      <c r="B5">
        <v>5000</v>
      </c>
      <c r="C5" s="50" t="s">
        <v>304</v>
      </c>
      <c r="D5">
        <f>(sony26[[#This Row],[CANTIDAD INICIAL JUEGO ]]+sony26[[#This Row],[ENTRADAS JUEGOS ]]-sony26[[#This Row],[SALIDAS JUEGOS]])</f>
        <v>26</v>
      </c>
      <c r="E5">
        <f>(sony26[[#This Row],[CANTIDAD INICIAL BARRAS]]+sony26[[#This Row],[ENTRADAS BARRAS]]-sony26[[#This Row],[SALIDA BARRAS]])</f>
        <v>0</v>
      </c>
      <c r="F5" s="35">
        <v>90</v>
      </c>
      <c r="G5" s="18">
        <v>36</v>
      </c>
      <c r="H5" s="18">
        <v>3</v>
      </c>
      <c r="I5">
        <f>(sony26[[#This Row],["J" PRECIO VENTA ]]/sony26[[#This Row],[BARRAS]])</f>
        <v>30</v>
      </c>
      <c r="J5">
        <f>(sony26[[#This Row],["J"PRECIO COMPRA ]]/sony26[[#This Row],[BARRAS]])</f>
        <v>12</v>
      </c>
      <c r="K5">
        <f>SUMIF(entradas26[CODIGO],sony26[[#This Row],[CODIGO ]],entradas26[[CAN JUEGOS ]])</f>
        <v>20</v>
      </c>
      <c r="L5">
        <f>SUMIF(entradas26[CODIGO],sony26[[#This Row],[CODIGO ]],entradas26[CAN BARRAS])</f>
        <v>0</v>
      </c>
      <c r="M5">
        <f>SUMIF(salidas26[[CODIGO ]],sony26[[#This Row],[CODIGO ]],salidas26[[CANT JUEGOS ]])</f>
        <v>4</v>
      </c>
      <c r="N5">
        <f>SUMIF(salidas26[[CODIGO ]],sony26[[#This Row],[CODIGO ]],salidas26[CANT BARRAS])</f>
        <v>0</v>
      </c>
      <c r="O5">
        <f>(sony26[[#This Row],["J"PRECIO COMPRA ]]*sony26[[#This Row],[STOCK JUEGOS]])</f>
        <v>936</v>
      </c>
      <c r="P5">
        <f>(sony26[[#This Row],["J" PRECIO VENTA ]]*sony26[[#This Row],[STOCK JUEGOS]])</f>
        <v>2340</v>
      </c>
      <c r="Q5">
        <f>(sony26[[#This Row],["B"PRECIO COMPRA]]*sony26[[#This Row],[STOCK BARRAS]])</f>
        <v>0</v>
      </c>
      <c r="R5">
        <f>(sony26[[#This Row],["B"PRECIO VENTA ]]*sony26[[#This Row],[STOCK BARRAS]])</f>
        <v>0</v>
      </c>
      <c r="S5" s="28">
        <v>10</v>
      </c>
      <c r="T5" s="28"/>
      <c r="U5">
        <v>1.8</v>
      </c>
    </row>
    <row r="6" spans="1:22">
      <c r="A6">
        <v>2</v>
      </c>
      <c r="B6">
        <v>5001</v>
      </c>
      <c r="C6" s="18" t="s">
        <v>305</v>
      </c>
      <c r="D6">
        <f>(sony26[[#This Row],[CANTIDAD INICIAL JUEGO ]]+sony26[[#This Row],[ENTRADAS JUEGOS ]]-sony26[[#This Row],[SALIDAS JUEGOS]])</f>
        <v>9</v>
      </c>
      <c r="E6">
        <f>(sony26[[#This Row],[CANTIDAD INICIAL BARRAS]]+sony26[[#This Row],[ENTRADAS BARRAS]]-sony26[[#This Row],[SALIDA BARRAS]])</f>
        <v>0</v>
      </c>
      <c r="F6" s="35">
        <v>100</v>
      </c>
      <c r="G6" s="18">
        <v>85</v>
      </c>
      <c r="H6" s="18">
        <v>4</v>
      </c>
      <c r="I6">
        <f>(sony26[[#This Row],["J" PRECIO VENTA ]]/sony26[[#This Row],[BARRAS]])</f>
        <v>25</v>
      </c>
      <c r="J6">
        <f>(sony26[[#This Row],["J"PRECIO COMPRA ]]/sony26[[#This Row],[BARRAS]])</f>
        <v>21.25</v>
      </c>
      <c r="K6">
        <f>SUMIF(entradas26[CODIGO],sony26[[#This Row],[CODIGO ]],entradas26[[CAN JUEGOS ]])</f>
        <v>0</v>
      </c>
      <c r="L6">
        <f>SUMIF(entradas26[CODIGO],sony26[[#This Row],[CODIGO ]],entradas26[CAN BARRAS])</f>
        <v>0</v>
      </c>
      <c r="M6">
        <f>SUMIF(salidas26[[CODIGO ]],sony26[[#This Row],[CODIGO ]],salidas26[[CANT JUEGOS ]])</f>
        <v>4</v>
      </c>
      <c r="N6">
        <f>SUMIF(salidas26[[CODIGO ]],sony26[[#This Row],[CODIGO ]],salidas26[CANT BARRAS])</f>
        <v>0</v>
      </c>
      <c r="O6">
        <f>(sony26[[#This Row],["J"PRECIO COMPRA ]]*sony26[[#This Row],[STOCK JUEGOS]])</f>
        <v>765</v>
      </c>
      <c r="P6">
        <f>(sony26[[#This Row],["J" PRECIO VENTA ]]*sony26[[#This Row],[STOCK JUEGOS]])</f>
        <v>900</v>
      </c>
      <c r="Q6">
        <f>(sony26[[#This Row],["B"PRECIO COMPRA]]*sony26[[#This Row],[STOCK BARRAS]])</f>
        <v>0</v>
      </c>
      <c r="R6">
        <f>(sony26[[#This Row],["B"PRECIO VENTA ]]*sony26[[#This Row],[STOCK BARRAS]])</f>
        <v>0</v>
      </c>
      <c r="S6" s="28">
        <v>13</v>
      </c>
      <c r="T6" s="28"/>
    </row>
    <row r="7" spans="1:22">
      <c r="A7">
        <v>3</v>
      </c>
      <c r="B7">
        <v>5002</v>
      </c>
      <c r="C7" s="50" t="s">
        <v>306</v>
      </c>
      <c r="D7">
        <f>(sony26[[#This Row],[CANTIDAD INICIAL JUEGO ]]+sony26[[#This Row],[ENTRADAS JUEGOS ]]-sony26[[#This Row],[SALIDAS JUEGOS]])</f>
        <v>20</v>
      </c>
      <c r="E7">
        <f>(sony26[[#This Row],[CANTIDAD INICIAL BARRAS]]+sony26[[#This Row],[ENTRADAS BARRAS]]-sony26[[#This Row],[SALIDA BARRAS]])</f>
        <v>0</v>
      </c>
      <c r="F7" s="35">
        <v>90</v>
      </c>
      <c r="G7" s="18">
        <v>40</v>
      </c>
      <c r="H7" s="18">
        <v>3</v>
      </c>
      <c r="I7">
        <f>(sony26[[#This Row],["J" PRECIO VENTA ]]/sony26[[#This Row],[BARRAS]])</f>
        <v>30</v>
      </c>
      <c r="J7">
        <f>(sony26[[#This Row],["J"PRECIO COMPRA ]]/sony26[[#This Row],[BARRAS]])</f>
        <v>13.333333333333334</v>
      </c>
      <c r="K7">
        <f>SUMIF(entradas26[CODIGO],sony26[[#This Row],[CODIGO ]],entradas26[[CAN JUEGOS ]])</f>
        <v>20</v>
      </c>
      <c r="L7">
        <f>SUMIF(entradas26[CODIGO],sony26[[#This Row],[CODIGO ]],entradas26[CAN BARRAS])</f>
        <v>0</v>
      </c>
      <c r="M7">
        <f>SUMIF(salidas26[[CODIGO ]],sony26[[#This Row],[CODIGO ]],salidas26[[CANT JUEGOS ]])</f>
        <v>9</v>
      </c>
      <c r="N7">
        <f>SUMIF(salidas26[[CODIGO ]],sony26[[#This Row],[CODIGO ]],salidas26[CANT BARRAS])</f>
        <v>0</v>
      </c>
      <c r="O7">
        <f>(sony26[[#This Row],["J"PRECIO COMPRA ]]*sony26[[#This Row],[STOCK JUEGOS]])</f>
        <v>800</v>
      </c>
      <c r="P7">
        <f>(sony26[[#This Row],["J" PRECIO VENTA ]]*sony26[[#This Row],[STOCK JUEGOS]])</f>
        <v>1800</v>
      </c>
      <c r="Q7">
        <f>(sony26[[#This Row],["B"PRECIO COMPRA]]*sony26[[#This Row],[STOCK BARRAS]])</f>
        <v>0</v>
      </c>
      <c r="R7">
        <f>(sony26[[#This Row],["B"PRECIO VENTA ]]*sony26[[#This Row],[STOCK BARRAS]])</f>
        <v>0</v>
      </c>
      <c r="S7" s="28">
        <v>9</v>
      </c>
      <c r="T7" s="28"/>
      <c r="U7">
        <v>2</v>
      </c>
      <c r="V7" t="s">
        <v>897</v>
      </c>
    </row>
    <row r="8" spans="1:22">
      <c r="A8">
        <v>4</v>
      </c>
      <c r="B8">
        <v>5003</v>
      </c>
      <c r="C8" s="18" t="s">
        <v>307</v>
      </c>
      <c r="D8">
        <f>(sony26[[#This Row],[CANTIDAD INICIAL JUEGO ]]+sony26[[#This Row],[ENTRADAS JUEGOS ]]-sony26[[#This Row],[SALIDAS JUEGOS]])</f>
        <v>2</v>
      </c>
      <c r="E8">
        <f>(sony26[[#This Row],[CANTIDAD INICIAL BARRAS]]+sony26[[#This Row],[ENTRADAS BARRAS]]-sony26[[#This Row],[SALIDA BARRAS]])</f>
        <v>0</v>
      </c>
      <c r="F8" s="35">
        <v>120</v>
      </c>
      <c r="G8" s="18">
        <v>60</v>
      </c>
      <c r="H8" s="18">
        <v>4</v>
      </c>
      <c r="I8">
        <f>(sony26[[#This Row],["J" PRECIO VENTA ]]/sony26[[#This Row],[BARRAS]])</f>
        <v>30</v>
      </c>
      <c r="J8">
        <f>(sony26[[#This Row],["J"PRECIO COMPRA ]]/sony26[[#This Row],[BARRAS]])</f>
        <v>15</v>
      </c>
      <c r="K8">
        <f>SUMIF(entradas26[CODIGO],sony26[[#This Row],[CODIGO ]],entradas26[[CAN JUEGOS ]])</f>
        <v>0</v>
      </c>
      <c r="L8">
        <f>SUMIF(entradas26[CODIGO],sony26[[#This Row],[CODIGO ]],entradas26[CAN BARRAS])</f>
        <v>0</v>
      </c>
      <c r="M8">
        <f>SUMIF(salidas26[[CODIGO ]],sony26[[#This Row],[CODIGO ]],salidas26[[CANT JUEGOS ]])</f>
        <v>0</v>
      </c>
      <c r="N8">
        <f>SUMIF(salidas26[[CODIGO ]],sony26[[#This Row],[CODIGO ]],salidas26[CANT BARRAS])</f>
        <v>0</v>
      </c>
      <c r="O8">
        <f>(sony26[[#This Row],["J"PRECIO COMPRA ]]*sony26[[#This Row],[STOCK JUEGOS]])</f>
        <v>120</v>
      </c>
      <c r="P8">
        <f>(sony26[[#This Row],["J" PRECIO VENTA ]]*sony26[[#This Row],[STOCK JUEGOS]])</f>
        <v>240</v>
      </c>
      <c r="Q8">
        <f>(sony26[[#This Row],["B"PRECIO COMPRA]]*sony26[[#This Row],[STOCK BARRAS]])</f>
        <v>0</v>
      </c>
      <c r="R8">
        <f>(sony26[[#This Row],["B"PRECIO VENTA ]]*sony26[[#This Row],[STOCK BARRAS]])</f>
        <v>0</v>
      </c>
      <c r="S8" s="28">
        <v>2</v>
      </c>
      <c r="T8" s="28"/>
    </row>
    <row r="9" spans="1:22">
      <c r="A9">
        <v>5</v>
      </c>
      <c r="B9">
        <v>5006</v>
      </c>
      <c r="C9" s="18" t="s">
        <v>308</v>
      </c>
      <c r="D9">
        <f>(sony26[[#This Row],[CANTIDAD INICIAL JUEGO ]]+sony26[[#This Row],[ENTRADAS JUEGOS ]]-sony26[[#This Row],[SALIDAS JUEGOS]])</f>
        <v>25</v>
      </c>
      <c r="E9">
        <f>(sony26[[#This Row],[CANTIDAD INICIAL BARRAS]]+sony26[[#This Row],[ENTRADAS BARRAS]]-sony26[[#This Row],[SALIDA BARRAS]])</f>
        <v>2</v>
      </c>
      <c r="F9" s="35">
        <v>90</v>
      </c>
      <c r="G9" s="18">
        <v>43</v>
      </c>
      <c r="H9" s="18">
        <v>3</v>
      </c>
      <c r="I9">
        <f>(sony26[[#This Row],["J" PRECIO VENTA ]]/sony26[[#This Row],[BARRAS]])</f>
        <v>30</v>
      </c>
      <c r="J9">
        <f>(sony26[[#This Row],["J"PRECIO COMPRA ]]/sony26[[#This Row],[BARRAS]])</f>
        <v>14.333333333333334</v>
      </c>
      <c r="K9">
        <f>SUMIF(entradas26[CODIGO],sony26[[#This Row],[CODIGO ]],entradas26[[CAN JUEGOS ]])</f>
        <v>32</v>
      </c>
      <c r="L9">
        <f>SUMIF(entradas26[CODIGO],sony26[[#This Row],[CODIGO ]],entradas26[CAN BARRAS])</f>
        <v>4</v>
      </c>
      <c r="M9">
        <f>SUMIF(salidas26[[CODIGO ]],sony26[[#This Row],[CODIGO ]],salidas26[[CANT JUEGOS ]])</f>
        <v>19</v>
      </c>
      <c r="N9">
        <f>SUMIF(salidas26[[CODIGO ]],sony26[[#This Row],[CODIGO ]],salidas26[CANT BARRAS])</f>
        <v>2</v>
      </c>
      <c r="O9">
        <f>(sony26[[#This Row],["J"PRECIO COMPRA ]]*sony26[[#This Row],[STOCK JUEGOS]])</f>
        <v>1075</v>
      </c>
      <c r="P9">
        <f>(sony26[[#This Row],["J" PRECIO VENTA ]]*sony26[[#This Row],[STOCK JUEGOS]])</f>
        <v>2250</v>
      </c>
      <c r="Q9">
        <f>(sony26[[#This Row],["B"PRECIO COMPRA]]*sony26[[#This Row],[STOCK BARRAS]])</f>
        <v>28.666666666666668</v>
      </c>
      <c r="R9">
        <f>(sony26[[#This Row],["B"PRECIO VENTA ]]*sony26[[#This Row],[STOCK BARRAS]])</f>
        <v>60</v>
      </c>
      <c r="S9" s="28">
        <v>12</v>
      </c>
      <c r="T9" s="28"/>
      <c r="U9">
        <v>1.8</v>
      </c>
    </row>
    <row r="10" spans="1:22">
      <c r="A10">
        <v>6</v>
      </c>
      <c r="B10">
        <v>5009</v>
      </c>
      <c r="C10" s="18" t="s">
        <v>309</v>
      </c>
      <c r="D10">
        <f>(sony26[[#This Row],[CANTIDAD INICIAL JUEGO ]]+sony26[[#This Row],[ENTRADAS JUEGOS ]]-sony26[[#This Row],[SALIDAS JUEGOS]])</f>
        <v>17</v>
      </c>
      <c r="E10">
        <f>(sony26[[#This Row],[CANTIDAD INICIAL BARRAS]]+sony26[[#This Row],[ENTRADAS BARRAS]]-sony26[[#This Row],[SALIDA BARRAS]])</f>
        <v>8</v>
      </c>
      <c r="F10" s="35">
        <v>150</v>
      </c>
      <c r="G10" s="18">
        <v>90</v>
      </c>
      <c r="H10" s="18">
        <v>10</v>
      </c>
      <c r="I10">
        <f>(sony26[[#This Row],["J" PRECIO VENTA ]]/sony26[[#This Row],[BARRAS]])</f>
        <v>15</v>
      </c>
      <c r="J10">
        <f>(sony26[[#This Row],["J"PRECIO COMPRA ]]/sony26[[#This Row],[BARRAS]])</f>
        <v>9</v>
      </c>
      <c r="K10">
        <f>SUMIF(entradas26[CODIGO],sony26[[#This Row],[CODIGO ]],entradas26[[CAN JUEGOS ]])</f>
        <v>0</v>
      </c>
      <c r="L10">
        <f>SUMIF(entradas26[CODIGO],sony26[[#This Row],[CODIGO ]],entradas26[CAN BARRAS])</f>
        <v>10</v>
      </c>
      <c r="M10">
        <f>SUMIF(salidas26[[CODIGO ]],sony26[[#This Row],[CODIGO ]],salidas26[[CANT JUEGOS ]])</f>
        <v>1</v>
      </c>
      <c r="N10">
        <f>SUMIF(salidas26[[CODIGO ]],sony26[[#This Row],[CODIGO ]],salidas26[CANT BARRAS])</f>
        <v>6</v>
      </c>
      <c r="O10">
        <f>(sony26[[#This Row],["J"PRECIO COMPRA ]]*sony26[[#This Row],[STOCK JUEGOS]])</f>
        <v>1530</v>
      </c>
      <c r="P10">
        <f>(sony26[[#This Row],["J" PRECIO VENTA ]]*sony26[[#This Row],[STOCK JUEGOS]])</f>
        <v>2550</v>
      </c>
      <c r="Q10">
        <f>(sony26[[#This Row],["B"PRECIO COMPRA]]*sony26[[#This Row],[STOCK BARRAS]])</f>
        <v>72</v>
      </c>
      <c r="R10">
        <f>(sony26[[#This Row],["B"PRECIO VENTA ]]*sony26[[#This Row],[STOCK BARRAS]])</f>
        <v>120</v>
      </c>
      <c r="S10" s="28">
        <v>18</v>
      </c>
      <c r="T10" s="28">
        <v>4</v>
      </c>
    </row>
    <row r="11" spans="1:22">
      <c r="A11">
        <v>7</v>
      </c>
      <c r="B11">
        <v>5010</v>
      </c>
      <c r="C11" s="50" t="s">
        <v>310</v>
      </c>
      <c r="D11">
        <f>(sony26[[#This Row],[CANTIDAD INICIAL JUEGO ]]+sony26[[#This Row],[ENTRADAS JUEGOS ]]-sony26[[#This Row],[SALIDAS JUEGOS]])</f>
        <v>20</v>
      </c>
      <c r="E11">
        <f>(sony26[[#This Row],[CANTIDAD INICIAL BARRAS]]+sony26[[#This Row],[ENTRADAS BARRAS]]-sony26[[#This Row],[SALIDA BARRAS]])</f>
        <v>0</v>
      </c>
      <c r="F11" s="35">
        <v>180</v>
      </c>
      <c r="G11" s="18">
        <v>59</v>
      </c>
      <c r="H11" s="18">
        <v>4</v>
      </c>
      <c r="I11">
        <f>(sony26[[#This Row],["J" PRECIO VENTA ]]/sony26[[#This Row],[BARRAS]])</f>
        <v>45</v>
      </c>
      <c r="J11">
        <f>(sony26[[#This Row],["J"PRECIO COMPRA ]]/sony26[[#This Row],[BARRAS]])</f>
        <v>14.75</v>
      </c>
      <c r="K11">
        <f>SUMIF(entradas26[CODIGO],sony26[[#This Row],[CODIGO ]],entradas26[[CAN JUEGOS ]])</f>
        <v>20</v>
      </c>
      <c r="L11">
        <f>SUMIF(entradas26[CODIGO],sony26[[#This Row],[CODIGO ]],entradas26[CAN BARRAS])</f>
        <v>0</v>
      </c>
      <c r="M11">
        <f>SUMIF(salidas26[[CODIGO ]],sony26[[#This Row],[CODIGO ]],salidas26[[CANT JUEGOS ]])</f>
        <v>8</v>
      </c>
      <c r="N11">
        <f>SUMIF(salidas26[[CODIGO ]],sony26[[#This Row],[CODIGO ]],salidas26[CANT BARRAS])</f>
        <v>0</v>
      </c>
      <c r="O11">
        <f>(sony26[[#This Row],["J"PRECIO COMPRA ]]*sony26[[#This Row],[STOCK JUEGOS]])</f>
        <v>1180</v>
      </c>
      <c r="P11">
        <f>(sony26[[#This Row],["J" PRECIO VENTA ]]*sony26[[#This Row],[STOCK JUEGOS]])</f>
        <v>3600</v>
      </c>
      <c r="Q11">
        <f>(sony26[[#This Row],["B"PRECIO COMPRA]]*sony26[[#This Row],[STOCK BARRAS]])</f>
        <v>0</v>
      </c>
      <c r="R11">
        <f>(sony26[[#This Row],["B"PRECIO VENTA ]]*sony26[[#This Row],[STOCK BARRAS]])</f>
        <v>0</v>
      </c>
      <c r="S11" s="28">
        <v>8</v>
      </c>
      <c r="T11" s="28"/>
      <c r="U11">
        <v>3.1</v>
      </c>
      <c r="V11" t="s">
        <v>770</v>
      </c>
    </row>
    <row r="12" spans="1:22">
      <c r="A12">
        <v>8</v>
      </c>
      <c r="B12">
        <v>5012</v>
      </c>
      <c r="C12" s="18" t="s">
        <v>311</v>
      </c>
      <c r="D12">
        <f>(sony26[[#This Row],[CANTIDAD INICIAL JUEGO ]]+sony26[[#This Row],[ENTRADAS JUEGOS ]]-sony26[[#This Row],[SALIDAS JUEGOS]])</f>
        <v>10</v>
      </c>
      <c r="E12">
        <f>(sony26[[#This Row],[CANTIDAD INICIAL BARRAS]]+sony26[[#This Row],[ENTRADAS BARRAS]]-sony26[[#This Row],[SALIDA BARRAS]])</f>
        <v>2</v>
      </c>
      <c r="F12" s="35">
        <v>200</v>
      </c>
      <c r="G12" s="18">
        <v>94</v>
      </c>
      <c r="H12" s="18">
        <v>10</v>
      </c>
      <c r="I12">
        <f>(sony26[[#This Row],["J" PRECIO VENTA ]]/sony26[[#This Row],[BARRAS]])</f>
        <v>20</v>
      </c>
      <c r="J12">
        <f>(sony26[[#This Row],["J"PRECIO COMPRA ]]/sony26[[#This Row],[BARRAS]])</f>
        <v>9.4</v>
      </c>
      <c r="K12">
        <f>SUMIF(entradas26[CODIGO],sony26[[#This Row],[CODIGO ]],entradas26[[CAN JUEGOS ]])</f>
        <v>0</v>
      </c>
      <c r="L12">
        <f>SUMIF(entradas26[CODIGO],sony26[[#This Row],[CODIGO ]],entradas26[CAN BARRAS])</f>
        <v>0</v>
      </c>
      <c r="M12">
        <f>SUMIF(salidas26[[CODIGO ]],sony26[[#This Row],[CODIGO ]],salidas26[[CANT JUEGOS ]])</f>
        <v>5</v>
      </c>
      <c r="N12">
        <f>SUMIF(salidas26[[CODIGO ]],sony26[[#This Row],[CODIGO ]],salidas26[CANT BARRAS])</f>
        <v>0</v>
      </c>
      <c r="O12">
        <f>(sony26[[#This Row],["J"PRECIO COMPRA ]]*sony26[[#This Row],[STOCK JUEGOS]])</f>
        <v>940</v>
      </c>
      <c r="P12">
        <f>(sony26[[#This Row],["J" PRECIO VENTA ]]*sony26[[#This Row],[STOCK JUEGOS]])</f>
        <v>2000</v>
      </c>
      <c r="Q12">
        <f>(sony26[[#This Row],["B"PRECIO COMPRA]]*sony26[[#This Row],[STOCK BARRAS]])</f>
        <v>18.8</v>
      </c>
      <c r="R12">
        <f>(sony26[[#This Row],["B"PRECIO VENTA ]]*sony26[[#This Row],[STOCK BARRAS]])</f>
        <v>40</v>
      </c>
      <c r="S12" s="28">
        <v>15</v>
      </c>
      <c r="T12" s="28">
        <v>2</v>
      </c>
    </row>
    <row r="13" spans="1:22">
      <c r="A13">
        <v>9</v>
      </c>
      <c r="B13">
        <v>5015</v>
      </c>
      <c r="C13" s="18" t="s">
        <v>312</v>
      </c>
      <c r="D13">
        <f>(sony26[[#This Row],[CANTIDAD INICIAL JUEGO ]]+sony26[[#This Row],[ENTRADAS JUEGOS ]]-sony26[[#This Row],[SALIDAS JUEGOS]])</f>
        <v>18</v>
      </c>
      <c r="E13">
        <f>(sony26[[#This Row],[CANTIDAD INICIAL BARRAS]]+sony26[[#This Row],[ENTRADAS BARRAS]]-sony26[[#This Row],[SALIDA BARRAS]])</f>
        <v>0</v>
      </c>
      <c r="F13" s="35">
        <v>160</v>
      </c>
      <c r="G13" s="18">
        <v>100</v>
      </c>
      <c r="H13" s="18">
        <v>3</v>
      </c>
      <c r="I13">
        <f>(sony26[[#This Row],["J" PRECIO VENTA ]]/sony26[[#This Row],[BARRAS]])</f>
        <v>53.333333333333336</v>
      </c>
      <c r="J13">
        <f>(sony26[[#This Row],["J"PRECIO COMPRA ]]/sony26[[#This Row],[BARRAS]])</f>
        <v>33.333333333333336</v>
      </c>
      <c r="K13">
        <f>SUMIF(entradas26[CODIGO],sony26[[#This Row],[CODIGO ]],entradas26[[CAN JUEGOS ]])</f>
        <v>20</v>
      </c>
      <c r="L13">
        <f>SUMIF(entradas26[CODIGO],sony26[[#This Row],[CODIGO ]],entradas26[CAN BARRAS])</f>
        <v>0</v>
      </c>
      <c r="M13">
        <f>SUMIF(salidas26[[CODIGO ]],sony26[[#This Row],[CODIGO ]],salidas26[[CANT JUEGOS ]])</f>
        <v>4</v>
      </c>
      <c r="N13">
        <f>SUMIF(salidas26[[CODIGO ]],sony26[[#This Row],[CODIGO ]],salidas26[CANT BARRAS])</f>
        <v>0</v>
      </c>
      <c r="O13">
        <f>(sony26[[#This Row],["J"PRECIO COMPRA ]]*sony26[[#This Row],[STOCK JUEGOS]])</f>
        <v>1800</v>
      </c>
      <c r="P13">
        <f>(sony26[[#This Row],["J" PRECIO VENTA ]]*sony26[[#This Row],[STOCK JUEGOS]])</f>
        <v>2880</v>
      </c>
      <c r="Q13">
        <f>(sony26[[#This Row],["B"PRECIO COMPRA]]*sony26[[#This Row],[STOCK BARRAS]])</f>
        <v>0</v>
      </c>
      <c r="R13">
        <f>(sony26[[#This Row],["B"PRECIO VENTA ]]*sony26[[#This Row],[STOCK BARRAS]])</f>
        <v>0</v>
      </c>
      <c r="S13" s="28">
        <v>2</v>
      </c>
      <c r="T13" s="28"/>
      <c r="U13">
        <v>2.6</v>
      </c>
      <c r="V13" t="s">
        <v>747</v>
      </c>
    </row>
    <row r="14" spans="1:22">
      <c r="A14">
        <v>10</v>
      </c>
      <c r="B14">
        <v>5018</v>
      </c>
      <c r="C14" s="18" t="s">
        <v>313</v>
      </c>
      <c r="D14">
        <f>(sony26[[#This Row],[CANTIDAD INICIAL JUEGO ]]+sony26[[#This Row],[ENTRADAS JUEGOS ]]-sony26[[#This Row],[SALIDAS JUEGOS]])</f>
        <v>19</v>
      </c>
      <c r="E14">
        <f>(sony26[[#This Row],[CANTIDAD INICIAL BARRAS]]+sony26[[#This Row],[ENTRADAS BARRAS]]-sony26[[#This Row],[SALIDA BARRAS]])</f>
        <v>0</v>
      </c>
      <c r="F14" s="35">
        <v>200</v>
      </c>
      <c r="G14" s="18">
        <v>91</v>
      </c>
      <c r="H14" s="18">
        <v>10</v>
      </c>
      <c r="I14">
        <f>(sony26[[#This Row],["J" PRECIO VENTA ]]/sony26[[#This Row],[BARRAS]])</f>
        <v>20</v>
      </c>
      <c r="J14">
        <f>(sony26[[#This Row],["J"PRECIO COMPRA ]]/sony26[[#This Row],[BARRAS]])</f>
        <v>9.1</v>
      </c>
      <c r="K14">
        <f>SUMIF(entradas26[CODIGO],sony26[[#This Row],[CODIGO ]],entradas26[[CAN JUEGOS ]])</f>
        <v>20</v>
      </c>
      <c r="L14">
        <f>SUMIF(entradas26[CODIGO],sony26[[#This Row],[CODIGO ]],entradas26[CAN BARRAS])</f>
        <v>20</v>
      </c>
      <c r="M14">
        <f>SUMIF(salidas26[[CODIGO ]],sony26[[#This Row],[CODIGO ]],salidas26[[CANT JUEGOS ]])</f>
        <v>13</v>
      </c>
      <c r="N14">
        <f>SUMIF(salidas26[[CODIGO ]],sony26[[#This Row],[CODIGO ]],salidas26[CANT BARRAS])</f>
        <v>24</v>
      </c>
      <c r="O14">
        <f>(sony26[[#This Row],["J"PRECIO COMPRA ]]*sony26[[#This Row],[STOCK JUEGOS]])</f>
        <v>1729</v>
      </c>
      <c r="P14">
        <f>(sony26[[#This Row],["J" PRECIO VENTA ]]*sony26[[#This Row],[STOCK JUEGOS]])</f>
        <v>3800</v>
      </c>
      <c r="Q14">
        <f>(sony26[[#This Row],["B"PRECIO COMPRA]]*sony26[[#This Row],[STOCK BARRAS]])</f>
        <v>0</v>
      </c>
      <c r="R14">
        <f>(sony26[[#This Row],["B"PRECIO VENTA ]]*sony26[[#This Row],[STOCK BARRAS]])</f>
        <v>0</v>
      </c>
      <c r="S14" s="28">
        <v>12</v>
      </c>
      <c r="T14" s="28">
        <v>4</v>
      </c>
      <c r="U14">
        <v>3.8</v>
      </c>
    </row>
    <row r="15" spans="1:22">
      <c r="A15">
        <v>11</v>
      </c>
      <c r="B15">
        <v>5021</v>
      </c>
      <c r="C15" s="18" t="s">
        <v>314</v>
      </c>
      <c r="D15">
        <f>(sony26[[#This Row],[CANTIDAD INICIAL JUEGO ]]+sony26[[#This Row],[ENTRADAS JUEGOS ]]-sony26[[#This Row],[SALIDAS JUEGOS]])</f>
        <v>19</v>
      </c>
      <c r="E15">
        <f>(sony26[[#This Row],[CANTIDAD INICIAL BARRAS]]+sony26[[#This Row],[ENTRADAS BARRAS]]-sony26[[#This Row],[SALIDA BARRAS]])</f>
        <v>0</v>
      </c>
      <c r="F15" s="35">
        <v>150</v>
      </c>
      <c r="G15" s="38">
        <v>29</v>
      </c>
      <c r="H15" s="18">
        <v>1</v>
      </c>
      <c r="I15">
        <f>(sony26[[#This Row],["J" PRECIO VENTA ]]/sony26[[#This Row],[BARRAS]])</f>
        <v>150</v>
      </c>
      <c r="J15">
        <f>(sony26[[#This Row],["J"PRECIO COMPRA ]]/sony26[[#This Row],[BARRAS]])</f>
        <v>29</v>
      </c>
      <c r="K15">
        <f>SUMIF(entradas26[CODIGO],sony26[[#This Row],[CODIGO ]],entradas26[[CAN JUEGOS ]])</f>
        <v>20</v>
      </c>
      <c r="L15">
        <f>SUMIF(entradas26[CODIGO],sony26[[#This Row],[CODIGO ]],entradas26[CAN BARRAS])</f>
        <v>0</v>
      </c>
      <c r="M15">
        <f>SUMIF(salidas26[[CODIGO ]],sony26[[#This Row],[CODIGO ]],salidas26[[CANT JUEGOS ]])</f>
        <v>1</v>
      </c>
      <c r="N15">
        <f>SUMIF(salidas26[[CODIGO ]],sony26[[#This Row],[CODIGO ]],salidas26[CANT BARRAS])</f>
        <v>0</v>
      </c>
      <c r="O15">
        <f>(sony26[[#This Row],["J"PRECIO COMPRA ]]*sony26[[#This Row],[STOCK JUEGOS]])</f>
        <v>551</v>
      </c>
      <c r="P15">
        <f>(sony26[[#This Row],["J" PRECIO VENTA ]]*sony26[[#This Row],[STOCK JUEGOS]])</f>
        <v>2850</v>
      </c>
      <c r="Q15">
        <f>(sony26[[#This Row],["B"PRECIO COMPRA]]*sony26[[#This Row],[STOCK BARRAS]])</f>
        <v>0</v>
      </c>
      <c r="R15">
        <f>(sony26[[#This Row],["B"PRECIO VENTA ]]*sony26[[#This Row],[STOCK BARRAS]])</f>
        <v>0</v>
      </c>
      <c r="U15">
        <v>1.5</v>
      </c>
      <c r="V15" t="s">
        <v>753</v>
      </c>
    </row>
    <row r="16" spans="1:22">
      <c r="A16">
        <v>12</v>
      </c>
      <c r="B16">
        <v>5022</v>
      </c>
      <c r="C16" s="50" t="s">
        <v>315</v>
      </c>
      <c r="D16">
        <f>(sony26[[#This Row],[CANTIDAD INICIAL JUEGO ]]+sony26[[#This Row],[ENTRADAS JUEGOS ]]-sony26[[#This Row],[SALIDAS JUEGOS]])</f>
        <v>1</v>
      </c>
      <c r="E16">
        <f>(sony26[[#This Row],[CANTIDAD INICIAL BARRAS]]+sony26[[#This Row],[ENTRADAS BARRAS]]-sony26[[#This Row],[SALIDA BARRAS]])</f>
        <v>0</v>
      </c>
      <c r="F16" s="35">
        <v>140</v>
      </c>
      <c r="G16" s="18">
        <v>60</v>
      </c>
      <c r="H16" s="18">
        <v>1</v>
      </c>
      <c r="I16">
        <f>(sony26[[#This Row],["J" PRECIO VENTA ]]/sony26[[#This Row],[BARRAS]])</f>
        <v>140</v>
      </c>
      <c r="J16">
        <f>(sony26[[#This Row],["J"PRECIO COMPRA ]]/sony26[[#This Row],[BARRAS]])</f>
        <v>60</v>
      </c>
      <c r="K16">
        <f>SUMIF(entradas26[CODIGO],sony26[[#This Row],[CODIGO ]],entradas26[[CAN JUEGOS ]])</f>
        <v>0</v>
      </c>
      <c r="L16">
        <f>SUMIF(entradas26[CODIGO],sony26[[#This Row],[CODIGO ]],entradas26[CAN BARRAS])</f>
        <v>0</v>
      </c>
      <c r="M16">
        <f>SUMIF(salidas26[[CODIGO ]],sony26[[#This Row],[CODIGO ]],salidas26[[CANT JUEGOS ]])</f>
        <v>1</v>
      </c>
      <c r="N16">
        <f>SUMIF(salidas26[[CODIGO ]],sony26[[#This Row],[CODIGO ]],salidas26[CANT BARRAS])</f>
        <v>0</v>
      </c>
      <c r="O16">
        <f>(sony26[[#This Row],["J"PRECIO COMPRA ]]*sony26[[#This Row],[STOCK JUEGOS]])</f>
        <v>60</v>
      </c>
      <c r="P16">
        <f>(sony26[[#This Row],["J" PRECIO VENTA ]]*sony26[[#This Row],[STOCK JUEGOS]])</f>
        <v>140</v>
      </c>
      <c r="Q16">
        <f>(sony26[[#This Row],["B"PRECIO COMPRA]]*sony26[[#This Row],[STOCK BARRAS]])</f>
        <v>0</v>
      </c>
      <c r="R16">
        <f>(sony26[[#This Row],["B"PRECIO VENTA ]]*sony26[[#This Row],[STOCK BARRAS]])</f>
        <v>0</v>
      </c>
      <c r="S16" s="28">
        <v>2</v>
      </c>
      <c r="T16" s="28"/>
    </row>
    <row r="17" spans="1:22">
      <c r="A17">
        <v>13</v>
      </c>
      <c r="B17">
        <v>5024</v>
      </c>
      <c r="C17" s="18" t="s">
        <v>316</v>
      </c>
      <c r="D17">
        <f>(sony26[[#This Row],[CANTIDAD INICIAL JUEGO ]]+sony26[[#This Row],[ENTRADAS JUEGOS ]]-sony26[[#This Row],[SALIDAS JUEGOS]])</f>
        <v>22</v>
      </c>
      <c r="E17">
        <f>(sony26[[#This Row],[CANTIDAD INICIAL BARRAS]]+sony26[[#This Row],[ENTRADAS BARRAS]]-sony26[[#This Row],[SALIDA BARRAS]])</f>
        <v>0</v>
      </c>
      <c r="F17" s="35">
        <v>150</v>
      </c>
      <c r="G17" s="18">
        <v>47</v>
      </c>
      <c r="H17" s="18">
        <v>1</v>
      </c>
      <c r="I17">
        <f>(sony26[[#This Row],["J" PRECIO VENTA ]]/sony26[[#This Row],[BARRAS]])</f>
        <v>150</v>
      </c>
      <c r="J17">
        <f>(sony26[[#This Row],["J"PRECIO COMPRA ]]/sony26[[#This Row],[BARRAS]])</f>
        <v>47</v>
      </c>
      <c r="K17">
        <f>SUMIF(entradas26[CODIGO],sony26[[#This Row],[CODIGO ]],entradas26[[CAN JUEGOS ]])</f>
        <v>0</v>
      </c>
      <c r="L17">
        <f>SUMIF(entradas26[CODIGO],sony26[[#This Row],[CODIGO ]],entradas26[CAN BARRAS])</f>
        <v>0</v>
      </c>
      <c r="M17">
        <f>SUMIF(salidas26[[CODIGO ]],sony26[[#This Row],[CODIGO ]],salidas26[[CANT JUEGOS ]])</f>
        <v>0</v>
      </c>
      <c r="N17">
        <f>SUMIF(salidas26[[CODIGO ]],sony26[[#This Row],[CODIGO ]],salidas26[CANT BARRAS])</f>
        <v>0</v>
      </c>
      <c r="O17">
        <f>(sony26[[#This Row],["J"PRECIO COMPRA ]]*sony26[[#This Row],[STOCK JUEGOS]])</f>
        <v>1034</v>
      </c>
      <c r="P17">
        <f>(sony26[[#This Row],["J" PRECIO VENTA ]]*sony26[[#This Row],[STOCK JUEGOS]])</f>
        <v>3300</v>
      </c>
      <c r="Q17">
        <f>(sony26[[#This Row],["B"PRECIO COMPRA]]*sony26[[#This Row],[STOCK BARRAS]])</f>
        <v>0</v>
      </c>
      <c r="R17">
        <f>(sony26[[#This Row],["B"PRECIO VENTA ]]*sony26[[#This Row],[STOCK BARRAS]])</f>
        <v>0</v>
      </c>
      <c r="S17" s="28">
        <v>22</v>
      </c>
      <c r="T17" s="28"/>
    </row>
    <row r="18" spans="1:22">
      <c r="A18">
        <v>14</v>
      </c>
      <c r="B18">
        <v>5025</v>
      </c>
      <c r="C18" s="50" t="s">
        <v>317</v>
      </c>
      <c r="D18">
        <f>(sony26[[#This Row],[CANTIDAD INICIAL JUEGO ]]+sony26[[#This Row],[ENTRADAS JUEGOS ]]-sony26[[#This Row],[SALIDAS JUEGOS]])</f>
        <v>15</v>
      </c>
      <c r="E18">
        <f>(sony26[[#This Row],[CANTIDAD INICIAL BARRAS]]+sony26[[#This Row],[ENTRADAS BARRAS]]-sony26[[#This Row],[SALIDA BARRAS]])</f>
        <v>0</v>
      </c>
      <c r="F18" s="35">
        <v>150</v>
      </c>
      <c r="G18" s="18">
        <v>76</v>
      </c>
      <c r="H18" s="18">
        <v>2</v>
      </c>
      <c r="I18">
        <f>(sony26[[#This Row],["J" PRECIO VENTA ]]/sony26[[#This Row],[BARRAS]])</f>
        <v>75</v>
      </c>
      <c r="J18">
        <f>(sony26[[#This Row],["J"PRECIO COMPRA ]]/sony26[[#This Row],[BARRAS]])</f>
        <v>38</v>
      </c>
      <c r="K18">
        <f>SUMIF(entradas26[CODIGO],sony26[[#This Row],[CODIGO ]],entradas26[[CAN JUEGOS ]])</f>
        <v>0</v>
      </c>
      <c r="L18">
        <f>SUMIF(entradas26[CODIGO],sony26[[#This Row],[CODIGO ]],entradas26[CAN BARRAS])</f>
        <v>0</v>
      </c>
      <c r="M18">
        <f>SUMIF(salidas26[[CODIGO ]],sony26[[#This Row],[CODIGO ]],salidas26[[CANT JUEGOS ]])</f>
        <v>2</v>
      </c>
      <c r="N18">
        <f>SUMIF(salidas26[[CODIGO ]],sony26[[#This Row],[CODIGO ]],salidas26[CANT BARRAS])</f>
        <v>0</v>
      </c>
      <c r="O18">
        <f>(sony26[[#This Row],["J"PRECIO COMPRA ]]*sony26[[#This Row],[STOCK JUEGOS]])</f>
        <v>1140</v>
      </c>
      <c r="P18">
        <f>(sony26[[#This Row],["J" PRECIO VENTA ]]*sony26[[#This Row],[STOCK JUEGOS]])</f>
        <v>2250</v>
      </c>
      <c r="Q18">
        <f>(sony26[[#This Row],["B"PRECIO COMPRA]]*sony26[[#This Row],[STOCK BARRAS]])</f>
        <v>0</v>
      </c>
      <c r="R18">
        <f>(sony26[[#This Row],["B"PRECIO VENTA ]]*sony26[[#This Row],[STOCK BARRAS]])</f>
        <v>0</v>
      </c>
      <c r="S18" s="28">
        <v>17</v>
      </c>
      <c r="T18" s="28"/>
    </row>
    <row r="19" spans="1:22">
      <c r="A19">
        <v>15</v>
      </c>
      <c r="B19">
        <v>5026</v>
      </c>
      <c r="C19" s="50" t="s">
        <v>318</v>
      </c>
      <c r="D19">
        <f>(sony26[[#This Row],[CANTIDAD INICIAL JUEGO ]]+sony26[[#This Row],[ENTRADAS JUEGOS ]]-sony26[[#This Row],[SALIDAS JUEGOS]])</f>
        <v>2</v>
      </c>
      <c r="E19">
        <f>(sony26[[#This Row],[CANTIDAD INICIAL BARRAS]]+sony26[[#This Row],[ENTRADAS BARRAS]]-sony26[[#This Row],[SALIDA BARRAS]])</f>
        <v>0</v>
      </c>
      <c r="F19" s="35">
        <v>240</v>
      </c>
      <c r="G19" s="18">
        <v>220</v>
      </c>
      <c r="H19" s="18">
        <v>12</v>
      </c>
      <c r="I19">
        <f>(sony26[[#This Row],["J" PRECIO VENTA ]]/sony26[[#This Row],[BARRAS]])</f>
        <v>20</v>
      </c>
      <c r="J19">
        <f>(sony26[[#This Row],["J"PRECIO COMPRA ]]/sony26[[#This Row],[BARRAS]])</f>
        <v>18.333333333333332</v>
      </c>
      <c r="K19">
        <f>SUMIF(entradas26[CODIGO],sony26[[#This Row],[CODIGO ]],entradas26[[CAN JUEGOS ]])</f>
        <v>0</v>
      </c>
      <c r="L19">
        <f>SUMIF(entradas26[CODIGO],sony26[[#This Row],[CODIGO ]],entradas26[CAN BARRAS])</f>
        <v>0</v>
      </c>
      <c r="M19">
        <f>SUMIF(salidas26[[CODIGO ]],sony26[[#This Row],[CODIGO ]],salidas26[[CANT JUEGOS ]])</f>
        <v>0</v>
      </c>
      <c r="N19">
        <f>SUMIF(salidas26[[CODIGO ]],sony26[[#This Row],[CODIGO ]],salidas26[CANT BARRAS])</f>
        <v>0</v>
      </c>
      <c r="O19">
        <f>(sony26[[#This Row],["J"PRECIO COMPRA ]]*sony26[[#This Row],[STOCK JUEGOS]])</f>
        <v>440</v>
      </c>
      <c r="P19">
        <f>(sony26[[#This Row],["J" PRECIO VENTA ]]*sony26[[#This Row],[STOCK JUEGOS]])</f>
        <v>480</v>
      </c>
      <c r="Q19">
        <f>(sony26[[#This Row],["B"PRECIO COMPRA]]*sony26[[#This Row],[STOCK BARRAS]])</f>
        <v>0</v>
      </c>
      <c r="R19">
        <f>(sony26[[#This Row],["B"PRECIO VENTA ]]*sony26[[#This Row],[STOCK BARRAS]])</f>
        <v>0</v>
      </c>
      <c r="S19" s="28">
        <v>2</v>
      </c>
      <c r="T19" s="28"/>
    </row>
    <row r="20" spans="1:22">
      <c r="A20">
        <v>16</v>
      </c>
      <c r="B20">
        <v>5027</v>
      </c>
      <c r="C20" s="18" t="s">
        <v>319</v>
      </c>
      <c r="D20">
        <f>(sony26[[#This Row],[CANTIDAD INICIAL JUEGO ]]+sony26[[#This Row],[ENTRADAS JUEGOS ]]-sony26[[#This Row],[SALIDAS JUEGOS]])</f>
        <v>18</v>
      </c>
      <c r="E20">
        <f>(sony26[[#This Row],[CANTIDAD INICIAL BARRAS]]+sony26[[#This Row],[ENTRADAS BARRAS]]-sony26[[#This Row],[SALIDA BARRAS]])</f>
        <v>0</v>
      </c>
      <c r="F20" s="35">
        <v>150</v>
      </c>
      <c r="G20" s="18">
        <v>42</v>
      </c>
      <c r="H20" s="18">
        <v>1</v>
      </c>
      <c r="I20">
        <f>(sony26[[#This Row],["J" PRECIO VENTA ]]/sony26[[#This Row],[BARRAS]])</f>
        <v>150</v>
      </c>
      <c r="J20">
        <f>(sony26[[#This Row],["J"PRECIO COMPRA ]]/sony26[[#This Row],[BARRAS]])</f>
        <v>42</v>
      </c>
      <c r="K20">
        <f>SUMIF(entradas26[CODIGO],sony26[[#This Row],[CODIGO ]],entradas26[[CAN JUEGOS ]])</f>
        <v>0</v>
      </c>
      <c r="L20">
        <f>SUMIF(entradas26[CODIGO],sony26[[#This Row],[CODIGO ]],entradas26[CAN BARRAS])</f>
        <v>0</v>
      </c>
      <c r="M20">
        <f>SUMIF(salidas26[[CODIGO ]],sony26[[#This Row],[CODIGO ]],salidas26[[CANT JUEGOS ]])</f>
        <v>2</v>
      </c>
      <c r="N20">
        <f>SUMIF(salidas26[[CODIGO ]],sony26[[#This Row],[CODIGO ]],salidas26[CANT BARRAS])</f>
        <v>0</v>
      </c>
      <c r="O20">
        <f>(sony26[[#This Row],["J"PRECIO COMPRA ]]*sony26[[#This Row],[STOCK JUEGOS]])</f>
        <v>756</v>
      </c>
      <c r="P20">
        <f>(sony26[[#This Row],["J" PRECIO VENTA ]]*sony26[[#This Row],[STOCK JUEGOS]])</f>
        <v>2700</v>
      </c>
      <c r="Q20">
        <f>(sony26[[#This Row],["B"PRECIO COMPRA]]*sony26[[#This Row],[STOCK BARRAS]])</f>
        <v>0</v>
      </c>
      <c r="R20">
        <f>(sony26[[#This Row],["B"PRECIO VENTA ]]*sony26[[#This Row],[STOCK BARRAS]])</f>
        <v>0</v>
      </c>
      <c r="S20" s="28">
        <v>20</v>
      </c>
      <c r="T20" s="28"/>
    </row>
    <row r="21" spans="1:22" s="18" customFormat="1">
      <c r="A21" s="18">
        <v>29</v>
      </c>
      <c r="B21" s="18">
        <v>5029</v>
      </c>
      <c r="C21" s="55" t="s">
        <v>320</v>
      </c>
      <c r="D21" s="18">
        <f>(sony26[[#This Row],[CANTIDAD INICIAL JUEGO ]]+sony26[[#This Row],[ENTRADAS JUEGOS ]]-sony26[[#This Row],[SALIDAS JUEGOS]])</f>
        <v>19</v>
      </c>
      <c r="E21" s="18">
        <f>(sony26[[#This Row],[CANTIDAD INICIAL BARRAS]]+sony26[[#This Row],[ENTRADAS BARRAS]]-sony26[[#This Row],[SALIDA BARRAS]])</f>
        <v>0</v>
      </c>
      <c r="F21" s="45">
        <v>200</v>
      </c>
      <c r="G21" s="18">
        <v>106</v>
      </c>
      <c r="H21" s="18">
        <v>1</v>
      </c>
      <c r="I21" s="18">
        <f>(sony26[[#This Row],["J" PRECIO VENTA ]]/sony26[[#This Row],[BARRAS]])</f>
        <v>200</v>
      </c>
      <c r="J21" s="18">
        <f>(sony26[[#This Row],["J"PRECIO COMPRA ]]/sony26[[#This Row],[BARRAS]])</f>
        <v>106</v>
      </c>
      <c r="K21" s="18">
        <f>SUMIF(entradas26[CODIGO],sony26[[#This Row],[CODIGO ]],entradas26[[CAN JUEGOS ]])</f>
        <v>20</v>
      </c>
      <c r="L21" s="18">
        <f>SUMIF(entradas26[CODIGO],sony26[[#This Row],[CODIGO ]],entradas26[CAN BARRAS])</f>
        <v>0</v>
      </c>
      <c r="M21" s="18">
        <f>SUMIF(salidas26[[CODIGO ]],sony26[[#This Row],[CODIGO ]],salidas26[[CANT JUEGOS ]])</f>
        <v>1</v>
      </c>
      <c r="N21" s="18">
        <f>SUMIF(salidas26[[CODIGO ]],sony26[[#This Row],[CODIGO ]],salidas26[CANT BARRAS])</f>
        <v>0</v>
      </c>
      <c r="O21" s="18">
        <f>(sony26[[#This Row],["J"PRECIO COMPRA ]]*sony26[[#This Row],[STOCK JUEGOS]])</f>
        <v>2014</v>
      </c>
      <c r="P21" s="18">
        <f>(sony26[[#This Row],["J" PRECIO VENTA ]]*sony26[[#This Row],[STOCK JUEGOS]])</f>
        <v>3800</v>
      </c>
      <c r="Q21" s="18">
        <f>(sony26[[#This Row],["B"PRECIO COMPRA]]*sony26[[#This Row],[STOCK BARRAS]])</f>
        <v>0</v>
      </c>
      <c r="R21" s="18">
        <f>(sony26[[#This Row],["B"PRECIO VENTA ]]*sony26[[#This Row],[STOCK BARRAS]])</f>
        <v>0</v>
      </c>
      <c r="U21" s="18">
        <v>5.14</v>
      </c>
      <c r="V21" s="18" t="s">
        <v>321</v>
      </c>
    </row>
    <row r="22" spans="1:22">
      <c r="A22">
        <v>17</v>
      </c>
      <c r="B22">
        <v>5028</v>
      </c>
      <c r="C22" s="50" t="s">
        <v>322</v>
      </c>
      <c r="D22">
        <f>(sony26[[#This Row],[CANTIDAD INICIAL JUEGO ]]+sony26[[#This Row],[ENTRADAS JUEGOS ]]-sony26[[#This Row],[SALIDAS JUEGOS]])</f>
        <v>17</v>
      </c>
      <c r="E22">
        <f>(sony26[[#This Row],[CANTIDAD INICIAL BARRAS]]+sony26[[#This Row],[ENTRADAS BARRAS]]-sony26[[#This Row],[SALIDA BARRAS]])</f>
        <v>0</v>
      </c>
      <c r="F22" s="35">
        <v>250</v>
      </c>
      <c r="G22" s="18">
        <v>79</v>
      </c>
      <c r="H22" s="18">
        <v>7</v>
      </c>
      <c r="I22">
        <f>(sony26[[#This Row],["J" PRECIO VENTA ]]/sony26[[#This Row],[BARRAS]])</f>
        <v>35.714285714285715</v>
      </c>
      <c r="J22">
        <f>(sony26[[#This Row],["J"PRECIO COMPRA ]]/sony26[[#This Row],[BARRAS]])</f>
        <v>11.285714285714286</v>
      </c>
      <c r="K22">
        <f>SUMIF(entradas26[CODIGO],sony26[[#This Row],[CODIGO ]],entradas26[[CAN JUEGOS ]])</f>
        <v>0</v>
      </c>
      <c r="L22">
        <f>SUMIF(entradas26[CODIGO],sony26[[#This Row],[CODIGO ]],entradas26[CAN BARRAS])</f>
        <v>0</v>
      </c>
      <c r="M22">
        <f>SUMIF(salidas26[[CODIGO ]],sony26[[#This Row],[CODIGO ]],salidas26[[CANT JUEGOS ]])</f>
        <v>1</v>
      </c>
      <c r="N22">
        <f>SUMIF(salidas26[[CODIGO ]],sony26[[#This Row],[CODIGO ]],salidas26[CANT BARRAS])</f>
        <v>0</v>
      </c>
      <c r="O22">
        <f>(sony26[[#This Row],["J"PRECIO COMPRA ]]*sony26[[#This Row],[STOCK JUEGOS]])</f>
        <v>1343</v>
      </c>
      <c r="P22">
        <f>(sony26[[#This Row],["J" PRECIO VENTA ]]*sony26[[#This Row],[STOCK JUEGOS]])</f>
        <v>4250</v>
      </c>
      <c r="Q22">
        <f>(sony26[[#This Row],["B"PRECIO COMPRA]]*sony26[[#This Row],[STOCK BARRAS]])</f>
        <v>0</v>
      </c>
      <c r="R22">
        <f>(sony26[[#This Row],["B"PRECIO VENTA ]]*sony26[[#This Row],[STOCK BARRAS]])</f>
        <v>0</v>
      </c>
      <c r="S22" s="28">
        <v>18</v>
      </c>
      <c r="T22" s="28"/>
    </row>
    <row r="23" spans="1:22">
      <c r="A23">
        <v>18</v>
      </c>
      <c r="B23">
        <v>5030</v>
      </c>
      <c r="C23" s="18" t="s">
        <v>323</v>
      </c>
      <c r="D23">
        <f>(sony26[[#This Row],[CANTIDAD INICIAL JUEGO ]]+sony26[[#This Row],[ENTRADAS JUEGOS ]]-sony26[[#This Row],[SALIDAS JUEGOS]])</f>
        <v>15</v>
      </c>
      <c r="E23">
        <f>(sony26[[#This Row],[CANTIDAD INICIAL BARRAS]]+sony26[[#This Row],[ENTRADAS BARRAS]]-sony26[[#This Row],[SALIDA BARRAS]])</f>
        <v>0</v>
      </c>
      <c r="F23" s="35">
        <v>240</v>
      </c>
      <c r="G23" s="18">
        <v>164</v>
      </c>
      <c r="H23" s="18">
        <v>8</v>
      </c>
      <c r="I23">
        <f>(sony26[[#This Row],["J" PRECIO VENTA ]]/sony26[[#This Row],[BARRAS]])</f>
        <v>30</v>
      </c>
      <c r="J23">
        <f>(sony26[[#This Row],["J"PRECIO COMPRA ]]/sony26[[#This Row],[BARRAS]])</f>
        <v>20.5</v>
      </c>
      <c r="K23">
        <f>SUMIF(entradas26[CODIGO],sony26[[#This Row],[CODIGO ]],entradas26[[CAN JUEGOS ]])</f>
        <v>0</v>
      </c>
      <c r="L23">
        <f>SUMIF(entradas26[CODIGO],sony26[[#This Row],[CODIGO ]],entradas26[CAN BARRAS])</f>
        <v>0</v>
      </c>
      <c r="M23">
        <f>SUMIF(salidas26[[CODIGO ]],sony26[[#This Row],[CODIGO ]],salidas26[[CANT JUEGOS ]])</f>
        <v>2</v>
      </c>
      <c r="N23">
        <f>SUMIF(salidas26[[CODIGO ]],sony26[[#This Row],[CODIGO ]],salidas26[CANT BARRAS])</f>
        <v>0</v>
      </c>
      <c r="O23">
        <f>(sony26[[#This Row],["J"PRECIO COMPRA ]]*sony26[[#This Row],[STOCK JUEGOS]])</f>
        <v>2460</v>
      </c>
      <c r="P23">
        <f>(sony26[[#This Row],["J" PRECIO VENTA ]]*sony26[[#This Row],[STOCK JUEGOS]])</f>
        <v>3600</v>
      </c>
      <c r="Q23">
        <f>(sony26[[#This Row],["B"PRECIO COMPRA]]*sony26[[#This Row],[STOCK BARRAS]])</f>
        <v>0</v>
      </c>
      <c r="R23">
        <f>(sony26[[#This Row],["B"PRECIO VENTA ]]*sony26[[#This Row],[STOCK BARRAS]])</f>
        <v>0</v>
      </c>
      <c r="S23" s="28">
        <v>17</v>
      </c>
      <c r="T23" s="28"/>
    </row>
    <row r="24" spans="1:22">
      <c r="A24">
        <v>19</v>
      </c>
      <c r="B24">
        <v>5031</v>
      </c>
      <c r="C24" s="18" t="s">
        <v>324</v>
      </c>
      <c r="D24">
        <f>(sony26[[#This Row],[CANTIDAD INICIAL JUEGO ]]+sony26[[#This Row],[ENTRADAS JUEGOS ]]-sony26[[#This Row],[SALIDAS JUEGOS]])</f>
        <v>32</v>
      </c>
      <c r="E24">
        <f>(sony26[[#This Row],[CANTIDAD INICIAL BARRAS]]+sony26[[#This Row],[ENTRADAS BARRAS]]-sony26[[#This Row],[SALIDA BARRAS]])</f>
        <v>0</v>
      </c>
      <c r="F24" s="45">
        <v>250</v>
      </c>
      <c r="G24" s="18">
        <v>120</v>
      </c>
      <c r="H24" s="18">
        <v>2</v>
      </c>
      <c r="I24">
        <f>(sony26[[#This Row],["J" PRECIO VENTA ]]/sony26[[#This Row],[BARRAS]])</f>
        <v>125</v>
      </c>
      <c r="J24">
        <f>(sony26[[#This Row],["J"PRECIO COMPRA ]]/sony26[[#This Row],[BARRAS]])</f>
        <v>60</v>
      </c>
      <c r="K24">
        <f>SUMIF(entradas26[CODIGO],sony26[[#This Row],[CODIGO ]],entradas26[[CAN JUEGOS ]])</f>
        <v>0</v>
      </c>
      <c r="L24">
        <f>SUMIF(entradas26[CODIGO],sony26[[#This Row],[CODIGO ]],entradas26[CAN BARRAS])</f>
        <v>0</v>
      </c>
      <c r="M24">
        <f>SUMIF(salidas26[[CODIGO ]],sony26[[#This Row],[CODIGO ]],salidas26[[CANT JUEGOS ]])</f>
        <v>8</v>
      </c>
      <c r="N24">
        <f>SUMIF(salidas26[[CODIGO ]],sony26[[#This Row],[CODIGO ]],salidas26[CANT BARRAS])</f>
        <v>0</v>
      </c>
      <c r="O24">
        <f>(sony26[[#This Row],["J"PRECIO COMPRA ]]*sony26[[#This Row],[STOCK JUEGOS]])</f>
        <v>3840</v>
      </c>
      <c r="P24">
        <f>(sony26[[#This Row],["J" PRECIO VENTA ]]*sony26[[#This Row],[STOCK JUEGOS]])</f>
        <v>8000</v>
      </c>
      <c r="Q24">
        <f>(sony26[[#This Row],["B"PRECIO COMPRA]]*sony26[[#This Row],[STOCK BARRAS]])</f>
        <v>0</v>
      </c>
      <c r="R24">
        <f>(sony26[[#This Row],["B"PRECIO VENTA ]]*sony26[[#This Row],[STOCK BARRAS]])</f>
        <v>0</v>
      </c>
      <c r="S24" s="28">
        <v>40</v>
      </c>
      <c r="T24" s="28"/>
      <c r="U24">
        <v>5.2</v>
      </c>
    </row>
    <row r="25" spans="1:22">
      <c r="B25" t="s">
        <v>930</v>
      </c>
      <c r="C25" s="55" t="s">
        <v>931</v>
      </c>
      <c r="D25">
        <f>(sony26[[#This Row],[CANTIDAD INICIAL JUEGO ]]+sony26[[#This Row],[ENTRADAS JUEGOS ]]-sony26[[#This Row],[SALIDAS JUEGOS]])</f>
        <v>10</v>
      </c>
      <c r="E25">
        <f>(sony26[[#This Row],[CANTIDAD INICIAL BARRAS]]+sony26[[#This Row],[ENTRADAS BARRAS]]-sony26[[#This Row],[SALIDA BARRAS]])</f>
        <v>0</v>
      </c>
      <c r="F25" s="35">
        <v>320</v>
      </c>
      <c r="G25" s="18">
        <v>150</v>
      </c>
      <c r="H25" s="18"/>
      <c r="I25" t="e">
        <f>(sony26[[#This Row],["J" PRECIO VENTA ]]/sony26[[#This Row],[BARRAS]])</f>
        <v>#DIV/0!</v>
      </c>
      <c r="J25" t="e">
        <f>(sony26[[#This Row],["J"PRECIO COMPRA ]]/sony26[[#This Row],[BARRAS]])</f>
        <v>#DIV/0!</v>
      </c>
      <c r="K25">
        <f>SUMIF(entradas26[CODIGO],sony26[[#This Row],[CODIGO ]],entradas26[[CAN JUEGOS ]])</f>
        <v>10</v>
      </c>
      <c r="L25">
        <f>SUMIF(entradas26[CODIGO],sony26[[#This Row],[CODIGO ]],entradas26[CAN BARRAS])</f>
        <v>0</v>
      </c>
      <c r="M25">
        <f>SUMIF(salidas26[[CODIGO ]],sony26[[#This Row],[CODIGO ]],salidas26[[CANT JUEGOS ]])</f>
        <v>0</v>
      </c>
      <c r="N25">
        <f>SUMIF(salidas26[[CODIGO ]],sony26[[#This Row],[CODIGO ]],salidas26[CANT BARRAS])</f>
        <v>0</v>
      </c>
      <c r="O25">
        <f>(sony26[[#This Row],["J"PRECIO COMPRA ]]*sony26[[#This Row],[STOCK JUEGOS]])</f>
        <v>1500</v>
      </c>
      <c r="P25">
        <f>(sony26[[#This Row],["J" PRECIO VENTA ]]*sony26[[#This Row],[STOCK JUEGOS]])</f>
        <v>3200</v>
      </c>
      <c r="Q25" t="e">
        <f>(sony26[[#This Row],["B"PRECIO COMPRA]]*sony26[[#This Row],[STOCK BARRAS]])</f>
        <v>#DIV/0!</v>
      </c>
      <c r="R25" t="e">
        <f>(sony26[[#This Row],["B"PRECIO VENTA ]]*sony26[[#This Row],[STOCK BARRAS]])</f>
        <v>#DIV/0!</v>
      </c>
      <c r="S25" s="28"/>
      <c r="T25" s="28"/>
      <c r="U25">
        <v>7.4</v>
      </c>
    </row>
    <row r="26" spans="1:22">
      <c r="A26">
        <v>20</v>
      </c>
      <c r="B26">
        <v>5032</v>
      </c>
      <c r="C26" s="51" t="s">
        <v>325</v>
      </c>
      <c r="D26">
        <f>(sony26[[#This Row],[CANTIDAD INICIAL JUEGO ]]+sony26[[#This Row],[ENTRADAS JUEGOS ]]-sony26[[#This Row],[SALIDAS JUEGOS]])</f>
        <v>4</v>
      </c>
      <c r="E26">
        <f>(sony26[[#This Row],[CANTIDAD INICIAL BARRAS]]+sony26[[#This Row],[ENTRADAS BARRAS]]-sony26[[#This Row],[SALIDA BARRAS]])</f>
        <v>0</v>
      </c>
      <c r="F26" s="35">
        <v>200</v>
      </c>
      <c r="G26" s="18">
        <v>82</v>
      </c>
      <c r="H26" s="18">
        <v>1</v>
      </c>
      <c r="I26">
        <f>(sony26[[#This Row],["J" PRECIO VENTA ]]/sony26[[#This Row],[BARRAS]])</f>
        <v>200</v>
      </c>
      <c r="J26">
        <f>(sony26[[#This Row],["J"PRECIO COMPRA ]]/sony26[[#This Row],[BARRAS]])</f>
        <v>82</v>
      </c>
      <c r="K26">
        <f>SUMIF(entradas26[CODIGO],sony26[[#This Row],[CODIGO ]],entradas26[[CAN JUEGOS ]])</f>
        <v>0</v>
      </c>
      <c r="L26">
        <f>SUMIF(entradas26[CODIGO],sony26[[#This Row],[CODIGO ]],entradas26[CAN BARRAS])</f>
        <v>0</v>
      </c>
      <c r="M26">
        <f>SUMIF(salidas26[[CODIGO ]],sony26[[#This Row],[CODIGO ]],salidas26[[CANT JUEGOS ]])</f>
        <v>0</v>
      </c>
      <c r="N26">
        <f>SUMIF(salidas26[[CODIGO ]],sony26[[#This Row],[CODIGO ]],salidas26[CANT BARRAS])</f>
        <v>0</v>
      </c>
      <c r="O26">
        <f>(sony26[[#This Row],["J"PRECIO COMPRA ]]*sony26[[#This Row],[STOCK JUEGOS]])</f>
        <v>328</v>
      </c>
      <c r="P26">
        <f>(sony26[[#This Row],["J" PRECIO VENTA ]]*sony26[[#This Row],[STOCK JUEGOS]])</f>
        <v>800</v>
      </c>
      <c r="Q26">
        <f>(sony26[[#This Row],["B"PRECIO COMPRA]]*sony26[[#This Row],[STOCK BARRAS]])</f>
        <v>0</v>
      </c>
      <c r="R26">
        <f>(sony26[[#This Row],["B"PRECIO VENTA ]]*sony26[[#This Row],[STOCK BARRAS]])</f>
        <v>0</v>
      </c>
      <c r="S26" s="28">
        <v>4</v>
      </c>
      <c r="T26" s="28"/>
    </row>
    <row r="27" spans="1:22">
      <c r="A27">
        <v>21</v>
      </c>
      <c r="B27">
        <v>5033</v>
      </c>
      <c r="C27" s="51" t="s">
        <v>326</v>
      </c>
      <c r="D27">
        <f>(sony26[[#This Row],[CANTIDAD INICIAL JUEGO ]]+sony26[[#This Row],[ENTRADAS JUEGOS ]]-sony26[[#This Row],[SALIDAS JUEGOS]])</f>
        <v>5</v>
      </c>
      <c r="E27">
        <f>(sony26[[#This Row],[CANTIDAD INICIAL BARRAS]]+sony26[[#This Row],[ENTRADAS BARRAS]]-sony26[[#This Row],[SALIDA BARRAS]])</f>
        <v>0</v>
      </c>
      <c r="F27" s="35">
        <v>200</v>
      </c>
      <c r="G27" s="18">
        <v>82</v>
      </c>
      <c r="H27" s="18">
        <v>1</v>
      </c>
      <c r="I27">
        <f>(sony26[[#This Row],["J" PRECIO VENTA ]]/sony26[[#This Row],[BARRAS]])</f>
        <v>200</v>
      </c>
      <c r="J27">
        <f>(sony26[[#This Row],["J"PRECIO COMPRA ]]/sony26[[#This Row],[BARRAS]])</f>
        <v>82</v>
      </c>
      <c r="K27">
        <f>SUMIF(entradas26[CODIGO],sony26[[#This Row],[CODIGO ]],entradas26[[CAN JUEGOS ]])</f>
        <v>0</v>
      </c>
      <c r="L27">
        <f>SUMIF(entradas26[CODIGO],sony26[[#This Row],[CODIGO ]],entradas26[CAN BARRAS])</f>
        <v>0</v>
      </c>
      <c r="M27">
        <f>SUMIF(salidas26[[CODIGO ]],sony26[[#This Row],[CODIGO ]],salidas26[[CANT JUEGOS ]])</f>
        <v>0</v>
      </c>
      <c r="N27">
        <f>SUMIF(salidas26[[CODIGO ]],sony26[[#This Row],[CODIGO ]],salidas26[CANT BARRAS])</f>
        <v>0</v>
      </c>
      <c r="O27">
        <f>(sony26[[#This Row],["J"PRECIO COMPRA ]]*sony26[[#This Row],[STOCK JUEGOS]])</f>
        <v>410</v>
      </c>
      <c r="P27">
        <f>(sony26[[#This Row],["J" PRECIO VENTA ]]*sony26[[#This Row],[STOCK JUEGOS]])</f>
        <v>1000</v>
      </c>
      <c r="Q27">
        <f>(sony26[[#This Row],["B"PRECIO COMPRA]]*sony26[[#This Row],[STOCK BARRAS]])</f>
        <v>0</v>
      </c>
      <c r="R27">
        <f>(sony26[[#This Row],["B"PRECIO VENTA ]]*sony26[[#This Row],[STOCK BARRAS]])</f>
        <v>0</v>
      </c>
      <c r="S27" s="28">
        <v>5</v>
      </c>
      <c r="T27" s="28"/>
    </row>
    <row r="28" spans="1:22">
      <c r="A28">
        <v>22</v>
      </c>
      <c r="B28">
        <v>5034</v>
      </c>
      <c r="C28" s="50" t="s">
        <v>327</v>
      </c>
      <c r="D28">
        <f>(sony26[[#This Row],[CANTIDAD INICIAL JUEGO ]]+sony26[[#This Row],[ENTRADAS JUEGOS ]]-sony26[[#This Row],[SALIDAS JUEGOS]])</f>
        <v>20</v>
      </c>
      <c r="E28">
        <f>(sony26[[#This Row],[CANTIDAD INICIAL BARRAS]]+sony26[[#This Row],[ENTRADAS BARRAS]]-sony26[[#This Row],[SALIDA BARRAS]])</f>
        <v>0</v>
      </c>
      <c r="F28" s="35">
        <v>240</v>
      </c>
      <c r="G28" s="18">
        <v>58</v>
      </c>
      <c r="H28" s="18">
        <v>2</v>
      </c>
      <c r="I28">
        <f>(sony26[[#This Row],["J" PRECIO VENTA ]]/sony26[[#This Row],[BARRAS]])</f>
        <v>120</v>
      </c>
      <c r="J28">
        <f>(sony26[[#This Row],["J"PRECIO COMPRA ]]/sony26[[#This Row],[BARRAS]])</f>
        <v>29</v>
      </c>
      <c r="K28">
        <f>SUMIF(entradas26[CODIGO],sony26[[#This Row],[CODIGO ]],entradas26[[CAN JUEGOS ]])</f>
        <v>0</v>
      </c>
      <c r="L28">
        <f>SUMIF(entradas26[CODIGO],sony26[[#This Row],[CODIGO ]],entradas26[CAN BARRAS])</f>
        <v>0</v>
      </c>
      <c r="M28">
        <f>SUMIF(salidas26[[CODIGO ]],sony26[[#This Row],[CODIGO ]],salidas26[[CANT JUEGOS ]])</f>
        <v>0</v>
      </c>
      <c r="N28">
        <f>SUMIF(salidas26[[CODIGO ]],sony26[[#This Row],[CODIGO ]],salidas26[CANT BARRAS])</f>
        <v>0</v>
      </c>
      <c r="O28">
        <f>(sony26[[#This Row],["J"PRECIO COMPRA ]]*sony26[[#This Row],[STOCK JUEGOS]])</f>
        <v>1160</v>
      </c>
      <c r="P28">
        <f>(sony26[[#This Row],["J" PRECIO VENTA ]]*sony26[[#This Row],[STOCK JUEGOS]])</f>
        <v>4800</v>
      </c>
      <c r="Q28">
        <f>(sony26[[#This Row],["B"PRECIO COMPRA]]*sony26[[#This Row],[STOCK BARRAS]])</f>
        <v>0</v>
      </c>
      <c r="R28">
        <f>(sony26[[#This Row],["B"PRECIO VENTA ]]*sony26[[#This Row],[STOCK BARRAS]])</f>
        <v>0</v>
      </c>
      <c r="S28" s="28">
        <v>20</v>
      </c>
      <c r="T28" s="28"/>
    </row>
    <row r="29" spans="1:22">
      <c r="A29">
        <v>23</v>
      </c>
      <c r="B29">
        <v>5035</v>
      </c>
      <c r="C29" s="50" t="s">
        <v>328</v>
      </c>
      <c r="D29">
        <f>(sony26[[#This Row],[CANTIDAD INICIAL JUEGO ]]+sony26[[#This Row],[ENTRADAS JUEGOS ]]-sony26[[#This Row],[SALIDAS JUEGOS]])</f>
        <v>20</v>
      </c>
      <c r="E29">
        <f>(sony26[[#This Row],[CANTIDAD INICIAL BARRAS]]+sony26[[#This Row],[ENTRADAS BARRAS]]-sony26[[#This Row],[SALIDA BARRAS]])</f>
        <v>1</v>
      </c>
      <c r="F29" s="35">
        <v>350</v>
      </c>
      <c r="G29" s="18">
        <v>79.5</v>
      </c>
      <c r="H29" s="18">
        <v>2</v>
      </c>
      <c r="I29">
        <f>(sony26[[#This Row],["J" PRECIO VENTA ]]/sony26[[#This Row],[BARRAS]])</f>
        <v>175</v>
      </c>
      <c r="J29">
        <f>(sony26[[#This Row],["J"PRECIO COMPRA ]]/sony26[[#This Row],[BARRAS]])</f>
        <v>39.75</v>
      </c>
      <c r="K29">
        <f>SUMIF(entradas26[CODIGO],sony26[[#This Row],[CODIGO ]],entradas26[[CAN JUEGOS ]])</f>
        <v>0</v>
      </c>
      <c r="L29">
        <f>SUMIF(entradas26[CODIGO],sony26[[#This Row],[CODIGO ]],entradas26[CAN BARRAS])</f>
        <v>0</v>
      </c>
      <c r="M29">
        <f>SUMIF(salidas26[[CODIGO ]],sony26[[#This Row],[CODIGO ]],salidas26[[CANT JUEGOS ]])</f>
        <v>0</v>
      </c>
      <c r="N29">
        <f>SUMIF(salidas26[[CODIGO ]],sony26[[#This Row],[CODIGO ]],salidas26[CANT BARRAS])</f>
        <v>0</v>
      </c>
      <c r="O29">
        <f>(sony26[[#This Row],["J"PRECIO COMPRA ]]*sony26[[#This Row],[STOCK JUEGOS]])</f>
        <v>1590</v>
      </c>
      <c r="P29">
        <f>(sony26[[#This Row],["J" PRECIO VENTA ]]*sony26[[#This Row],[STOCK JUEGOS]])</f>
        <v>7000</v>
      </c>
      <c r="Q29">
        <f>(sony26[[#This Row],["B"PRECIO COMPRA]]*sony26[[#This Row],[STOCK BARRAS]])</f>
        <v>39.75</v>
      </c>
      <c r="R29">
        <f>(sony26[[#This Row],["B"PRECIO VENTA ]]*sony26[[#This Row],[STOCK BARRAS]])</f>
        <v>175</v>
      </c>
      <c r="S29" s="28">
        <v>20</v>
      </c>
      <c r="T29" s="28">
        <v>1</v>
      </c>
    </row>
    <row r="30" spans="1:22">
      <c r="A30">
        <v>24</v>
      </c>
      <c r="B30">
        <v>5036</v>
      </c>
      <c r="C30" s="55" t="s">
        <v>329</v>
      </c>
      <c r="D30">
        <f>(sony26[[#This Row],[CANTIDAD INICIAL JUEGO ]]+sony26[[#This Row],[ENTRADAS JUEGOS ]]-sony26[[#This Row],[SALIDAS JUEGOS]])</f>
        <v>6</v>
      </c>
      <c r="E30">
        <f>(sony26[[#This Row],[CANTIDAD INICIAL BARRAS]]+sony26[[#This Row],[ENTRADAS BARRAS]]-sony26[[#This Row],[SALIDA BARRAS]])</f>
        <v>0</v>
      </c>
      <c r="F30" s="35">
        <v>320</v>
      </c>
      <c r="G30" s="18">
        <v>215</v>
      </c>
      <c r="H30" s="18">
        <v>10</v>
      </c>
      <c r="I30">
        <f>(sony26[[#This Row],["J" PRECIO VENTA ]]/sony26[[#This Row],[BARRAS]])</f>
        <v>32</v>
      </c>
      <c r="J30">
        <f>(sony26[[#This Row],["J"PRECIO COMPRA ]]/sony26[[#This Row],[BARRAS]])</f>
        <v>21.5</v>
      </c>
      <c r="K30">
        <f>SUMIF(entradas26[CODIGO],sony26[[#This Row],[CODIGO ]],entradas26[[CAN JUEGOS ]])</f>
        <v>0</v>
      </c>
      <c r="L30">
        <f>SUMIF(entradas26[CODIGO],sony26[[#This Row],[CODIGO ]],entradas26[CAN BARRAS])</f>
        <v>0</v>
      </c>
      <c r="M30">
        <f>SUMIF(salidas26[[CODIGO ]],sony26[[#This Row],[CODIGO ]],salidas26[[CANT JUEGOS ]])</f>
        <v>1</v>
      </c>
      <c r="N30">
        <f>SUMIF(salidas26[[CODIGO ]],sony26[[#This Row],[CODIGO ]],salidas26[CANT BARRAS])</f>
        <v>0</v>
      </c>
      <c r="O30">
        <f>(sony26[[#This Row],["J"PRECIO COMPRA ]]*sony26[[#This Row],[STOCK JUEGOS]])</f>
        <v>1290</v>
      </c>
      <c r="P30">
        <f>(sony26[[#This Row],["J" PRECIO VENTA ]]*sony26[[#This Row],[STOCK JUEGOS]])</f>
        <v>1920</v>
      </c>
      <c r="Q30">
        <f>(sony26[[#This Row],["B"PRECIO COMPRA]]*sony26[[#This Row],[STOCK BARRAS]])</f>
        <v>0</v>
      </c>
      <c r="R30">
        <f>(sony26[[#This Row],["B"PRECIO VENTA ]]*sony26[[#This Row],[STOCK BARRAS]])</f>
        <v>0</v>
      </c>
      <c r="S30" s="28">
        <v>7</v>
      </c>
      <c r="T30" s="28"/>
    </row>
    <row r="31" spans="1:22">
      <c r="A31">
        <v>25</v>
      </c>
      <c r="B31">
        <v>5038</v>
      </c>
      <c r="C31" s="18" t="s">
        <v>330</v>
      </c>
      <c r="D31">
        <f>(sony26[[#This Row],[CANTIDAD INICIAL JUEGO ]]+sony26[[#This Row],[ENTRADAS JUEGOS ]]-sony26[[#This Row],[SALIDAS JUEGOS]])</f>
        <v>15</v>
      </c>
      <c r="E31">
        <f>(sony26[[#This Row],[CANTIDAD INICIAL BARRAS]]+sony26[[#This Row],[ENTRADAS BARRAS]]-sony26[[#This Row],[SALIDA BARRAS]])</f>
        <v>0</v>
      </c>
      <c r="F31" s="45">
        <v>300</v>
      </c>
      <c r="G31" s="18">
        <v>88</v>
      </c>
      <c r="H31" s="18">
        <v>2</v>
      </c>
      <c r="I31">
        <f>(sony26[[#This Row],["J" PRECIO VENTA ]]/sony26[[#This Row],[BARRAS]])</f>
        <v>150</v>
      </c>
      <c r="J31">
        <f>(sony26[[#This Row],["J"PRECIO COMPRA ]]/sony26[[#This Row],[BARRAS]])</f>
        <v>44</v>
      </c>
      <c r="K31">
        <f>SUMIF(entradas26[CODIGO],sony26[[#This Row],[CODIGO ]],entradas26[[CAN JUEGOS ]])</f>
        <v>0</v>
      </c>
      <c r="L31">
        <f>SUMIF(entradas26[CODIGO],sony26[[#This Row],[CODIGO ]],entradas26[CAN BARRAS])</f>
        <v>0</v>
      </c>
      <c r="M31">
        <f>SUMIF(salidas26[[CODIGO ]],sony26[[#This Row],[CODIGO ]],salidas26[[CANT JUEGOS ]])</f>
        <v>5</v>
      </c>
      <c r="N31">
        <f>SUMIF(salidas26[[CODIGO ]],sony26[[#This Row],[CODIGO ]],salidas26[CANT BARRAS])</f>
        <v>0</v>
      </c>
      <c r="O31">
        <f>(sony26[[#This Row],["J"PRECIO COMPRA ]]*sony26[[#This Row],[STOCK JUEGOS]])</f>
        <v>1320</v>
      </c>
      <c r="P31">
        <f>(sony26[[#This Row],["J" PRECIO VENTA ]]*sony26[[#This Row],[STOCK JUEGOS]])</f>
        <v>4500</v>
      </c>
      <c r="Q31">
        <f>(sony26[[#This Row],["B"PRECIO COMPRA]]*sony26[[#This Row],[STOCK BARRAS]])</f>
        <v>0</v>
      </c>
      <c r="R31">
        <f>(sony26[[#This Row],["B"PRECIO VENTA ]]*sony26[[#This Row],[STOCK BARRAS]])</f>
        <v>0</v>
      </c>
      <c r="S31" s="28">
        <v>20</v>
      </c>
      <c r="T31" s="28"/>
    </row>
    <row r="32" spans="1:22">
      <c r="A32">
        <v>26</v>
      </c>
      <c r="B32">
        <v>5039</v>
      </c>
      <c r="C32" s="18" t="s">
        <v>331</v>
      </c>
      <c r="D32">
        <f>(sony26[[#This Row],[CANTIDAD INICIAL JUEGO ]]+sony26[[#This Row],[ENTRADAS JUEGOS ]]-sony26[[#This Row],[SALIDAS JUEGOS]])</f>
        <v>7</v>
      </c>
      <c r="E32">
        <f>(sony26[[#This Row],[CANTIDAD INICIAL BARRAS]]+sony26[[#This Row],[ENTRADAS BARRAS]]-sony26[[#This Row],[SALIDA BARRAS]])</f>
        <v>15</v>
      </c>
      <c r="F32" s="35">
        <v>450</v>
      </c>
      <c r="G32" s="18">
        <v>282</v>
      </c>
      <c r="H32" s="18">
        <v>16</v>
      </c>
      <c r="I32">
        <f>(sony26[[#This Row],["J" PRECIO VENTA ]]/sony26[[#This Row],[BARRAS]])</f>
        <v>28.125</v>
      </c>
      <c r="J32">
        <f>(sony26[[#This Row],["J"PRECIO COMPRA ]]/sony26[[#This Row],[BARRAS]])</f>
        <v>17.625</v>
      </c>
      <c r="K32">
        <f>SUMIF(entradas26[CODIGO],sony26[[#This Row],[CODIGO ]],entradas26[[CAN JUEGOS ]])</f>
        <v>0</v>
      </c>
      <c r="L32">
        <f>SUMIF(entradas26[CODIGO],sony26[[#This Row],[CODIGO ]],entradas26[CAN BARRAS])</f>
        <v>0</v>
      </c>
      <c r="M32">
        <f>SUMIF(salidas26[[CODIGO ]],sony26[[#This Row],[CODIGO ]],salidas26[[CANT JUEGOS ]])</f>
        <v>3</v>
      </c>
      <c r="N32">
        <f>SUMIF(salidas26[[CODIGO ]],sony26[[#This Row],[CODIGO ]],salidas26[CANT BARRAS])</f>
        <v>0</v>
      </c>
      <c r="O32">
        <f>(sony26[[#This Row],["J"PRECIO COMPRA ]]*sony26[[#This Row],[STOCK JUEGOS]])</f>
        <v>1974</v>
      </c>
      <c r="P32">
        <f>(sony26[[#This Row],["J" PRECIO VENTA ]]*sony26[[#This Row],[STOCK JUEGOS]])</f>
        <v>3150</v>
      </c>
      <c r="Q32">
        <f>(sony26[[#This Row],["B"PRECIO COMPRA]]*sony26[[#This Row],[STOCK BARRAS]])</f>
        <v>264.375</v>
      </c>
      <c r="R32">
        <f>(sony26[[#This Row],["B"PRECIO VENTA ]]*sony26[[#This Row],[STOCK BARRAS]])</f>
        <v>421.875</v>
      </c>
      <c r="S32" s="28">
        <v>10</v>
      </c>
      <c r="T32" s="28">
        <v>15</v>
      </c>
    </row>
    <row r="33" spans="1:20">
      <c r="A33">
        <v>27</v>
      </c>
      <c r="B33">
        <v>5040</v>
      </c>
      <c r="C33" s="18" t="s">
        <v>332</v>
      </c>
      <c r="D33">
        <f>(sony26[[#This Row],[CANTIDAD INICIAL JUEGO ]]+sony26[[#This Row],[ENTRADAS JUEGOS ]]-sony26[[#This Row],[SALIDAS JUEGOS]])</f>
        <v>10</v>
      </c>
      <c r="E33">
        <f>(sony26[[#This Row],[CANTIDAD INICIAL BARRAS]]+sony26[[#This Row],[ENTRADAS BARRAS]]-sony26[[#This Row],[SALIDA BARRAS]])</f>
        <v>0</v>
      </c>
      <c r="F33" s="35">
        <v>800</v>
      </c>
      <c r="G33" s="18">
        <v>435</v>
      </c>
      <c r="H33" s="18">
        <v>3</v>
      </c>
      <c r="I33">
        <f>(sony26[[#This Row],["J" PRECIO VENTA ]]/sony26[[#This Row],[BARRAS]])</f>
        <v>266.66666666666669</v>
      </c>
      <c r="J33">
        <f>(sony26[[#This Row],["J"PRECIO COMPRA ]]/sony26[[#This Row],[BARRAS]])</f>
        <v>145</v>
      </c>
      <c r="K33">
        <f>SUMIF(entradas26[CODIGO],sony26[[#This Row],[CODIGO ]],entradas26[[CAN JUEGOS ]])</f>
        <v>0</v>
      </c>
      <c r="L33">
        <f>SUMIF(entradas26[CODIGO],sony26[[#This Row],[CODIGO ]],entradas26[CAN BARRAS])</f>
        <v>0</v>
      </c>
      <c r="M33">
        <f>SUMIF(salidas26[[CODIGO ]],sony26[[#This Row],[CODIGO ]],salidas26[[CANT JUEGOS ]])</f>
        <v>0</v>
      </c>
      <c r="N33">
        <f>SUMIF(salidas26[[CODIGO ]],sony26[[#This Row],[CODIGO ]],salidas26[CANT BARRAS])</f>
        <v>0</v>
      </c>
      <c r="O33">
        <f>(sony26[[#This Row],["J"PRECIO COMPRA ]]*sony26[[#This Row],[STOCK JUEGOS]])</f>
        <v>4350</v>
      </c>
      <c r="P33">
        <f>(sony26[[#This Row],["J" PRECIO VENTA ]]*sony26[[#This Row],[STOCK JUEGOS]])</f>
        <v>8000</v>
      </c>
      <c r="Q33">
        <f>(sony26[[#This Row],["B"PRECIO COMPRA]]*sony26[[#This Row],[STOCK BARRAS]])</f>
        <v>0</v>
      </c>
      <c r="R33">
        <f>(sony26[[#This Row],["B"PRECIO VENTA ]]*sony26[[#This Row],[STOCK BARRAS]])</f>
        <v>0</v>
      </c>
      <c r="S33" s="28">
        <v>10</v>
      </c>
      <c r="T33" s="28"/>
    </row>
    <row r="34" spans="1:20">
      <c r="A34">
        <v>28</v>
      </c>
      <c r="B34">
        <v>5045</v>
      </c>
      <c r="C34" s="18" t="s">
        <v>333</v>
      </c>
      <c r="D34">
        <f>(sony26[[#This Row],[CANTIDAD INICIAL JUEGO ]]+sony26[[#This Row],[ENTRADAS JUEGOS ]]-sony26[[#This Row],[SALIDAS JUEGOS]])</f>
        <v>19</v>
      </c>
      <c r="E34">
        <f>(sony26[[#This Row],[CANTIDAD INICIAL BARRAS]]+sony26[[#This Row],[ENTRADAS BARRAS]]-sony26[[#This Row],[SALIDA BARRAS]])</f>
        <v>0</v>
      </c>
      <c r="F34" s="56">
        <v>600</v>
      </c>
      <c r="G34" s="18">
        <v>323</v>
      </c>
      <c r="H34" s="18">
        <v>4</v>
      </c>
      <c r="I34">
        <f>(sony26[[#This Row],["J" PRECIO VENTA ]]/sony26[[#This Row],[BARRAS]])</f>
        <v>150</v>
      </c>
      <c r="J34">
        <f>(sony26[[#This Row],["J"PRECIO COMPRA ]]/sony26[[#This Row],[BARRAS]])</f>
        <v>80.75</v>
      </c>
      <c r="K34">
        <f>SUMIF(entradas26[CODIGO],sony26[[#This Row],[CODIGO ]],entradas26[[CAN JUEGOS ]])</f>
        <v>0</v>
      </c>
      <c r="L34">
        <f>SUMIF(entradas26[CODIGO],sony26[[#This Row],[CODIGO ]],entradas26[CAN BARRAS])</f>
        <v>0</v>
      </c>
      <c r="M34">
        <f>SUMIF(salidas26[[CODIGO ]],sony26[[#This Row],[CODIGO ]],salidas26[[CANT JUEGOS ]])</f>
        <v>0</v>
      </c>
      <c r="N34">
        <f>SUMIF(salidas26[[CODIGO ]],sony26[[#This Row],[CODIGO ]],salidas26[CANT BARRAS])</f>
        <v>0</v>
      </c>
      <c r="O34">
        <f>(sony26[[#This Row],["J"PRECIO COMPRA ]]*sony26[[#This Row],[STOCK JUEGOS]])</f>
        <v>6137</v>
      </c>
      <c r="P34">
        <f>(sony26[[#This Row],["J" PRECIO VENTA ]]*sony26[[#This Row],[STOCK JUEGOS]])</f>
        <v>11400</v>
      </c>
      <c r="Q34">
        <f>(sony26[[#This Row],["B"PRECIO COMPRA]]*sony26[[#This Row],[STOCK BARRAS]])</f>
        <v>0</v>
      </c>
      <c r="R34">
        <f>(sony26[[#This Row],["B"PRECIO VENTA ]]*sony26[[#This Row],[STOCK BARRAS]])</f>
        <v>0</v>
      </c>
      <c r="S34" s="28">
        <v>19</v>
      </c>
      <c r="T34" s="28"/>
    </row>
  </sheetData>
  <mergeCells count="1">
    <mergeCell ref="B2:V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3"/>
  <sheetViews>
    <sheetView zoomScale="130" zoomScaleNormal="130" workbookViewId="0">
      <selection activeCell="V11" sqref="V11"/>
    </sheetView>
  </sheetViews>
  <sheetFormatPr baseColWidth="10" defaultColWidth="11.42578125" defaultRowHeight="15"/>
  <cols>
    <col min="1" max="1" width="5" customWidth="1"/>
    <col min="2" max="2" width="5.85546875" customWidth="1"/>
    <col min="3" max="3" width="37.5703125" customWidth="1"/>
    <col min="4" max="8" width="7.7109375" customWidth="1"/>
    <col min="9" max="18" width="7.7109375" hidden="1" customWidth="1"/>
    <col min="19" max="19" width="1" customWidth="1"/>
    <col min="20" max="20" width="0.42578125" customWidth="1"/>
    <col min="21" max="21" width="12" customWidth="1"/>
    <col min="22" max="22" width="10.28515625" customWidth="1"/>
  </cols>
  <sheetData>
    <row r="2" spans="1:22" ht="15" customHeight="1">
      <c r="B2" s="244" t="s">
        <v>334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</row>
    <row r="3" spans="1:22"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</row>
    <row r="4" spans="1:22" ht="21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</row>
    <row r="5" spans="1:22">
      <c r="A5">
        <v>1</v>
      </c>
      <c r="B5">
        <v>7000</v>
      </c>
      <c r="C5" s="18" t="s">
        <v>335</v>
      </c>
      <c r="D5">
        <f>(philips26[[#This Row],[CANTIDAD INICIAL JUEGO ]]+philips26[[#This Row],[ENTRADAS JUEGOS ]]-philips26[[#This Row],[SALIDAS JUEGOS]])</f>
        <v>38</v>
      </c>
      <c r="E5">
        <f>(philips26[[#This Row],[CANTIDAD INICIAL BARRAS]]+philips26[[#This Row],[ENTRADAS BARRAS]]-philips26[[#This Row],[SALIDA BARRAS]])</f>
        <v>0</v>
      </c>
      <c r="F5" s="35">
        <v>60</v>
      </c>
      <c r="G5" s="18">
        <v>22</v>
      </c>
      <c r="H5" s="18">
        <v>2</v>
      </c>
      <c r="I5">
        <f>(philips26[[#This Row],["J" PRECIO VENTA ]]/philips26[[#This Row],[BARRAS]])</f>
        <v>30</v>
      </c>
      <c r="J5">
        <f>(philips26[[#This Row],["J"PRECIO COMPRA ]]/philips26[[#This Row],[BARRAS]])</f>
        <v>11</v>
      </c>
      <c r="K5">
        <f>SUMIF(entradas26[CODIGO],philips26[[#This Row],[CODIGO ]],entradas26[[CAN JUEGOS ]])</f>
        <v>50</v>
      </c>
      <c r="L5">
        <f>SUMIF(entradas26[CODIGO],philips26[[#This Row],[CODIGO ]],entradas26[CAN BARRAS])</f>
        <v>0</v>
      </c>
      <c r="M5">
        <f>SUMIF(salidas26[[CODIGO ]],philips26[[#This Row],[CODIGO ]],salidas26[[CANT JUEGOS ]])</f>
        <v>29</v>
      </c>
      <c r="N5">
        <f>SUMIF(salidas26[[CODIGO ]],philips26[[#This Row],[CODIGO ]],salidas26[CANT BARRAS])</f>
        <v>1</v>
      </c>
      <c r="O5">
        <f>(philips26[[#This Row],["J"PRECIO COMPRA ]]*philips26[[#This Row],[STOCK JUEGOS]])</f>
        <v>836</v>
      </c>
      <c r="P5">
        <f>(philips26[[#This Row],["J" PRECIO VENTA ]]*philips26[[#This Row],[STOCK JUEGOS]])</f>
        <v>2280</v>
      </c>
      <c r="Q5">
        <f>(philips26[[#This Row],["B"PRECIO COMPRA]]*philips26[[#This Row],[STOCK BARRAS]])</f>
        <v>0</v>
      </c>
      <c r="R5">
        <f>(philips26[[#This Row],["B"PRECIO VENTA ]]*philips26[[#This Row],[STOCK BARRAS]])</f>
        <v>0</v>
      </c>
      <c r="S5" s="28">
        <v>17</v>
      </c>
      <c r="T5" s="28">
        <v>1</v>
      </c>
      <c r="U5">
        <v>1.1000000000000001</v>
      </c>
      <c r="V5" s="65" t="s">
        <v>771</v>
      </c>
    </row>
    <row r="6" spans="1:22">
      <c r="A6">
        <v>3</v>
      </c>
      <c r="B6">
        <v>7002</v>
      </c>
      <c r="C6" s="50" t="s">
        <v>336</v>
      </c>
      <c r="D6">
        <f>(philips26[[#This Row],[CANTIDAD INICIAL JUEGO ]]+philips26[[#This Row],[ENTRADAS JUEGOS ]]-philips26[[#This Row],[SALIDAS JUEGOS]])</f>
        <v>16</v>
      </c>
      <c r="E6">
        <f>(philips26[[#This Row],[CANTIDAD INICIAL BARRAS]]+philips26[[#This Row],[ENTRADAS BARRAS]]-philips26[[#This Row],[SALIDA BARRAS]])</f>
        <v>0</v>
      </c>
      <c r="F6" s="35">
        <v>70</v>
      </c>
      <c r="G6" s="18">
        <v>21</v>
      </c>
      <c r="H6" s="18">
        <v>2</v>
      </c>
      <c r="I6">
        <f>(philips26[[#This Row],["J" PRECIO VENTA ]]/philips26[[#This Row],[BARRAS]])</f>
        <v>35</v>
      </c>
      <c r="J6">
        <f>(philips26[[#This Row],["J"PRECIO COMPRA ]]/philips26[[#This Row],[BARRAS]])</f>
        <v>10.5</v>
      </c>
      <c r="K6">
        <f>SUMIF(entradas26[CODIGO],philips26[[#This Row],[CODIGO ]],entradas26[[CAN JUEGOS ]])</f>
        <v>20</v>
      </c>
      <c r="L6">
        <f>SUMIF(entradas26[CODIGO],philips26[[#This Row],[CODIGO ]],entradas26[CAN BARRAS])</f>
        <v>0</v>
      </c>
      <c r="M6">
        <f>SUMIF(salidas26[[CODIGO ]],philips26[[#This Row],[CODIGO ]],salidas26[[CANT JUEGOS ]])</f>
        <v>19</v>
      </c>
      <c r="N6">
        <f>SUMIF(salidas26[[CODIGO ]],philips26[[#This Row],[CODIGO ]],salidas26[CANT BARRAS])</f>
        <v>0</v>
      </c>
      <c r="O6">
        <f>(philips26[[#This Row],["J"PRECIO COMPRA ]]*philips26[[#This Row],[STOCK JUEGOS]])</f>
        <v>336</v>
      </c>
      <c r="P6">
        <f>(philips26[[#This Row],["J" PRECIO VENTA ]]*philips26[[#This Row],[STOCK JUEGOS]])</f>
        <v>1120</v>
      </c>
      <c r="Q6">
        <f>(philips26[[#This Row],["B"PRECIO COMPRA]]*philips26[[#This Row],[STOCK BARRAS]])</f>
        <v>0</v>
      </c>
      <c r="R6">
        <f>(philips26[[#This Row],["B"PRECIO VENTA ]]*philips26[[#This Row],[STOCK BARRAS]])</f>
        <v>0</v>
      </c>
      <c r="S6" s="28">
        <v>15</v>
      </c>
      <c r="T6" s="28"/>
      <c r="U6">
        <v>1.1000000000000001</v>
      </c>
      <c r="V6" t="s">
        <v>837</v>
      </c>
    </row>
    <row r="7" spans="1:22">
      <c r="A7">
        <v>4</v>
      </c>
      <c r="B7">
        <v>7003</v>
      </c>
      <c r="C7" s="55" t="s">
        <v>337</v>
      </c>
      <c r="D7">
        <f>(philips26[[#This Row],[CANTIDAD INICIAL JUEGO ]]+philips26[[#This Row],[ENTRADAS JUEGOS ]]-philips26[[#This Row],[SALIDAS JUEGOS]])</f>
        <v>2</v>
      </c>
      <c r="E7">
        <f>(philips26[[#This Row],[CANTIDAD INICIAL BARRAS]]+philips26[[#This Row],[ENTRADAS BARRAS]]-philips26[[#This Row],[SALIDA BARRAS]])</f>
        <v>1</v>
      </c>
      <c r="F7" s="35">
        <v>150</v>
      </c>
      <c r="G7" s="18">
        <v>90</v>
      </c>
      <c r="H7" s="18">
        <v>3</v>
      </c>
      <c r="I7">
        <f>(philips26[[#This Row],["J" PRECIO VENTA ]]/philips26[[#This Row],[BARRAS]])</f>
        <v>50</v>
      </c>
      <c r="J7">
        <f>(philips26[[#This Row],["J"PRECIO COMPRA ]]/philips26[[#This Row],[BARRAS]])</f>
        <v>30</v>
      </c>
      <c r="K7">
        <f>SUMIF(entradas26[CODIGO],philips26[[#This Row],[CODIGO ]],entradas26[[CAN JUEGOS ]])</f>
        <v>3</v>
      </c>
      <c r="L7">
        <f>SUMIF(entradas26[CODIGO],philips26[[#This Row],[CODIGO ]],entradas26[CAN BARRAS])</f>
        <v>0</v>
      </c>
      <c r="M7">
        <f>SUMIF(salidas26[[CODIGO ]],philips26[[#This Row],[CODIGO ]],salidas26[[CANT JUEGOS ]])</f>
        <v>3</v>
      </c>
      <c r="N7">
        <f>SUMIF(salidas26[[CODIGO ]],philips26[[#This Row],[CODIGO ]],salidas26[CANT BARRAS])</f>
        <v>0</v>
      </c>
      <c r="O7">
        <f>(philips26[[#This Row],["J"PRECIO COMPRA ]]*philips26[[#This Row],[STOCK JUEGOS]])</f>
        <v>180</v>
      </c>
      <c r="P7">
        <f>(philips26[[#This Row],["J" PRECIO VENTA ]]*philips26[[#This Row],[STOCK JUEGOS]])</f>
        <v>300</v>
      </c>
      <c r="Q7">
        <f>(philips26[[#This Row],["B"PRECIO COMPRA]]*philips26[[#This Row],[STOCK BARRAS]])</f>
        <v>30</v>
      </c>
      <c r="R7">
        <f>(philips26[[#This Row],["B"PRECIO VENTA ]]*philips26[[#This Row],[STOCK BARRAS]])</f>
        <v>50</v>
      </c>
      <c r="S7" s="28">
        <v>2</v>
      </c>
      <c r="T7" s="28">
        <v>1</v>
      </c>
    </row>
    <row r="8" spans="1:22">
      <c r="A8">
        <v>5</v>
      </c>
      <c r="B8">
        <v>7004</v>
      </c>
      <c r="C8" s="52" t="s">
        <v>338</v>
      </c>
      <c r="D8">
        <f>(philips26[[#This Row],[CANTIDAD INICIAL JUEGO ]]+philips26[[#This Row],[ENTRADAS JUEGOS ]]-philips26[[#This Row],[SALIDAS JUEGOS]])</f>
        <v>8</v>
      </c>
      <c r="E8">
        <f>(philips26[[#This Row],[CANTIDAD INICIAL BARRAS]]+philips26[[#This Row],[ENTRADAS BARRAS]]-philips26[[#This Row],[SALIDA BARRAS]])</f>
        <v>0</v>
      </c>
      <c r="F8" s="35">
        <v>150</v>
      </c>
      <c r="G8" s="18">
        <v>40</v>
      </c>
      <c r="H8" s="18">
        <v>3</v>
      </c>
      <c r="I8">
        <f>(philips26[[#This Row],["J" PRECIO VENTA ]]/philips26[[#This Row],[BARRAS]])</f>
        <v>50</v>
      </c>
      <c r="J8">
        <f>(philips26[[#This Row],["J"PRECIO COMPRA ]]/philips26[[#This Row],[BARRAS]])</f>
        <v>13.333333333333334</v>
      </c>
      <c r="K8">
        <f>SUMIF(entradas26[CODIGO],philips26[[#This Row],[CODIGO ]],entradas26[[CAN JUEGOS ]])</f>
        <v>20</v>
      </c>
      <c r="L8">
        <f>SUMIF(entradas26[CODIGO],philips26[[#This Row],[CODIGO ]],entradas26[CAN BARRAS])</f>
        <v>3</v>
      </c>
      <c r="M8">
        <f>SUMIF(salidas26[[CODIGO ]],philips26[[#This Row],[CODIGO ]],salidas26[[CANT JUEGOS ]])</f>
        <v>25</v>
      </c>
      <c r="N8">
        <f>SUMIF(salidas26[[CODIGO ]],philips26[[#This Row],[CODIGO ]],salidas26[CANT BARRAS])</f>
        <v>4</v>
      </c>
      <c r="O8">
        <f>(philips26[[#This Row],["J"PRECIO COMPRA ]]*philips26[[#This Row],[STOCK JUEGOS]])</f>
        <v>320</v>
      </c>
      <c r="P8">
        <f>(philips26[[#This Row],["J" PRECIO VENTA ]]*philips26[[#This Row],[STOCK JUEGOS]])</f>
        <v>1200</v>
      </c>
      <c r="Q8">
        <f>(philips26[[#This Row],["B"PRECIO COMPRA]]*philips26[[#This Row],[STOCK BARRAS]])</f>
        <v>0</v>
      </c>
      <c r="R8">
        <f>(philips26[[#This Row],["B"PRECIO VENTA ]]*philips26[[#This Row],[STOCK BARRAS]])</f>
        <v>0</v>
      </c>
      <c r="S8" s="28">
        <v>13</v>
      </c>
      <c r="T8" s="28">
        <v>1</v>
      </c>
      <c r="U8">
        <v>2.1</v>
      </c>
      <c r="V8" s="65" t="s">
        <v>772</v>
      </c>
    </row>
    <row r="9" spans="1:22">
      <c r="A9">
        <v>7</v>
      </c>
      <c r="B9">
        <v>7009</v>
      </c>
      <c r="C9" s="18" t="s">
        <v>339</v>
      </c>
      <c r="D9">
        <f>(philips26[[#This Row],[CANTIDAD INICIAL JUEGO ]]+philips26[[#This Row],[ENTRADAS JUEGOS ]]-philips26[[#This Row],[SALIDAS JUEGOS]])</f>
        <v>17</v>
      </c>
      <c r="E9">
        <f>(philips26[[#This Row],[CANTIDAD INICIAL BARRAS]]+philips26[[#This Row],[ENTRADAS BARRAS]]-philips26[[#This Row],[SALIDA BARRAS]])</f>
        <v>0</v>
      </c>
      <c r="F9" s="35">
        <v>240</v>
      </c>
      <c r="G9" s="18">
        <v>47.5</v>
      </c>
      <c r="H9" s="18">
        <v>6</v>
      </c>
      <c r="I9">
        <f>(philips26[[#This Row],["J" PRECIO VENTA ]]/philips26[[#This Row],[BARRAS]])</f>
        <v>40</v>
      </c>
      <c r="J9">
        <f>(philips26[[#This Row],["J"PRECIO COMPRA ]]/philips26[[#This Row],[BARRAS]])</f>
        <v>7.916666666666667</v>
      </c>
      <c r="K9">
        <f>SUMIF(entradas26[CODIGO],philips26[[#This Row],[CODIGO ]],entradas26[[CAN JUEGOS ]])</f>
        <v>0</v>
      </c>
      <c r="L9">
        <f>SUMIF(entradas26[CODIGO],philips26[[#This Row],[CODIGO ]],entradas26[CAN BARRAS])</f>
        <v>0</v>
      </c>
      <c r="M9">
        <f>SUMIF(salidas26[[CODIGO ]],philips26[[#This Row],[CODIGO ]],salidas26[[CANT JUEGOS ]])</f>
        <v>1</v>
      </c>
      <c r="N9">
        <f>SUMIF(salidas26[[CODIGO ]],philips26[[#This Row],[CODIGO ]],salidas26[CANT BARRAS])</f>
        <v>0</v>
      </c>
      <c r="O9">
        <f>(philips26[[#This Row],["J"PRECIO COMPRA ]]*philips26[[#This Row],[STOCK JUEGOS]])</f>
        <v>807.5</v>
      </c>
      <c r="P9">
        <f>(philips26[[#This Row],["J" PRECIO VENTA ]]*philips26[[#This Row],[STOCK JUEGOS]])</f>
        <v>4080</v>
      </c>
      <c r="Q9">
        <f>(philips26[[#This Row],["B"PRECIO COMPRA]]*philips26[[#This Row],[STOCK BARRAS]])</f>
        <v>0</v>
      </c>
      <c r="R9">
        <f>(philips26[[#This Row],["B"PRECIO VENTA ]]*philips26[[#This Row],[STOCK BARRAS]])</f>
        <v>0</v>
      </c>
      <c r="S9" s="28">
        <v>18</v>
      </c>
      <c r="T9" s="28"/>
    </row>
    <row r="10" spans="1:22">
      <c r="A10">
        <v>8</v>
      </c>
      <c r="B10">
        <v>7012</v>
      </c>
      <c r="C10" s="51" t="s">
        <v>340</v>
      </c>
      <c r="D10">
        <f>(philips26[[#This Row],[CANTIDAD INICIAL JUEGO ]]+philips26[[#This Row],[ENTRADAS JUEGOS ]]-philips26[[#This Row],[SALIDAS JUEGOS]])</f>
        <v>17</v>
      </c>
      <c r="E10">
        <f>(philips26[[#This Row],[CANTIDAD INICIAL BARRAS]]+philips26[[#This Row],[ENTRADAS BARRAS]]-philips26[[#This Row],[SALIDA BARRAS]])</f>
        <v>3</v>
      </c>
      <c r="F10" s="35">
        <v>200</v>
      </c>
      <c r="G10" s="18">
        <v>67</v>
      </c>
      <c r="H10" s="18">
        <v>4</v>
      </c>
      <c r="I10">
        <f>(philips26[[#This Row],["J" PRECIO VENTA ]]/philips26[[#This Row],[BARRAS]])</f>
        <v>50</v>
      </c>
      <c r="J10">
        <f>(philips26[[#This Row],["J"PRECIO COMPRA ]]/philips26[[#This Row],[BARRAS]])</f>
        <v>16.75</v>
      </c>
      <c r="K10">
        <f>SUMIF(entradas26[CODIGO],philips26[[#This Row],[CODIGO ]],entradas26[[CAN JUEGOS ]])</f>
        <v>0</v>
      </c>
      <c r="L10">
        <f>SUMIF(entradas26[CODIGO],philips26[[#This Row],[CODIGO ]],entradas26[CAN BARRAS])</f>
        <v>4</v>
      </c>
      <c r="M10">
        <f>SUMIF(salidas26[[CODIGO ]],philips26[[#This Row],[CODIGO ]],salidas26[[CANT JUEGOS ]])</f>
        <v>5</v>
      </c>
      <c r="N10">
        <f>SUMIF(salidas26[[CODIGO ]],philips26[[#This Row],[CODIGO ]],salidas26[CANT BARRAS])</f>
        <v>1</v>
      </c>
      <c r="O10">
        <f>(philips26[[#This Row],["J"PRECIO COMPRA ]]*philips26[[#This Row],[STOCK JUEGOS]])</f>
        <v>1139</v>
      </c>
      <c r="P10">
        <f>(philips26[[#This Row],["J" PRECIO VENTA ]]*philips26[[#This Row],[STOCK JUEGOS]])</f>
        <v>3400</v>
      </c>
      <c r="Q10">
        <f>(philips26[[#This Row],["B"PRECIO COMPRA]]*philips26[[#This Row],[STOCK BARRAS]])</f>
        <v>50.25</v>
      </c>
      <c r="R10">
        <f>(philips26[[#This Row],["B"PRECIO VENTA ]]*philips26[[#This Row],[STOCK BARRAS]])</f>
        <v>150</v>
      </c>
      <c r="S10" s="28">
        <v>22</v>
      </c>
      <c r="T10" s="28"/>
    </row>
    <row r="11" spans="1:22">
      <c r="A11">
        <v>9</v>
      </c>
      <c r="B11">
        <v>7015</v>
      </c>
      <c r="C11" s="51" t="s">
        <v>341</v>
      </c>
      <c r="D11">
        <f>(philips26[[#This Row],[CANTIDAD INICIAL JUEGO ]]+philips26[[#This Row],[ENTRADAS JUEGOS ]]-philips26[[#This Row],[SALIDAS JUEGOS]])</f>
        <v>15</v>
      </c>
      <c r="E11">
        <f>(philips26[[#This Row],[CANTIDAD INICIAL BARRAS]]+philips26[[#This Row],[ENTRADAS BARRAS]]-philips26[[#This Row],[SALIDA BARRAS]])</f>
        <v>0</v>
      </c>
      <c r="F11" s="35">
        <v>200</v>
      </c>
      <c r="G11" s="18">
        <v>75</v>
      </c>
      <c r="H11" s="18">
        <v>4</v>
      </c>
      <c r="I11">
        <f>(philips26[[#This Row],["J" PRECIO VENTA ]]/philips26[[#This Row],[BARRAS]])</f>
        <v>50</v>
      </c>
      <c r="J11">
        <f>(philips26[[#This Row],["J"PRECIO COMPRA ]]/philips26[[#This Row],[BARRAS]])</f>
        <v>18.75</v>
      </c>
      <c r="K11">
        <f>SUMIF(entradas26[CODIGO],philips26[[#This Row],[CODIGO ]],entradas26[[CAN JUEGOS ]])</f>
        <v>0</v>
      </c>
      <c r="L11">
        <f>SUMIF(entradas26[CODIGO],philips26[[#This Row],[CODIGO ]],entradas26[CAN BARRAS])</f>
        <v>0</v>
      </c>
      <c r="M11">
        <f>SUMIF(salidas26[[CODIGO ]],philips26[[#This Row],[CODIGO ]],salidas26[[CANT JUEGOS ]])</f>
        <v>9</v>
      </c>
      <c r="N11">
        <f>SUMIF(salidas26[[CODIGO ]],philips26[[#This Row],[CODIGO ]],salidas26[CANT BARRAS])</f>
        <v>0</v>
      </c>
      <c r="O11">
        <f>(philips26[[#This Row],["J"PRECIO COMPRA ]]*philips26[[#This Row],[STOCK JUEGOS]])</f>
        <v>1125</v>
      </c>
      <c r="P11">
        <f>(philips26[[#This Row],["J" PRECIO VENTA ]]*philips26[[#This Row],[STOCK JUEGOS]])</f>
        <v>3000</v>
      </c>
      <c r="Q11">
        <f>(philips26[[#This Row],["B"PRECIO COMPRA]]*philips26[[#This Row],[STOCK BARRAS]])</f>
        <v>0</v>
      </c>
      <c r="R11">
        <f>(philips26[[#This Row],["B"PRECIO VENTA ]]*philips26[[#This Row],[STOCK BARRAS]])</f>
        <v>0</v>
      </c>
      <c r="S11" s="28">
        <v>24</v>
      </c>
      <c r="T11" s="28"/>
      <c r="U11">
        <v>4</v>
      </c>
    </row>
    <row r="12" spans="1:22" ht="19.5" customHeight="1">
      <c r="A12">
        <v>10</v>
      </c>
      <c r="B12">
        <v>7018</v>
      </c>
      <c r="C12" s="60" t="s">
        <v>342</v>
      </c>
      <c r="D12">
        <f>(philips26[[#This Row],[CANTIDAD INICIAL JUEGO ]]+philips26[[#This Row],[ENTRADAS JUEGOS ]]-philips26[[#This Row],[SALIDAS JUEGOS]])</f>
        <v>21</v>
      </c>
      <c r="E12">
        <f>(philips26[[#This Row],[CANTIDAD INICIAL BARRAS]]+philips26[[#This Row],[ENTRADAS BARRAS]]-philips26[[#This Row],[SALIDA BARRAS]])</f>
        <v>5</v>
      </c>
      <c r="F12" s="35">
        <v>280</v>
      </c>
      <c r="G12" s="18">
        <v>100</v>
      </c>
      <c r="H12" s="18">
        <v>9</v>
      </c>
      <c r="I12">
        <f>(philips26[[#This Row],["J" PRECIO VENTA ]]/philips26[[#This Row],[BARRAS]])</f>
        <v>31.111111111111111</v>
      </c>
      <c r="J12">
        <f>(philips26[[#This Row],["J"PRECIO COMPRA ]]/philips26[[#This Row],[BARRAS]])</f>
        <v>11.111111111111111</v>
      </c>
      <c r="K12">
        <f>SUMIF(entradas26[CODIGO],philips26[[#This Row],[CODIGO ]],entradas26[[CAN JUEGOS ]])</f>
        <v>0</v>
      </c>
      <c r="L12">
        <f>SUMIF(entradas26[CODIGO],philips26[[#This Row],[CODIGO ]],entradas26[CAN BARRAS])</f>
        <v>0</v>
      </c>
      <c r="M12">
        <f>SUMIF(salidas26[[CODIGO ]],philips26[[#This Row],[CODIGO ]],salidas26[[CANT JUEGOS ]])</f>
        <v>3</v>
      </c>
      <c r="N12">
        <f>SUMIF(salidas26[[CODIGO ]],philips26[[#This Row],[CODIGO ]],salidas26[CANT BARRAS])</f>
        <v>2</v>
      </c>
      <c r="O12">
        <f>(philips26[[#This Row],["J"PRECIO COMPRA ]]*philips26[[#This Row],[STOCK JUEGOS]])</f>
        <v>2100</v>
      </c>
      <c r="P12">
        <f>(philips26[[#This Row],["J" PRECIO VENTA ]]*philips26[[#This Row],[STOCK JUEGOS]])</f>
        <v>5880</v>
      </c>
      <c r="Q12">
        <f>(philips26[[#This Row],["B"PRECIO COMPRA]]*philips26[[#This Row],[STOCK BARRAS]])</f>
        <v>55.555555555555557</v>
      </c>
      <c r="R12">
        <f>(philips26[[#This Row],["B"PRECIO VENTA ]]*philips26[[#This Row],[STOCK BARRAS]])</f>
        <v>155.55555555555554</v>
      </c>
      <c r="S12" s="28">
        <v>24</v>
      </c>
      <c r="T12" s="28">
        <v>7</v>
      </c>
    </row>
    <row r="13" spans="1:22">
      <c r="B13">
        <v>7019</v>
      </c>
      <c r="C13" s="18" t="s">
        <v>780</v>
      </c>
      <c r="D13">
        <f>(philips26[[#This Row],[CANTIDAD INICIAL JUEGO ]]+philips26[[#This Row],[ENTRADAS JUEGOS ]]-philips26[[#This Row],[SALIDAS JUEGOS]])</f>
        <v>19</v>
      </c>
      <c r="E13">
        <f>(philips26[[#This Row],[CANTIDAD INICIAL BARRAS]]+philips26[[#This Row],[ENTRADAS BARRAS]]-philips26[[#This Row],[SALIDA BARRAS]])</f>
        <v>0</v>
      </c>
      <c r="F13" s="35">
        <v>420</v>
      </c>
      <c r="G13" s="18">
        <v>205</v>
      </c>
      <c r="H13" s="18"/>
      <c r="I13" t="e">
        <f>(philips26[[#This Row],["J" PRECIO VENTA ]]/philips26[[#This Row],[BARRAS]])</f>
        <v>#DIV/0!</v>
      </c>
      <c r="J13" t="e">
        <f>(philips26[[#This Row],["J"PRECIO COMPRA ]]/philips26[[#This Row],[BARRAS]])</f>
        <v>#DIV/0!</v>
      </c>
      <c r="K13">
        <f>SUMIF(entradas26[CODIGO],philips26[[#This Row],[CODIGO ]],entradas26[[CAN JUEGOS ]])</f>
        <v>20</v>
      </c>
      <c r="L13">
        <f>SUMIF(entradas26[CODIGO],philips26[[#This Row],[CODIGO ]],entradas26[CAN BARRAS])</f>
        <v>0</v>
      </c>
      <c r="M13">
        <f>SUMIF(salidas26[[CODIGO ]],philips26[[#This Row],[CODIGO ]],salidas26[[CANT JUEGOS ]])</f>
        <v>1</v>
      </c>
      <c r="N13">
        <f>SUMIF(salidas26[[CODIGO ]],philips26[[#This Row],[CODIGO ]],salidas26[CANT BARRAS])</f>
        <v>0</v>
      </c>
      <c r="O13">
        <f>(philips26[[#This Row],["J"PRECIO COMPRA ]]*philips26[[#This Row],[STOCK JUEGOS]])</f>
        <v>3895</v>
      </c>
      <c r="P13">
        <f>(philips26[[#This Row],["J" PRECIO VENTA ]]*philips26[[#This Row],[STOCK JUEGOS]])</f>
        <v>7980</v>
      </c>
      <c r="Q13" t="e">
        <f>(philips26[[#This Row],["B"PRECIO COMPRA]]*philips26[[#This Row],[STOCK BARRAS]])</f>
        <v>#DIV/0!</v>
      </c>
      <c r="R13" t="e">
        <f>(philips26[[#This Row],["B"PRECIO VENTA ]]*philips26[[#This Row],[STOCK BARRAS]])</f>
        <v>#DIV/0!</v>
      </c>
      <c r="U13">
        <v>10.8</v>
      </c>
      <c r="V13" s="65" t="s">
        <v>781</v>
      </c>
    </row>
  </sheetData>
  <mergeCells count="1">
    <mergeCell ref="B2:V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3"/>
  <sheetViews>
    <sheetView topLeftCell="A4" zoomScale="115" zoomScaleNormal="115" workbookViewId="0">
      <selection activeCell="T6" sqref="T6"/>
    </sheetView>
  </sheetViews>
  <sheetFormatPr baseColWidth="10" defaultColWidth="11.42578125" defaultRowHeight="15"/>
  <cols>
    <col min="1" max="1" width="8" customWidth="1"/>
    <col min="2" max="2" width="37.28515625" customWidth="1"/>
    <col min="3" max="3" width="6.5703125" customWidth="1"/>
    <col min="4" max="4" width="7.42578125" customWidth="1"/>
    <col min="5" max="7" width="9.5703125" customWidth="1"/>
    <col min="8" max="17" width="9.5703125" hidden="1" customWidth="1"/>
    <col min="18" max="18" width="5.28515625" customWidth="1"/>
    <col min="19" max="19" width="6.28515625" customWidth="1"/>
    <col min="20" max="20" width="9.5703125" customWidth="1"/>
    <col min="21" max="21" width="16.28515625" customWidth="1"/>
    <col min="22" max="22" width="14.28515625" customWidth="1"/>
  </cols>
  <sheetData>
    <row r="2" spans="1:22">
      <c r="A2" s="245" t="s">
        <v>343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</row>
    <row r="3" spans="1:22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</row>
    <row r="4" spans="1:22" ht="39" customHeight="1">
      <c r="A4" s="5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 t="s">
        <v>6</v>
      </c>
      <c r="G4" s="10" t="s">
        <v>7</v>
      </c>
      <c r="H4" s="11" t="s">
        <v>8</v>
      </c>
      <c r="I4" s="11" t="s">
        <v>9</v>
      </c>
      <c r="J4" s="10" t="s">
        <v>10</v>
      </c>
      <c r="K4" s="10" t="s">
        <v>11</v>
      </c>
      <c r="L4" s="10" t="s">
        <v>12</v>
      </c>
      <c r="M4" s="12" t="s">
        <v>13</v>
      </c>
      <c r="N4" s="10" t="s">
        <v>14</v>
      </c>
      <c r="O4" s="13" t="s">
        <v>15</v>
      </c>
      <c r="P4" s="10" t="s">
        <v>16</v>
      </c>
      <c r="Q4" s="10" t="s">
        <v>17</v>
      </c>
      <c r="R4" s="13" t="s">
        <v>18</v>
      </c>
      <c r="S4" s="14" t="s">
        <v>19</v>
      </c>
      <c r="T4" s="15" t="s">
        <v>20</v>
      </c>
      <c r="U4" s="16" t="s">
        <v>21</v>
      </c>
      <c r="V4" t="s">
        <v>22</v>
      </c>
    </row>
    <row r="5" spans="1:22">
      <c r="A5">
        <v>6009</v>
      </c>
      <c r="B5" s="63" t="s">
        <v>935</v>
      </c>
      <c r="C5">
        <f>(toshiba26[[#This Row],[CANTIDAD INICIAL JUEGO ]]+toshiba26[[#This Row],[ENTRADAS JUEGOS ]]-toshiba26[[#This Row],[SALIDAS JUEGOS]])</f>
        <v>0</v>
      </c>
      <c r="D5">
        <f>(toshiba26[[#This Row],[CANTIDAD INICIAL BARRAS]]+toshiba26[[#This Row],[ENTRADAS BARRAS]]-toshiba26[[#This Row],[SALIDA BARRAS]])</f>
        <v>99</v>
      </c>
      <c r="E5" s="35">
        <v>180</v>
      </c>
      <c r="F5" s="18">
        <v>71</v>
      </c>
      <c r="G5" s="18">
        <v>8</v>
      </c>
      <c r="H5">
        <f>(toshiba26[[#This Row],["J" PRECIO VENTA ]]/toshiba26[[#This Row],[BARRAS]])</f>
        <v>22.5</v>
      </c>
      <c r="I5">
        <f>(toshiba26[[#This Row],["J"PRECIO COMPRA ]]/toshiba26[[#This Row],[BARRAS]])</f>
        <v>8.875</v>
      </c>
      <c r="J5">
        <f>SUMIF(entradas26[CODIGO],toshiba26[[#This Row],[CODIGO ]],entradas26[[CAN JUEGOS ]])</f>
        <v>0</v>
      </c>
      <c r="K5">
        <f>SUMIF(entradas26[CODIGO],toshiba26[[#This Row],[CODIGO ]],entradas26[CAN BARRAS])</f>
        <v>184</v>
      </c>
      <c r="L5">
        <f>SUMIF(salidas26[[CODIGO ]],toshiba26[[#This Row],[CODIGO ]],salidas26[[CANT JUEGOS ]])</f>
        <v>0</v>
      </c>
      <c r="M5">
        <f>SUMIF(salidas26[[CODIGO ]],toshiba26[[#This Row],[CODIGO ]],salidas26[CANT BARRAS])</f>
        <v>149</v>
      </c>
      <c r="N5">
        <f>(toshiba26[[#This Row],["J"PRECIO COMPRA ]]*toshiba26[[#This Row],[STOCK JUEGOS]])</f>
        <v>0</v>
      </c>
      <c r="O5">
        <f>(toshiba26[[#This Row],["J" PRECIO VENTA ]]*toshiba26[[#This Row],[STOCK JUEGOS]])</f>
        <v>0</v>
      </c>
      <c r="P5">
        <f>(toshiba26[[#This Row],["B"PRECIO COMPRA]]*toshiba26[[#This Row],[STOCK BARRAS]])</f>
        <v>878.625</v>
      </c>
      <c r="Q5">
        <f>(toshiba26[[#This Row],["B"PRECIO VENTA ]]*toshiba26[[#This Row],[STOCK BARRAS]])</f>
        <v>2227.5</v>
      </c>
      <c r="R5" s="28"/>
      <c r="S5" s="28">
        <v>64</v>
      </c>
      <c r="T5">
        <v>3.7</v>
      </c>
      <c r="U5" t="s">
        <v>344</v>
      </c>
    </row>
    <row r="6" spans="1:22" ht="15.75">
      <c r="A6">
        <v>6011</v>
      </c>
      <c r="B6" s="99" t="s">
        <v>345</v>
      </c>
      <c r="C6" s="26">
        <f>(toshiba26[[#This Row],[CANTIDAD INICIAL JUEGO ]]+toshiba26[[#This Row],[ENTRADAS JUEGOS ]]-toshiba26[[#This Row],[SALIDAS JUEGOS]])</f>
        <v>18</v>
      </c>
      <c r="D6">
        <f>(toshiba26[[#This Row],[CANTIDAD INICIAL BARRAS]]+toshiba26[[#This Row],[ENTRADAS BARRAS]]-toshiba26[[#This Row],[SALIDA BARRAS]])</f>
        <v>0</v>
      </c>
      <c r="E6" s="86">
        <v>180</v>
      </c>
      <c r="F6" s="18"/>
      <c r="G6" s="18">
        <v>3</v>
      </c>
      <c r="H6">
        <f>(toshiba26[[#This Row],["J" PRECIO VENTA ]]/toshiba26[[#This Row],[BARRAS]])</f>
        <v>60</v>
      </c>
      <c r="I6">
        <f>(toshiba26[[#This Row],["J"PRECIO COMPRA ]]/toshiba26[[#This Row],[BARRAS]])</f>
        <v>0</v>
      </c>
      <c r="J6">
        <f>SUMIF(entradas26[CODIGO],toshiba26[[#This Row],[CODIGO ]],entradas26[[CAN JUEGOS ]])</f>
        <v>20</v>
      </c>
      <c r="K6">
        <f>SUMIF(entradas26[CODIGO],toshiba26[[#This Row],[CODIGO ]],entradas26[CAN BARRAS])</f>
        <v>0</v>
      </c>
      <c r="L6">
        <f>SUMIF(salidas26[[CODIGO ]],toshiba26[[#This Row],[CODIGO ]],salidas26[[CANT JUEGOS ]])</f>
        <v>2</v>
      </c>
      <c r="M6">
        <f>SUMIF(salidas26[[CODIGO ]],toshiba26[[#This Row],[CODIGO ]],salidas26[CANT BARRAS])</f>
        <v>0</v>
      </c>
      <c r="N6">
        <f>(toshiba26[[#This Row],["J"PRECIO COMPRA ]]*toshiba26[[#This Row],[STOCK JUEGOS]])</f>
        <v>0</v>
      </c>
      <c r="O6">
        <f>(toshiba26[[#This Row],["J" PRECIO VENTA ]]*toshiba26[[#This Row],[STOCK JUEGOS]])</f>
        <v>3240</v>
      </c>
      <c r="P6">
        <f>(toshiba26[[#This Row],["B"PRECIO COMPRA]]*toshiba26[[#This Row],[STOCK BARRAS]])</f>
        <v>0</v>
      </c>
      <c r="Q6">
        <f>(toshiba26[[#This Row],["B"PRECIO VENTA ]]*toshiba26[[#This Row],[STOCK BARRAS]])</f>
        <v>0</v>
      </c>
      <c r="R6" s="28"/>
      <c r="S6" s="28"/>
      <c r="T6">
        <v>5.2</v>
      </c>
      <c r="U6" t="s">
        <v>346</v>
      </c>
    </row>
    <row r="7" spans="1:22">
      <c r="A7">
        <v>6015</v>
      </c>
      <c r="B7" s="18" t="s">
        <v>347</v>
      </c>
      <c r="C7">
        <f>(toshiba26[[#This Row],[CANTIDAD INICIAL JUEGO ]]+toshiba26[[#This Row],[ENTRADAS JUEGOS ]]-toshiba26[[#This Row],[SALIDAS JUEGOS]])</f>
        <v>12</v>
      </c>
      <c r="D7">
        <f>(toshiba26[[#This Row],[CANTIDAD INICIAL BARRAS]]+toshiba26[[#This Row],[ENTRADAS BARRAS]]-toshiba26[[#This Row],[SALIDA BARRAS]])</f>
        <v>2</v>
      </c>
      <c r="E7" s="35">
        <v>220</v>
      </c>
      <c r="F7" s="37">
        <v>46</v>
      </c>
      <c r="G7" s="18">
        <v>4</v>
      </c>
      <c r="H7">
        <f>(toshiba26[[#This Row],["J" PRECIO VENTA ]]/toshiba26[[#This Row],[BARRAS]])</f>
        <v>55</v>
      </c>
      <c r="I7">
        <f>(toshiba26[[#This Row],["J"PRECIO COMPRA ]]/toshiba26[[#This Row],[BARRAS]])</f>
        <v>11.5</v>
      </c>
      <c r="J7">
        <f>SUMIF(entradas26[CODIGO],toshiba26[[#This Row],[CODIGO ]],entradas26[[CAN JUEGOS ]])</f>
        <v>0</v>
      </c>
      <c r="K7">
        <f>SUMIF(entradas26[CODIGO],toshiba26[[#This Row],[CODIGO ]],entradas26[CAN BARRAS])</f>
        <v>0</v>
      </c>
      <c r="L7">
        <f>SUMIF(salidas26[[CODIGO ]],toshiba26[[#This Row],[CODIGO ]],salidas26[[CANT JUEGOS ]])</f>
        <v>12</v>
      </c>
      <c r="M7">
        <f>SUMIF(salidas26[[CODIGO ]],toshiba26[[#This Row],[CODIGO ]],salidas26[CANT BARRAS])</f>
        <v>0</v>
      </c>
      <c r="N7">
        <f>(toshiba26[[#This Row],["J"PRECIO COMPRA ]]*toshiba26[[#This Row],[STOCK JUEGOS]])</f>
        <v>552</v>
      </c>
      <c r="O7">
        <f>(toshiba26[[#This Row],["J" PRECIO VENTA ]]*toshiba26[[#This Row],[STOCK JUEGOS]])</f>
        <v>2640</v>
      </c>
      <c r="P7">
        <f>(toshiba26[[#This Row],["B"PRECIO COMPRA]]*toshiba26[[#This Row],[STOCK BARRAS]])</f>
        <v>23</v>
      </c>
      <c r="Q7">
        <f>(toshiba26[[#This Row],["B"PRECIO VENTA ]]*toshiba26[[#This Row],[STOCK BARRAS]])</f>
        <v>110</v>
      </c>
      <c r="R7" s="28">
        <v>24</v>
      </c>
      <c r="S7" s="28">
        <v>2</v>
      </c>
      <c r="T7">
        <v>2.5</v>
      </c>
      <c r="U7" t="s">
        <v>348</v>
      </c>
    </row>
    <row r="8" spans="1:22">
      <c r="A8">
        <v>6016</v>
      </c>
      <c r="B8" s="55" t="s">
        <v>349</v>
      </c>
      <c r="C8">
        <f>(toshiba26[[#This Row],[CANTIDAD INICIAL JUEGO ]]+toshiba26[[#This Row],[ENTRADAS JUEGOS ]]-toshiba26[[#This Row],[SALIDAS JUEGOS]])</f>
        <v>14</v>
      </c>
      <c r="D8">
        <f>(toshiba26[[#This Row],[CANTIDAD INICIAL BARRAS]]+toshiba26[[#This Row],[ENTRADAS BARRAS]]-toshiba26[[#This Row],[SALIDA BARRAS]])</f>
        <v>2</v>
      </c>
      <c r="E8" s="35">
        <v>240</v>
      </c>
      <c r="F8" s="18">
        <v>90</v>
      </c>
      <c r="G8" s="18">
        <v>8</v>
      </c>
      <c r="H8">
        <f>(toshiba26[[#This Row],["J" PRECIO VENTA ]]/toshiba26[[#This Row],[BARRAS]])</f>
        <v>30</v>
      </c>
      <c r="I8">
        <f>(toshiba26[[#This Row],["J"PRECIO COMPRA ]]/toshiba26[[#This Row],[BARRAS]])</f>
        <v>11.25</v>
      </c>
      <c r="J8">
        <f>SUMIF(entradas26[CODIGO],toshiba26[[#This Row],[CODIGO ]],entradas26[[CAN JUEGOS ]])</f>
        <v>20</v>
      </c>
      <c r="K8">
        <f>SUMIF(entradas26[CODIGO],toshiba26[[#This Row],[CODIGO ]],entradas26[CAN BARRAS])</f>
        <v>0</v>
      </c>
      <c r="L8">
        <f>SUMIF(salidas26[[CODIGO ]],toshiba26[[#This Row],[CODIGO ]],salidas26[[CANT JUEGOS ]])</f>
        <v>12</v>
      </c>
      <c r="M8">
        <f>SUMIF(salidas26[[CODIGO ]],toshiba26[[#This Row],[CODIGO ]],salidas26[CANT BARRAS])</f>
        <v>0</v>
      </c>
      <c r="N8">
        <f>(toshiba26[[#This Row],["J"PRECIO COMPRA ]]*toshiba26[[#This Row],[STOCK JUEGOS]])</f>
        <v>1260</v>
      </c>
      <c r="O8">
        <f>(toshiba26[[#This Row],["J" PRECIO VENTA ]]*toshiba26[[#This Row],[STOCK JUEGOS]])</f>
        <v>3360</v>
      </c>
      <c r="P8">
        <f>(toshiba26[[#This Row],["B"PRECIO COMPRA]]*toshiba26[[#This Row],[STOCK BARRAS]])</f>
        <v>22.5</v>
      </c>
      <c r="Q8">
        <f>(toshiba26[[#This Row],["B"PRECIO VENTA ]]*toshiba26[[#This Row],[STOCK BARRAS]])</f>
        <v>60</v>
      </c>
      <c r="R8" s="28">
        <v>6</v>
      </c>
      <c r="S8" s="28">
        <v>2</v>
      </c>
      <c r="T8">
        <v>3.9</v>
      </c>
      <c r="U8" t="s">
        <v>748</v>
      </c>
    </row>
    <row r="9" spans="1:22" ht="15.75">
      <c r="A9">
        <v>6021</v>
      </c>
      <c r="B9" s="55" t="s">
        <v>351</v>
      </c>
      <c r="C9" s="26">
        <f>(toshiba26[[#This Row],[CANTIDAD INICIAL JUEGO ]]+toshiba26[[#This Row],[ENTRADAS JUEGOS ]]-toshiba26[[#This Row],[SALIDAS JUEGOS]])</f>
        <v>21</v>
      </c>
      <c r="D9">
        <f>(toshiba26[[#This Row],[CANTIDAD INICIAL BARRAS]]+toshiba26[[#This Row],[ENTRADAS BARRAS]]-toshiba26[[#This Row],[SALIDA BARRAS]])</f>
        <v>4</v>
      </c>
      <c r="E9" s="34">
        <v>300</v>
      </c>
      <c r="F9" s="18">
        <v>69</v>
      </c>
      <c r="G9" s="18">
        <v>8</v>
      </c>
      <c r="H9">
        <f>(toshiba26[[#This Row],["J" PRECIO VENTA ]]/toshiba26[[#This Row],[BARRAS]])</f>
        <v>37.5</v>
      </c>
      <c r="I9">
        <f>(toshiba26[[#This Row],["J"PRECIO COMPRA ]]/toshiba26[[#This Row],[BARRAS]])</f>
        <v>8.625</v>
      </c>
      <c r="J9">
        <f>SUMIF(entradas26[CODIGO],toshiba26[[#This Row],[CODIGO ]],entradas26[[CAN JUEGOS ]])</f>
        <v>20</v>
      </c>
      <c r="K9">
        <f>SUMIF(entradas26[CODIGO],toshiba26[[#This Row],[CODIGO ]],entradas26[CAN BARRAS])</f>
        <v>0</v>
      </c>
      <c r="L9">
        <f>SUMIF(salidas26[[CODIGO ]],toshiba26[[#This Row],[CODIGO ]],salidas26[[CANT JUEGOS ]])</f>
        <v>8</v>
      </c>
      <c r="M9">
        <f>SUMIF(salidas26[[CODIGO ]],toshiba26[[#This Row],[CODIGO ]],salidas26[CANT BARRAS])</f>
        <v>0</v>
      </c>
      <c r="N9">
        <f>(toshiba26[[#This Row],["J"PRECIO COMPRA ]]*toshiba26[[#This Row],[STOCK JUEGOS]])</f>
        <v>1449</v>
      </c>
      <c r="O9">
        <f>(toshiba26[[#This Row],["J" PRECIO VENTA ]]*toshiba26[[#This Row],[STOCK JUEGOS]])</f>
        <v>6300</v>
      </c>
      <c r="P9">
        <f>(toshiba26[[#This Row],["B"PRECIO COMPRA]]*toshiba26[[#This Row],[STOCK BARRAS]])</f>
        <v>34.5</v>
      </c>
      <c r="Q9">
        <f>(toshiba26[[#This Row],["B"PRECIO VENTA ]]*toshiba26[[#This Row],[STOCK BARRAS]])</f>
        <v>150</v>
      </c>
      <c r="R9" s="28">
        <v>9</v>
      </c>
      <c r="S9" s="28">
        <v>4</v>
      </c>
      <c r="T9">
        <v>3.6</v>
      </c>
      <c r="U9" t="s">
        <v>833</v>
      </c>
    </row>
    <row r="10" spans="1:22" ht="15.75">
      <c r="A10">
        <v>6023</v>
      </c>
      <c r="B10" s="50" t="s">
        <v>352</v>
      </c>
      <c r="C10">
        <f>(toshiba26[[#This Row],[CANTIDAD INICIAL JUEGO ]]+toshiba26[[#This Row],[ENTRADAS JUEGOS ]]-toshiba26[[#This Row],[SALIDAS JUEGOS]])</f>
        <v>12</v>
      </c>
      <c r="D10">
        <f>(toshiba26[[#This Row],[CANTIDAD INICIAL BARRAS]]+toshiba26[[#This Row],[ENTRADAS BARRAS]]-toshiba26[[#This Row],[SALIDA BARRAS]])</f>
        <v>0</v>
      </c>
      <c r="E10" s="34">
        <v>300</v>
      </c>
      <c r="F10" s="38">
        <v>99</v>
      </c>
      <c r="G10" s="18">
        <v>4</v>
      </c>
      <c r="H10">
        <f>(toshiba26[[#This Row],["J" PRECIO VENTA ]]/toshiba26[[#This Row],[BARRAS]])</f>
        <v>75</v>
      </c>
      <c r="I10">
        <f>(toshiba26[[#This Row],["J"PRECIO COMPRA ]]/toshiba26[[#This Row],[BARRAS]])</f>
        <v>24.75</v>
      </c>
      <c r="J10">
        <f>SUMIF(entradas26[CODIGO],toshiba26[[#This Row],[CODIGO ]],entradas26[[CAN JUEGOS ]])</f>
        <v>0</v>
      </c>
      <c r="K10">
        <f>SUMIF(entradas26[CODIGO],toshiba26[[#This Row],[CODIGO ]],entradas26[CAN BARRAS])</f>
        <v>0</v>
      </c>
      <c r="L10">
        <f>SUMIF(salidas26[[CODIGO ]],toshiba26[[#This Row],[CODIGO ]],salidas26[[CANT JUEGOS ]])</f>
        <v>2</v>
      </c>
      <c r="M10">
        <f>SUMIF(salidas26[[CODIGO ]],toshiba26[[#This Row],[CODIGO ]],salidas26[CANT BARRAS])</f>
        <v>0</v>
      </c>
      <c r="N10">
        <f>(toshiba26[[#This Row],["J"PRECIO COMPRA ]]*toshiba26[[#This Row],[STOCK JUEGOS]])</f>
        <v>1188</v>
      </c>
      <c r="O10">
        <f>(toshiba26[[#This Row],["J" PRECIO VENTA ]]*toshiba26[[#This Row],[STOCK JUEGOS]])</f>
        <v>3600</v>
      </c>
      <c r="P10">
        <f>(toshiba26[[#This Row],["B"PRECIO COMPRA]]*toshiba26[[#This Row],[STOCK BARRAS]])</f>
        <v>0</v>
      </c>
      <c r="Q10">
        <f>(toshiba26[[#This Row],["B"PRECIO VENTA ]]*toshiba26[[#This Row],[STOCK BARRAS]])</f>
        <v>0</v>
      </c>
      <c r="R10" s="28">
        <v>14</v>
      </c>
      <c r="S10" s="28"/>
      <c r="T10">
        <v>4.5</v>
      </c>
      <c r="U10" t="s">
        <v>353</v>
      </c>
    </row>
    <row r="11" spans="1:22" ht="15.75">
      <c r="A11">
        <v>6024</v>
      </c>
      <c r="B11" s="50" t="s">
        <v>354</v>
      </c>
      <c r="C11">
        <f>(toshiba26[[#This Row],[CANTIDAD INICIAL JUEGO ]]+toshiba26[[#This Row],[ENTRADAS JUEGOS ]]-toshiba26[[#This Row],[SALIDAS JUEGOS]])</f>
        <v>0</v>
      </c>
      <c r="D11">
        <f>(toshiba26[[#This Row],[CANTIDAD INICIAL BARRAS]]+toshiba26[[#This Row],[ENTRADAS BARRAS]]-toshiba26[[#This Row],[SALIDA BARRAS]])</f>
        <v>11</v>
      </c>
      <c r="E11" s="34">
        <v>300</v>
      </c>
      <c r="F11" s="18">
        <v>146</v>
      </c>
      <c r="G11" s="18">
        <v>12</v>
      </c>
      <c r="H11">
        <f>(toshiba26[[#This Row],["J" PRECIO VENTA ]]/toshiba26[[#This Row],[BARRAS]])</f>
        <v>25</v>
      </c>
      <c r="I11">
        <f>(toshiba26[[#This Row],["J"PRECIO COMPRA ]]/toshiba26[[#This Row],[BARRAS]])</f>
        <v>12.166666666666666</v>
      </c>
      <c r="J11">
        <f>SUMIF(entradas26[CODIGO],toshiba26[[#This Row],[CODIGO ]],entradas26[[CAN JUEGOS ]])</f>
        <v>0</v>
      </c>
      <c r="K11">
        <f>SUMIF(entradas26[CODIGO],toshiba26[[#This Row],[CODIGO ]],entradas26[CAN BARRAS])</f>
        <v>24</v>
      </c>
      <c r="L11">
        <f>SUMIF(salidas26[[CODIGO ]],toshiba26[[#This Row],[CODIGO ]],salidas26[[CANT JUEGOS ]])</f>
        <v>9</v>
      </c>
      <c r="M11">
        <f>SUMIF(salidas26[[CODIGO ]],toshiba26[[#This Row],[CODIGO ]],salidas26[CANT BARRAS])</f>
        <v>19</v>
      </c>
      <c r="N11">
        <f>(toshiba26[[#This Row],["J"PRECIO COMPRA ]]*toshiba26[[#This Row],[STOCK JUEGOS]])</f>
        <v>0</v>
      </c>
      <c r="O11">
        <f>(toshiba26[[#This Row],["J" PRECIO VENTA ]]*toshiba26[[#This Row],[STOCK JUEGOS]])</f>
        <v>0</v>
      </c>
      <c r="P11">
        <f>(toshiba26[[#This Row],["B"PRECIO COMPRA]]*toshiba26[[#This Row],[STOCK BARRAS]])</f>
        <v>133.83333333333331</v>
      </c>
      <c r="Q11">
        <f>(toshiba26[[#This Row],["B"PRECIO VENTA ]]*toshiba26[[#This Row],[STOCK BARRAS]])</f>
        <v>275</v>
      </c>
      <c r="R11" s="28">
        <v>9</v>
      </c>
      <c r="S11" s="28">
        <v>6</v>
      </c>
      <c r="T11">
        <v>6.7</v>
      </c>
      <c r="U11" t="s">
        <v>355</v>
      </c>
    </row>
    <row r="12" spans="1:22" s="18" customFormat="1" ht="15.75">
      <c r="A12" s="18">
        <v>6025</v>
      </c>
      <c r="B12" s="55" t="s">
        <v>356</v>
      </c>
      <c r="C12" s="72">
        <f>(toshiba26[[#This Row],[CANTIDAD INICIAL JUEGO ]]+toshiba26[[#This Row],[ENTRADAS JUEGOS ]]-toshiba26[[#This Row],[SALIDAS JUEGOS]])</f>
        <v>18</v>
      </c>
      <c r="D12" s="18">
        <f>(toshiba26[[#This Row],[CANTIDAD INICIAL BARRAS]]+toshiba26[[#This Row],[ENTRADAS BARRAS]]-toshiba26[[#This Row],[SALIDA BARRAS]])</f>
        <v>0</v>
      </c>
      <c r="E12" s="36">
        <v>320</v>
      </c>
      <c r="F12" s="18">
        <v>128</v>
      </c>
      <c r="G12" s="18">
        <v>5</v>
      </c>
      <c r="H12" s="18">
        <f>(toshiba26[[#This Row],["J" PRECIO VENTA ]]/toshiba26[[#This Row],[BARRAS]])</f>
        <v>64</v>
      </c>
      <c r="I12" s="18">
        <f>(toshiba26[[#This Row],["J"PRECIO COMPRA ]]/toshiba26[[#This Row],[BARRAS]])</f>
        <v>25.6</v>
      </c>
      <c r="J12" s="18">
        <f>SUMIF(entradas26[CODIGO],toshiba26[[#This Row],[CODIGO ]],entradas26[[CAN JUEGOS ]])</f>
        <v>20</v>
      </c>
      <c r="K12" s="18">
        <f>SUMIF(entradas26[CODIGO],toshiba26[[#This Row],[CODIGO ]],entradas26[CAN BARRAS])</f>
        <v>0</v>
      </c>
      <c r="L12" s="18">
        <f>SUMIF(salidas26[[CODIGO ]],toshiba26[[#This Row],[CODIGO ]],salidas26[[CANT JUEGOS ]])</f>
        <v>2</v>
      </c>
      <c r="M12" s="18">
        <f>SUMIF(salidas26[[CODIGO ]],toshiba26[[#This Row],[CODIGO ]],salidas26[CANT BARRAS])</f>
        <v>0</v>
      </c>
      <c r="N12" s="18">
        <f>(toshiba26[[#This Row],["J"PRECIO COMPRA ]]*toshiba26[[#This Row],[STOCK JUEGOS]])</f>
        <v>2304</v>
      </c>
      <c r="O12" s="18">
        <f>(toshiba26[[#This Row],["J" PRECIO VENTA ]]*toshiba26[[#This Row],[STOCK JUEGOS]])</f>
        <v>5760</v>
      </c>
      <c r="P12" s="18">
        <f>(toshiba26[[#This Row],["B"PRECIO COMPRA]]*toshiba26[[#This Row],[STOCK BARRAS]])</f>
        <v>0</v>
      </c>
      <c r="Q12" s="18">
        <f>(toshiba26[[#This Row],["B"PRECIO VENTA ]]*toshiba26[[#This Row],[STOCK BARRAS]])</f>
        <v>0</v>
      </c>
      <c r="T12" s="18">
        <v>6.21</v>
      </c>
      <c r="U12" s="18" t="s">
        <v>357</v>
      </c>
    </row>
    <row r="13" spans="1:22" ht="15.75">
      <c r="A13" s="18">
        <v>6030</v>
      </c>
      <c r="B13" s="55" t="s">
        <v>358</v>
      </c>
      <c r="C13">
        <f>(toshiba26[[#This Row],[CANTIDAD INICIAL JUEGO ]]+toshiba26[[#This Row],[ENTRADAS JUEGOS ]]-toshiba26[[#This Row],[SALIDAS JUEGOS]])</f>
        <v>21</v>
      </c>
      <c r="D13">
        <f>(toshiba26[[#This Row],[CANTIDAD INICIAL BARRAS]]+toshiba26[[#This Row],[ENTRADAS BARRAS]]-toshiba26[[#This Row],[SALIDA BARRAS]])</f>
        <v>0</v>
      </c>
      <c r="E13" s="34">
        <v>320</v>
      </c>
      <c r="F13" s="18">
        <v>116</v>
      </c>
      <c r="G13" s="18">
        <v>2</v>
      </c>
      <c r="H13">
        <f>(toshiba26[[#This Row],["J" PRECIO VENTA ]]/toshiba26[[#This Row],[BARRAS]])</f>
        <v>160</v>
      </c>
      <c r="I13">
        <f>(toshiba26[[#This Row],["J"PRECIO COMPRA ]]/toshiba26[[#This Row],[BARRAS]])</f>
        <v>58</v>
      </c>
      <c r="J13">
        <f>SUMIF(entradas26[CODIGO],toshiba26[[#This Row],[CODIGO ]],entradas26[[CAN JUEGOS ]])</f>
        <v>20</v>
      </c>
      <c r="K13">
        <f>SUMIF(entradas26[CODIGO],toshiba26[[#This Row],[CODIGO ]],entradas26[CAN BARRAS])</f>
        <v>0</v>
      </c>
      <c r="L13">
        <f>SUMIF(salidas26[[CODIGO ]],toshiba26[[#This Row],[CODIGO ]],salidas26[[CANT JUEGOS ]])</f>
        <v>3</v>
      </c>
      <c r="M13">
        <f>SUMIF(salidas26[[CODIGO ]],toshiba26[[#This Row],[CODIGO ]],salidas26[CANT BARRAS])</f>
        <v>0</v>
      </c>
      <c r="N13">
        <f>(toshiba26[[#This Row],["J"PRECIO COMPRA ]]*toshiba26[[#This Row],[STOCK JUEGOS]])</f>
        <v>2436</v>
      </c>
      <c r="O13">
        <f>(toshiba26[[#This Row],["J" PRECIO VENTA ]]*toshiba26[[#This Row],[STOCK JUEGOS]])</f>
        <v>6720</v>
      </c>
      <c r="P13">
        <f>(toshiba26[[#This Row],["B"PRECIO COMPRA]]*toshiba26[[#This Row],[STOCK BARRAS]])</f>
        <v>0</v>
      </c>
      <c r="Q13">
        <f>(toshiba26[[#This Row],["B"PRECIO VENTA ]]*toshiba26[[#This Row],[STOCK BARRAS]])</f>
        <v>0</v>
      </c>
      <c r="R13" s="28">
        <v>4</v>
      </c>
      <c r="S13" s="28"/>
      <c r="T13">
        <v>5.8</v>
      </c>
    </row>
  </sheetData>
  <mergeCells count="1">
    <mergeCell ref="A2:U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0"/>
  <sheetViews>
    <sheetView topLeftCell="L1" workbookViewId="0">
      <selection activeCell="T5" sqref="T5:T10"/>
    </sheetView>
  </sheetViews>
  <sheetFormatPr baseColWidth="10" defaultColWidth="11.42578125" defaultRowHeight="15"/>
  <cols>
    <col min="1" max="1" width="10.85546875" customWidth="1"/>
    <col min="2" max="2" width="37.28515625" customWidth="1"/>
    <col min="3" max="3" width="6.7109375" customWidth="1"/>
    <col min="4" max="21" width="10.7109375" customWidth="1"/>
    <col min="22" max="22" width="14.28515625" customWidth="1"/>
  </cols>
  <sheetData>
    <row r="2" spans="1:22">
      <c r="A2" s="245" t="s">
        <v>359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</row>
    <row r="3" spans="1:22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</row>
    <row r="4" spans="1:22" ht="36">
      <c r="A4" s="5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 t="s">
        <v>6</v>
      </c>
      <c r="G4" s="10" t="s">
        <v>7</v>
      </c>
      <c r="H4" s="11" t="s">
        <v>8</v>
      </c>
      <c r="I4" s="11" t="s">
        <v>9</v>
      </c>
      <c r="J4" s="10" t="s">
        <v>10</v>
      </c>
      <c r="K4" s="10" t="s">
        <v>11</v>
      </c>
      <c r="L4" s="10" t="s">
        <v>12</v>
      </c>
      <c r="M4" s="12" t="s">
        <v>13</v>
      </c>
      <c r="N4" s="10" t="s">
        <v>14</v>
      </c>
      <c r="O4" s="13" t="s">
        <v>15</v>
      </c>
      <c r="P4" s="10" t="s">
        <v>16</v>
      </c>
      <c r="Q4" s="10" t="s">
        <v>17</v>
      </c>
      <c r="R4" s="13" t="s">
        <v>18</v>
      </c>
      <c r="S4" s="14" t="s">
        <v>19</v>
      </c>
      <c r="T4" s="15" t="s">
        <v>20</v>
      </c>
      <c r="U4" s="16" t="s">
        <v>21</v>
      </c>
      <c r="V4" t="s">
        <v>22</v>
      </c>
    </row>
    <row r="5" spans="1:22">
      <c r="A5">
        <v>6010</v>
      </c>
      <c r="B5" s="18" t="s">
        <v>360</v>
      </c>
      <c r="C5">
        <f>(HISENSE26[[#This Row],[CANTIDAD INICIAL JUEGO ]]+HISENSE26[[#This Row],[ENTRADAS JUEGOS ]]-HISENSE26[[#This Row],[SALIDAS JUEGOS]])</f>
        <v>0</v>
      </c>
      <c r="D5">
        <f>(HISENSE26[[#This Row],[CANTIDAD INICIAL BARRAS]]+HISENSE26[[#This Row],[ENTRADAS BARRAS]]-HISENSE26[[#This Row],[SALIDA BARRAS]])</f>
        <v>0</v>
      </c>
      <c r="E5" s="35">
        <v>180</v>
      </c>
      <c r="F5" s="38">
        <v>65</v>
      </c>
      <c r="G5" s="18">
        <v>1</v>
      </c>
      <c r="H5">
        <f>(HISENSE26[[#This Row],["J" PRECIO VENTA ]]/HISENSE26[[#This Row],[BARRAS]])</f>
        <v>180</v>
      </c>
      <c r="I5">
        <f>(HISENSE26[[#This Row],["J"PRECIO COMPRA ]]/HISENSE26[[#This Row],[BARRAS]])</f>
        <v>65</v>
      </c>
      <c r="J5">
        <f>SUMIF(entradas26[CODIGO],HISENSE26[[#This Row],[CODIGO ]],entradas26[[CAN JUEGOS ]])</f>
        <v>0</v>
      </c>
      <c r="K5">
        <f>SUMIF(entradas26[CODIGO],HISENSE26[[#This Row],[CODIGO ]],entradas26[CAN BARRAS])</f>
        <v>0</v>
      </c>
      <c r="L5">
        <f>SUMIF(salidas26[[CODIGO ]],HISENSE26[[#This Row],[CODIGO ]],salidas26[[CANT JUEGOS ]])</f>
        <v>1</v>
      </c>
      <c r="M5">
        <f>SUMIF(salidas26[[CODIGO ]],HISENSE26[[#This Row],[CODIGO ]],salidas26[CANT BARRAS])</f>
        <v>0</v>
      </c>
      <c r="N5">
        <f>(HISENSE26[[#This Row],["J"PRECIO COMPRA ]]*HISENSE26[[#This Row],[STOCK JUEGOS]])</f>
        <v>0</v>
      </c>
      <c r="O5">
        <f>(HISENSE26[[#This Row],["J" PRECIO VENTA ]]*HISENSE26[[#This Row],[STOCK JUEGOS]])</f>
        <v>0</v>
      </c>
      <c r="P5">
        <f>(HISENSE26[[#This Row],["B"PRECIO COMPRA]]*HISENSE26[[#This Row],[STOCK BARRAS]])</f>
        <v>0</v>
      </c>
      <c r="Q5">
        <f>(HISENSE26[[#This Row],["B"PRECIO VENTA ]]*HISENSE26[[#This Row],[STOCK BARRAS]])</f>
        <v>0</v>
      </c>
      <c r="R5" s="28">
        <v>1</v>
      </c>
      <c r="S5" s="28"/>
    </row>
    <row r="6" spans="1:22">
      <c r="A6">
        <v>6110</v>
      </c>
      <c r="B6" s="225" t="s">
        <v>940</v>
      </c>
      <c r="C6">
        <f>(HISENSE26[[#This Row],[CANTIDAD INICIAL JUEGO ]]+HISENSE26[[#This Row],[ENTRADAS JUEGOS ]]-HISENSE26[[#This Row],[SALIDAS JUEGOS]])</f>
        <v>19</v>
      </c>
      <c r="D6">
        <f>(HISENSE26[[#This Row],[CANTIDAD INICIAL BARRAS]]+HISENSE26[[#This Row],[ENTRADAS BARRAS]]-HISENSE26[[#This Row],[SALIDA BARRAS]])</f>
        <v>0</v>
      </c>
      <c r="E6" s="88">
        <v>60</v>
      </c>
      <c r="F6" s="38">
        <v>21</v>
      </c>
      <c r="G6" s="18"/>
      <c r="H6" t="e">
        <f>(HISENSE26[[#This Row],["J" PRECIO VENTA ]]/HISENSE26[[#This Row],[BARRAS]])</f>
        <v>#DIV/0!</v>
      </c>
      <c r="I6" t="e">
        <f>(HISENSE26[[#This Row],["J"PRECIO COMPRA ]]/HISENSE26[[#This Row],[BARRAS]])</f>
        <v>#DIV/0!</v>
      </c>
      <c r="J6">
        <f>SUMIF(entradas26[CODIGO],HISENSE26[[#This Row],[CODIGO ]],entradas26[[CAN JUEGOS ]])</f>
        <v>20</v>
      </c>
      <c r="K6">
        <f>SUMIF(entradas26[CODIGO],HISENSE26[[#This Row],[CODIGO ]],entradas26[CAN BARRAS])</f>
        <v>0</v>
      </c>
      <c r="L6">
        <f>SUMIF(salidas26[[CODIGO ]],HISENSE26[[#This Row],[CODIGO ]],salidas26[[CANT JUEGOS ]])</f>
        <v>1</v>
      </c>
      <c r="M6">
        <f>SUMIF(salidas26[[CODIGO ]],HISENSE26[[#This Row],[CODIGO ]],salidas26[CANT BARRAS])</f>
        <v>0</v>
      </c>
      <c r="N6">
        <f>(HISENSE26[[#This Row],["J"PRECIO COMPRA ]]*HISENSE26[[#This Row],[STOCK JUEGOS]])</f>
        <v>399</v>
      </c>
      <c r="O6">
        <f>(HISENSE26[[#This Row],["J" PRECIO VENTA ]]*HISENSE26[[#This Row],[STOCK JUEGOS]])</f>
        <v>1140</v>
      </c>
      <c r="P6" t="e">
        <f>(HISENSE26[[#This Row],["B"PRECIO COMPRA]]*HISENSE26[[#This Row],[STOCK BARRAS]])</f>
        <v>#DIV/0!</v>
      </c>
      <c r="Q6" t="e">
        <f>(HISENSE26[[#This Row],["B"PRECIO VENTA ]]*HISENSE26[[#This Row],[STOCK BARRAS]])</f>
        <v>#DIV/0!</v>
      </c>
      <c r="R6" s="28"/>
      <c r="S6" s="28"/>
      <c r="T6">
        <v>1.1000000000000001</v>
      </c>
      <c r="U6" t="s">
        <v>776</v>
      </c>
    </row>
    <row r="7" spans="1:22">
      <c r="A7">
        <v>6018</v>
      </c>
      <c r="B7" s="18" t="s">
        <v>361</v>
      </c>
      <c r="C7">
        <f>(HISENSE26[[#This Row],[CANTIDAD INICIAL JUEGO ]]+HISENSE26[[#This Row],[ENTRADAS JUEGOS ]]-HISENSE26[[#This Row],[SALIDAS JUEGOS]])</f>
        <v>12</v>
      </c>
      <c r="D7">
        <f>(HISENSE26[[#This Row],[CANTIDAD INICIAL BARRAS]]+HISENSE26[[#This Row],[ENTRADAS BARRAS]]-HISENSE26[[#This Row],[SALIDA BARRAS]])</f>
        <v>4</v>
      </c>
      <c r="E7" s="35">
        <v>280</v>
      </c>
      <c r="F7" s="38">
        <v>194</v>
      </c>
      <c r="G7" s="18">
        <v>11</v>
      </c>
      <c r="H7">
        <f>(HISENSE26[[#This Row],["J" PRECIO VENTA ]]/HISENSE26[[#This Row],[BARRAS]])</f>
        <v>25.454545454545453</v>
      </c>
      <c r="I7">
        <f>(HISENSE26[[#This Row],["J"PRECIO COMPRA ]]/HISENSE26[[#This Row],[BARRAS]])</f>
        <v>17.636363636363637</v>
      </c>
      <c r="J7">
        <f>SUMIF(entradas26[CODIGO],HISENSE26[[#This Row],[CODIGO ]],entradas26[[CAN JUEGOS ]])</f>
        <v>0</v>
      </c>
      <c r="K7">
        <f>SUMIF(entradas26[CODIGO],HISENSE26[[#This Row],[CODIGO ]],entradas26[CAN BARRAS])</f>
        <v>0</v>
      </c>
      <c r="L7">
        <f>SUMIF(salidas26[[CODIGO ]],HISENSE26[[#This Row],[CODIGO ]],salidas26[[CANT JUEGOS ]])</f>
        <v>1</v>
      </c>
      <c r="M7">
        <f>SUMIF(salidas26[[CODIGO ]],HISENSE26[[#This Row],[CODIGO ]],salidas26[CANT BARRAS])</f>
        <v>0</v>
      </c>
      <c r="N7">
        <f>(HISENSE26[[#This Row],["J"PRECIO COMPRA ]]*HISENSE26[[#This Row],[STOCK JUEGOS]])</f>
        <v>2328</v>
      </c>
      <c r="O7">
        <f>(HISENSE26[[#This Row],["J" PRECIO VENTA ]]*HISENSE26[[#This Row],[STOCK JUEGOS]])</f>
        <v>3360</v>
      </c>
      <c r="P7">
        <f>(HISENSE26[[#This Row],["B"PRECIO COMPRA]]*HISENSE26[[#This Row],[STOCK BARRAS]])</f>
        <v>70.545454545454547</v>
      </c>
      <c r="Q7">
        <f>(HISENSE26[[#This Row],["B"PRECIO VENTA ]]*HISENSE26[[#This Row],[STOCK BARRAS]])</f>
        <v>101.81818181818181</v>
      </c>
      <c r="R7" s="28">
        <v>13</v>
      </c>
      <c r="S7" s="28">
        <v>4</v>
      </c>
      <c r="T7">
        <v>5.6</v>
      </c>
      <c r="U7" t="s">
        <v>362</v>
      </c>
    </row>
    <row r="8" spans="1:22">
      <c r="A8">
        <v>6020</v>
      </c>
      <c r="B8" s="18" t="s">
        <v>744</v>
      </c>
      <c r="C8">
        <f>(HISENSE26[[#This Row],[CANTIDAD INICIAL JUEGO ]]+HISENSE26[[#This Row],[ENTRADAS JUEGOS ]]-HISENSE26[[#This Row],[SALIDAS JUEGOS]])</f>
        <v>20</v>
      </c>
      <c r="D8">
        <f>(HISENSE26[[#This Row],[CANTIDAD INICIAL BARRAS]]+HISENSE26[[#This Row],[ENTRADAS BARRAS]]-HISENSE26[[#This Row],[SALIDA BARRAS]])</f>
        <v>0</v>
      </c>
      <c r="E8" s="88">
        <v>300</v>
      </c>
      <c r="F8" s="38">
        <v>125.4</v>
      </c>
      <c r="G8" s="18"/>
      <c r="H8" t="e">
        <f>(HISENSE26[[#This Row],["J" PRECIO VENTA ]]/HISENSE26[[#This Row],[BARRAS]])</f>
        <v>#DIV/0!</v>
      </c>
      <c r="I8" t="e">
        <f>(HISENSE26[[#This Row],["J"PRECIO COMPRA ]]/HISENSE26[[#This Row],[BARRAS]])</f>
        <v>#DIV/0!</v>
      </c>
      <c r="J8">
        <f>SUMIF(entradas26[CODIGO],HISENSE26[[#This Row],[CODIGO ]],entradas26[[CAN JUEGOS ]])</f>
        <v>20</v>
      </c>
      <c r="K8">
        <f>SUMIF(entradas26[CODIGO],HISENSE26[[#This Row],[CODIGO ]],entradas26[CAN BARRAS])</f>
        <v>0</v>
      </c>
      <c r="L8">
        <f>SUMIF(salidas26[[CODIGO ]],HISENSE26[[#This Row],[CODIGO ]],salidas26[[CANT JUEGOS ]])</f>
        <v>0</v>
      </c>
      <c r="M8">
        <f>SUMIF(salidas26[[CODIGO ]],HISENSE26[[#This Row],[CODIGO ]],salidas26[CANT BARRAS])</f>
        <v>0</v>
      </c>
      <c r="N8">
        <f>(HISENSE26[[#This Row],["J"PRECIO COMPRA ]]*HISENSE26[[#This Row],[STOCK JUEGOS]])</f>
        <v>2508</v>
      </c>
      <c r="O8">
        <f>(HISENSE26[[#This Row],["J" PRECIO VENTA ]]*HISENSE26[[#This Row],[STOCK JUEGOS]])</f>
        <v>6000</v>
      </c>
      <c r="P8" t="e">
        <f>(HISENSE26[[#This Row],["B"PRECIO COMPRA]]*HISENSE26[[#This Row],[STOCK BARRAS]])</f>
        <v>#DIV/0!</v>
      </c>
      <c r="Q8" t="e">
        <f>(HISENSE26[[#This Row],["B"PRECIO VENTA ]]*HISENSE26[[#This Row],[STOCK BARRAS]])</f>
        <v>#DIV/0!</v>
      </c>
      <c r="R8" s="28">
        <v>0</v>
      </c>
      <c r="S8" s="28">
        <v>0</v>
      </c>
      <c r="T8">
        <v>6.6</v>
      </c>
      <c r="U8" t="s">
        <v>366</v>
      </c>
    </row>
    <row r="9" spans="1:22">
      <c r="A9">
        <v>6033</v>
      </c>
      <c r="B9" s="18" t="s">
        <v>365</v>
      </c>
      <c r="C9">
        <f>(HISENSE26[[#This Row],[CANTIDAD INICIAL JUEGO ]]+HISENSE26[[#This Row],[ENTRADAS JUEGOS ]]-HISENSE26[[#This Row],[SALIDAS JUEGOS]])</f>
        <v>18</v>
      </c>
      <c r="D9">
        <f>(HISENSE26[[#This Row],[CANTIDAD INICIAL BARRAS]]+HISENSE26[[#This Row],[ENTRADAS BARRAS]]-HISENSE26[[#This Row],[SALIDA BARRAS]])</f>
        <v>0</v>
      </c>
      <c r="E9" s="35">
        <v>350</v>
      </c>
      <c r="F9" s="38">
        <v>92</v>
      </c>
      <c r="G9" s="18">
        <v>4</v>
      </c>
      <c r="H9">
        <f>(HISENSE26[[#This Row],["J" PRECIO VENTA ]]/HISENSE26[[#This Row],[BARRAS]])</f>
        <v>87.5</v>
      </c>
      <c r="I9">
        <f>(HISENSE26[[#This Row],["J"PRECIO COMPRA ]]/HISENSE26[[#This Row],[BARRAS]])</f>
        <v>23</v>
      </c>
      <c r="J9">
        <f>SUMIF(entradas26[CODIGO],HISENSE26[[#This Row],[CODIGO ]],entradas26[[CAN JUEGOS ]])</f>
        <v>0</v>
      </c>
      <c r="K9">
        <f>SUMIF(entradas26[CODIGO],HISENSE26[[#This Row],[CODIGO ]],entradas26[CAN BARRAS])</f>
        <v>0</v>
      </c>
      <c r="L9">
        <f>SUMIF(salidas26[[CODIGO ]],HISENSE26[[#This Row],[CODIGO ]],salidas26[[CANT JUEGOS ]])</f>
        <v>2</v>
      </c>
      <c r="M9">
        <f>SUMIF(salidas26[[CODIGO ]],HISENSE26[[#This Row],[CODIGO ]],salidas26[CANT BARRAS])</f>
        <v>0</v>
      </c>
      <c r="N9">
        <f>(HISENSE26[[#This Row],["J"PRECIO COMPRA ]]*HISENSE26[[#This Row],[STOCK JUEGOS]])</f>
        <v>1656</v>
      </c>
      <c r="O9">
        <f>(HISENSE26[[#This Row],["J" PRECIO VENTA ]]*HISENSE26[[#This Row],[STOCK JUEGOS]])</f>
        <v>6300</v>
      </c>
      <c r="P9">
        <f>(HISENSE26[[#This Row],["B"PRECIO COMPRA]]*HISENSE26[[#This Row],[STOCK BARRAS]])</f>
        <v>0</v>
      </c>
      <c r="Q9">
        <f>(HISENSE26[[#This Row],["B"PRECIO VENTA ]]*HISENSE26[[#This Row],[STOCK BARRAS]])</f>
        <v>0</v>
      </c>
      <c r="R9" s="28">
        <v>20</v>
      </c>
      <c r="S9" s="28"/>
      <c r="T9">
        <v>6.6</v>
      </c>
    </row>
    <row r="10" spans="1:22">
      <c r="A10">
        <v>6034</v>
      </c>
      <c r="B10" s="51" t="s">
        <v>367</v>
      </c>
      <c r="C10">
        <f>(HISENSE26[[#This Row],[CANTIDAD INICIAL JUEGO ]]+HISENSE26[[#This Row],[ENTRADAS JUEGOS ]]-HISENSE26[[#This Row],[SALIDAS JUEGOS]])</f>
        <v>23</v>
      </c>
      <c r="D10">
        <f>(HISENSE26[[#This Row],[CANTIDAD INICIAL BARRAS]]+HISENSE26[[#This Row],[ENTRADAS BARRAS]]-HISENSE26[[#This Row],[SALIDA BARRAS]])</f>
        <v>4</v>
      </c>
      <c r="E10" s="35">
        <v>380</v>
      </c>
      <c r="F10" s="38">
        <v>93</v>
      </c>
      <c r="G10" s="18">
        <v>6</v>
      </c>
      <c r="H10">
        <f>(HISENSE26[[#This Row],["J" PRECIO VENTA ]]/HISENSE26[[#This Row],[BARRAS]])</f>
        <v>63.333333333333336</v>
      </c>
      <c r="I10">
        <f>(HISENSE26[[#This Row],["J"PRECIO COMPRA ]]/HISENSE26[[#This Row],[BARRAS]])</f>
        <v>15.5</v>
      </c>
      <c r="J10">
        <f>SUMIF(entradas26[CODIGO],HISENSE26[[#This Row],[CODIGO ]],entradas26[[CAN JUEGOS ]])</f>
        <v>20</v>
      </c>
      <c r="K10">
        <f>SUMIF(entradas26[CODIGO],HISENSE26[[#This Row],[CODIGO ]],entradas26[CAN BARRAS])</f>
        <v>6</v>
      </c>
      <c r="L10">
        <f>SUMIF(salidas26[[CODIGO ]],HISENSE26[[#This Row],[CODIGO ]],salidas26[[CANT JUEGOS ]])</f>
        <v>6</v>
      </c>
      <c r="M10">
        <f>SUMIF(salidas26[[CODIGO ]],HISENSE26[[#This Row],[CODIGO ]],salidas26[CANT BARRAS])</f>
        <v>2</v>
      </c>
      <c r="N10">
        <f>(HISENSE26[[#This Row],["J"PRECIO COMPRA ]]*HISENSE26[[#This Row],[STOCK JUEGOS]])</f>
        <v>2139</v>
      </c>
      <c r="O10">
        <f>(HISENSE26[[#This Row],["J" PRECIO VENTA ]]*HISENSE26[[#This Row],[STOCK JUEGOS]])</f>
        <v>8740</v>
      </c>
      <c r="P10">
        <f>(HISENSE26[[#This Row],["B"PRECIO COMPRA]]*HISENSE26[[#This Row],[STOCK BARRAS]])</f>
        <v>62</v>
      </c>
      <c r="Q10">
        <f>(HISENSE26[[#This Row],["B"PRECIO VENTA ]]*HISENSE26[[#This Row],[STOCK BARRAS]])</f>
        <v>253.33333333333334</v>
      </c>
      <c r="R10" s="28">
        <v>9</v>
      </c>
      <c r="S10" s="28"/>
      <c r="T10">
        <v>4.9000000000000004</v>
      </c>
      <c r="U10" t="s">
        <v>368</v>
      </c>
    </row>
  </sheetData>
  <mergeCells count="1">
    <mergeCell ref="A2:U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3"/>
  <sheetViews>
    <sheetView topLeftCell="K1" workbookViewId="0">
      <selection activeCell="T5" sqref="T5:T13"/>
    </sheetView>
  </sheetViews>
  <sheetFormatPr baseColWidth="10" defaultColWidth="11.42578125" defaultRowHeight="15"/>
  <cols>
    <col min="1" max="1" width="7" customWidth="1"/>
    <col min="2" max="2" width="33" customWidth="1"/>
    <col min="3" max="3" width="6.140625" customWidth="1"/>
    <col min="4" max="19" width="10.28515625" customWidth="1"/>
    <col min="20" max="20" width="8.7109375" customWidth="1"/>
    <col min="21" max="21" width="16.28515625" customWidth="1"/>
  </cols>
  <sheetData>
    <row r="2" spans="1:21">
      <c r="A2" s="245" t="s">
        <v>369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</row>
    <row r="3" spans="1:21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</row>
    <row r="4" spans="1:21" ht="36">
      <c r="A4" s="5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 t="s">
        <v>6</v>
      </c>
      <c r="G4" s="10" t="s">
        <v>7</v>
      </c>
      <c r="H4" s="11" t="s">
        <v>8</v>
      </c>
      <c r="I4" s="11" t="s">
        <v>9</v>
      </c>
      <c r="J4" s="10" t="s">
        <v>10</v>
      </c>
      <c r="K4" s="10" t="s">
        <v>11</v>
      </c>
      <c r="L4" s="10" t="s">
        <v>12</v>
      </c>
      <c r="M4" s="12" t="s">
        <v>13</v>
      </c>
      <c r="N4" s="10" t="s">
        <v>14</v>
      </c>
      <c r="O4" s="13" t="s">
        <v>15</v>
      </c>
      <c r="P4" s="10" t="s">
        <v>16</v>
      </c>
      <c r="Q4" s="10" t="s">
        <v>17</v>
      </c>
      <c r="R4" s="13" t="s">
        <v>18</v>
      </c>
      <c r="S4" s="14" t="s">
        <v>19</v>
      </c>
      <c r="T4" s="15" t="s">
        <v>20</v>
      </c>
      <c r="U4" s="16" t="s">
        <v>21</v>
      </c>
    </row>
    <row r="5" spans="1:21">
      <c r="A5">
        <v>6000</v>
      </c>
      <c r="B5" s="50" t="s">
        <v>370</v>
      </c>
      <c r="C5">
        <f>(SKYW26[[#This Row],[CANTIDAD INICIAL JUEGO ]]+SKYW26[[#This Row],[ENTRADAS JUEGOS ]]-SKYW26[[#This Row],[SALIDAS JUEGOS]])</f>
        <v>6</v>
      </c>
      <c r="D5">
        <f>(SKYW26[[#This Row],[CANTIDAD INICIAL BARRAS]]+SKYW26[[#This Row],[ENTRADAS BARRAS]]-SKYW26[[#This Row],[SALIDA BARRAS]])</f>
        <v>0</v>
      </c>
      <c r="E5" s="35">
        <v>60</v>
      </c>
      <c r="F5" s="18">
        <v>21</v>
      </c>
      <c r="G5" s="18">
        <v>2</v>
      </c>
      <c r="H5">
        <f>(SKYW26[[#This Row],["J" PRECIO VENTA ]]/SKYW26[[#This Row],[BARRAS]])</f>
        <v>30</v>
      </c>
      <c r="I5">
        <f>(SKYW26[[#This Row],["J"PRECIO COMPRA ]]/SKYW26[[#This Row],[BARRAS]])</f>
        <v>10.5</v>
      </c>
      <c r="J5">
        <f>SUMIF(entradas26[CODIGO],SKYW26[[#This Row],[CODIGO ]],entradas26[[CAN JUEGOS ]])</f>
        <v>30</v>
      </c>
      <c r="K5">
        <f>SUMIF(entradas26[CODIGO],SKYW26[[#This Row],[CODIGO ]],entradas26[CAN BARRAS])</f>
        <v>0</v>
      </c>
      <c r="L5">
        <f>SUMIF(salidas26[[CODIGO ]],SKYW26[[#This Row],[CODIGO ]],salidas26[[CANT JUEGOS ]])</f>
        <v>49</v>
      </c>
      <c r="M5">
        <f>SUMIF(salidas26[[CODIGO ]],SKYW26[[#This Row],[CODIGO ]],salidas26[CANT BARRAS])</f>
        <v>0</v>
      </c>
      <c r="N5">
        <f>(SKYW26[[#This Row],["J"PRECIO COMPRA ]]*SKYW26[[#This Row],[STOCK JUEGOS]])</f>
        <v>126</v>
      </c>
      <c r="O5">
        <f>(SKYW26[[#This Row],["J" PRECIO VENTA ]]*SKYW26[[#This Row],[STOCK JUEGOS]])</f>
        <v>360</v>
      </c>
      <c r="P5">
        <f>(SKYW26[[#This Row],["B"PRECIO COMPRA]]*SKYW26[[#This Row],[STOCK BARRAS]])</f>
        <v>0</v>
      </c>
      <c r="Q5">
        <f>(SKYW26[[#This Row],["B"PRECIO VENTA ]]*SKYW26[[#This Row],[STOCK BARRAS]])</f>
        <v>0</v>
      </c>
      <c r="R5" s="28">
        <v>25</v>
      </c>
      <c r="S5" s="28"/>
      <c r="T5">
        <v>1.1000000000000001</v>
      </c>
      <c r="U5" t="s">
        <v>835</v>
      </c>
    </row>
    <row r="6" spans="1:21">
      <c r="A6" t="s">
        <v>856</v>
      </c>
      <c r="B6" s="55" t="s">
        <v>857</v>
      </c>
      <c r="C6">
        <f>(SKYW26[[#This Row],[CANTIDAD INICIAL JUEGO ]]+SKYW26[[#This Row],[ENTRADAS JUEGOS ]]-SKYW26[[#This Row],[SALIDAS JUEGOS]])</f>
        <v>17</v>
      </c>
      <c r="D6">
        <f>(SKYW26[[#This Row],[CANTIDAD INICIAL BARRAS]]+SKYW26[[#This Row],[ENTRADAS BARRAS]]-SKYW26[[#This Row],[SALIDA BARRAS]])</f>
        <v>0</v>
      </c>
      <c r="E6" s="35">
        <v>60</v>
      </c>
      <c r="F6" s="18">
        <v>25</v>
      </c>
      <c r="G6" s="18"/>
      <c r="H6" t="e">
        <f>(SKYW26[[#This Row],["J" PRECIO VENTA ]]/SKYW26[[#This Row],[BARRAS]])</f>
        <v>#DIV/0!</v>
      </c>
      <c r="I6" t="e">
        <f>(SKYW26[[#This Row],["J"PRECIO COMPRA ]]/SKYW26[[#This Row],[BARRAS]])</f>
        <v>#DIV/0!</v>
      </c>
      <c r="J6">
        <f>SUMIF(entradas26[CODIGO],SKYW26[[#This Row],[CODIGO ]],entradas26[[CAN JUEGOS ]])</f>
        <v>20</v>
      </c>
      <c r="K6">
        <f>SUMIF(entradas26[CODIGO],SKYW26[[#This Row],[CODIGO ]],entradas26[CAN BARRAS])</f>
        <v>0</v>
      </c>
      <c r="L6">
        <f>SUMIF(salidas26[[CODIGO ]],SKYW26[[#This Row],[CODIGO ]],salidas26[[CANT JUEGOS ]])</f>
        <v>3</v>
      </c>
      <c r="M6">
        <f>SUMIF(salidas26[[CODIGO ]],SKYW26[[#This Row],[CODIGO ]],salidas26[CANT BARRAS])</f>
        <v>0</v>
      </c>
      <c r="N6">
        <f>(SKYW26[[#This Row],["J"PRECIO COMPRA ]]*SKYW26[[#This Row],[STOCK JUEGOS]])</f>
        <v>425</v>
      </c>
      <c r="O6">
        <f>(SKYW26[[#This Row],["J" PRECIO VENTA ]]*SKYW26[[#This Row],[STOCK JUEGOS]])</f>
        <v>1020</v>
      </c>
      <c r="P6" t="e">
        <f>(SKYW26[[#This Row],["B"PRECIO COMPRA]]*SKYW26[[#This Row],[STOCK BARRAS]])</f>
        <v>#DIV/0!</v>
      </c>
      <c r="Q6" t="e">
        <f>(SKYW26[[#This Row],["B"PRECIO VENTA ]]*SKYW26[[#This Row],[STOCK BARRAS]])</f>
        <v>#DIV/0!</v>
      </c>
      <c r="R6" s="28"/>
      <c r="S6" s="28"/>
      <c r="T6">
        <v>1.3</v>
      </c>
    </row>
    <row r="7" spans="1:21">
      <c r="A7">
        <v>6006</v>
      </c>
      <c r="B7" s="55" t="s">
        <v>371</v>
      </c>
      <c r="C7">
        <f>(SKYW26[[#This Row],[CANTIDAD INICIAL JUEGO ]]+SKYW26[[#This Row],[ENTRADAS JUEGOS ]]-SKYW26[[#This Row],[SALIDAS JUEGOS]])</f>
        <v>15</v>
      </c>
      <c r="D7">
        <f>(SKYW26[[#This Row],[CANTIDAD INICIAL BARRAS]]+SKYW26[[#This Row],[ENTRADAS BARRAS]]-SKYW26[[#This Row],[SALIDA BARRAS]])</f>
        <v>2</v>
      </c>
      <c r="E7" s="35">
        <v>140</v>
      </c>
      <c r="F7" s="18">
        <v>46</v>
      </c>
      <c r="G7" s="18">
        <v>3</v>
      </c>
      <c r="H7">
        <f>(SKYW26[[#This Row],["J" PRECIO VENTA ]]/SKYW26[[#This Row],[BARRAS]])</f>
        <v>46.666666666666664</v>
      </c>
      <c r="I7">
        <f>(SKYW26[[#This Row],["J"PRECIO COMPRA ]]/SKYW26[[#This Row],[BARRAS]])</f>
        <v>15.333333333333334</v>
      </c>
      <c r="J7">
        <f>SUMIF(entradas26[CODIGO],SKYW26[[#This Row],[CODIGO ]],entradas26[[CAN JUEGOS ]])</f>
        <v>20</v>
      </c>
      <c r="K7">
        <f>SUMIF(entradas26[CODIGO],SKYW26[[#This Row],[CODIGO ]],entradas26[CAN BARRAS])</f>
        <v>0</v>
      </c>
      <c r="L7">
        <f>SUMIF(salidas26[[CODIGO ]],SKYW26[[#This Row],[CODIGO ]],salidas26[[CANT JUEGOS ]])</f>
        <v>15</v>
      </c>
      <c r="M7">
        <f>SUMIF(salidas26[[CODIGO ]],SKYW26[[#This Row],[CODIGO ]],salidas26[CANT BARRAS])</f>
        <v>0</v>
      </c>
      <c r="N7">
        <f>(SKYW26[[#This Row],["J"PRECIO COMPRA ]]*SKYW26[[#This Row],[STOCK JUEGOS]])</f>
        <v>690</v>
      </c>
      <c r="O7">
        <f>(SKYW26[[#This Row],["J" PRECIO VENTA ]]*SKYW26[[#This Row],[STOCK JUEGOS]])</f>
        <v>2100</v>
      </c>
      <c r="P7">
        <f>(SKYW26[[#This Row],["B"PRECIO COMPRA]]*SKYW26[[#This Row],[STOCK BARRAS]])</f>
        <v>30.666666666666668</v>
      </c>
      <c r="Q7">
        <f>(SKYW26[[#This Row],["B"PRECIO VENTA ]]*SKYW26[[#This Row],[STOCK BARRAS]])</f>
        <v>93.333333333333329</v>
      </c>
      <c r="R7" s="28">
        <v>10</v>
      </c>
      <c r="S7" s="28">
        <v>2</v>
      </c>
      <c r="T7">
        <v>1.8</v>
      </c>
    </row>
    <row r="8" spans="1:21">
      <c r="A8">
        <v>6007</v>
      </c>
      <c r="B8" s="55" t="s">
        <v>372</v>
      </c>
      <c r="C8">
        <f>(SKYW26[[#This Row],[CANTIDAD INICIAL JUEGO ]]+SKYW26[[#This Row],[ENTRADAS JUEGOS ]]-SKYW26[[#This Row],[SALIDAS JUEGOS]])</f>
        <v>12</v>
      </c>
      <c r="D8">
        <f>(SKYW26[[#This Row],[CANTIDAD INICIAL BARRAS]]+SKYW26[[#This Row],[ENTRADAS BARRAS]]-SKYW26[[#This Row],[SALIDA BARRAS]])</f>
        <v>1</v>
      </c>
      <c r="E8" s="35">
        <v>180</v>
      </c>
      <c r="F8" s="18">
        <v>30</v>
      </c>
      <c r="G8" s="18">
        <v>3</v>
      </c>
      <c r="H8">
        <f>(SKYW26[[#This Row],["J" PRECIO VENTA ]]/SKYW26[[#This Row],[BARRAS]])</f>
        <v>60</v>
      </c>
      <c r="I8">
        <f>(SKYW26[[#This Row],["J"PRECIO COMPRA ]]/SKYW26[[#This Row],[BARRAS]])</f>
        <v>10</v>
      </c>
      <c r="J8">
        <f>SUMIF(entradas26[CODIGO],SKYW26[[#This Row],[CODIGO ]],entradas26[[CAN JUEGOS ]])</f>
        <v>0</v>
      </c>
      <c r="K8">
        <f>SUMIF(entradas26[CODIGO],SKYW26[[#This Row],[CODIGO ]],entradas26[CAN BARRAS])</f>
        <v>0</v>
      </c>
      <c r="L8">
        <f>SUMIF(salidas26[[CODIGO ]],SKYW26[[#This Row],[CODIGO ]],salidas26[[CANT JUEGOS ]])</f>
        <v>6</v>
      </c>
      <c r="M8">
        <f>SUMIF(salidas26[[CODIGO ]],SKYW26[[#This Row],[CODIGO ]],salidas26[CANT BARRAS])</f>
        <v>0</v>
      </c>
      <c r="N8">
        <f>(SKYW26[[#This Row],["J"PRECIO COMPRA ]]*SKYW26[[#This Row],[STOCK JUEGOS]])</f>
        <v>360</v>
      </c>
      <c r="O8">
        <f>(SKYW26[[#This Row],["J" PRECIO VENTA ]]*SKYW26[[#This Row],[STOCK JUEGOS]])</f>
        <v>2160</v>
      </c>
      <c r="P8">
        <f>(SKYW26[[#This Row],["B"PRECIO COMPRA]]*SKYW26[[#This Row],[STOCK BARRAS]])</f>
        <v>10</v>
      </c>
      <c r="Q8">
        <f>(SKYW26[[#This Row],["B"PRECIO VENTA ]]*SKYW26[[#This Row],[STOCK BARRAS]])</f>
        <v>60</v>
      </c>
      <c r="R8" s="28">
        <v>18</v>
      </c>
      <c r="S8" s="28">
        <v>1</v>
      </c>
    </row>
    <row r="9" spans="1:21">
      <c r="A9">
        <v>6008</v>
      </c>
      <c r="B9" s="55" t="s">
        <v>373</v>
      </c>
      <c r="C9">
        <f>(SKYW26[[#This Row],[CANTIDAD INICIAL JUEGO ]]+SKYW26[[#This Row],[ENTRADAS JUEGOS ]]-SKYW26[[#This Row],[SALIDAS JUEGOS]])</f>
        <v>26</v>
      </c>
      <c r="D9">
        <f>(SKYW26[[#This Row],[CANTIDAD INICIAL BARRAS]]+SKYW26[[#This Row],[ENTRADAS BARRAS]]-SKYW26[[#This Row],[SALIDA BARRAS]])</f>
        <v>0</v>
      </c>
      <c r="E9" s="35">
        <v>180</v>
      </c>
      <c r="F9" s="18">
        <v>70</v>
      </c>
      <c r="G9" s="18">
        <v>3</v>
      </c>
      <c r="H9">
        <f>(SKYW26[[#This Row],["J" PRECIO VENTA ]]/SKYW26[[#This Row],[BARRAS]])</f>
        <v>60</v>
      </c>
      <c r="I9">
        <f>(SKYW26[[#This Row],["J"PRECIO COMPRA ]]/SKYW26[[#This Row],[BARRAS]])</f>
        <v>23.333333333333332</v>
      </c>
      <c r="J9">
        <f>SUMIF(entradas26[CODIGO],SKYW26[[#This Row],[CODIGO ]],entradas26[[CAN JUEGOS ]])</f>
        <v>20</v>
      </c>
      <c r="K9">
        <f>SUMIF(entradas26[CODIGO],SKYW26[[#This Row],[CODIGO ]],entradas26[CAN BARRAS])</f>
        <v>0</v>
      </c>
      <c r="L9">
        <f>SUMIF(salidas26[[CODIGO ]],SKYW26[[#This Row],[CODIGO ]],salidas26[[CANT JUEGOS ]])</f>
        <v>6</v>
      </c>
      <c r="M9">
        <f>SUMIF(salidas26[[CODIGO ]],SKYW26[[#This Row],[CODIGO ]],salidas26[CANT BARRAS])</f>
        <v>0</v>
      </c>
      <c r="N9">
        <f>(SKYW26[[#This Row],["J"PRECIO COMPRA ]]*SKYW26[[#This Row],[STOCK JUEGOS]])</f>
        <v>1820</v>
      </c>
      <c r="O9">
        <f>(SKYW26[[#This Row],["J" PRECIO VENTA ]]*SKYW26[[#This Row],[STOCK JUEGOS]])</f>
        <v>4680</v>
      </c>
      <c r="P9">
        <f>(SKYW26[[#This Row],["B"PRECIO COMPRA]]*SKYW26[[#This Row],[STOCK BARRAS]])</f>
        <v>0</v>
      </c>
      <c r="Q9">
        <f>(SKYW26[[#This Row],["B"PRECIO VENTA ]]*SKYW26[[#This Row],[STOCK BARRAS]])</f>
        <v>0</v>
      </c>
      <c r="R9" s="28">
        <v>12</v>
      </c>
      <c r="S9" s="28"/>
      <c r="T9">
        <v>3.5</v>
      </c>
      <c r="U9" t="s">
        <v>901</v>
      </c>
    </row>
    <row r="10" spans="1:21" ht="15.75">
      <c r="A10">
        <v>6022</v>
      </c>
      <c r="B10" s="50" t="s">
        <v>374</v>
      </c>
      <c r="C10">
        <f>(SKYW26[[#This Row],[CANTIDAD INICIAL JUEGO ]]+SKYW26[[#This Row],[ENTRADAS JUEGOS ]]-SKYW26[[#This Row],[SALIDAS JUEGOS]])</f>
        <v>6</v>
      </c>
      <c r="D10">
        <f>(SKYW26[[#This Row],[CANTIDAD INICIAL BARRAS]]+SKYW26[[#This Row],[ENTRADAS BARRAS]]-SKYW26[[#This Row],[SALIDA BARRAS]])</f>
        <v>0</v>
      </c>
      <c r="E10" s="34">
        <v>350</v>
      </c>
      <c r="F10" s="18">
        <v>78</v>
      </c>
      <c r="G10" s="18">
        <v>5</v>
      </c>
      <c r="H10">
        <f>(SKYW26[[#This Row],["J" PRECIO VENTA ]]/SKYW26[[#This Row],[BARRAS]])</f>
        <v>70</v>
      </c>
      <c r="I10">
        <f>(SKYW26[[#This Row],["J"PRECIO COMPRA ]]/SKYW26[[#This Row],[BARRAS]])</f>
        <v>15.6</v>
      </c>
      <c r="J10">
        <f>SUMIF(entradas26[CODIGO],SKYW26[[#This Row],[CODIGO ]],entradas26[[CAN JUEGOS ]])</f>
        <v>20</v>
      </c>
      <c r="K10">
        <f>SUMIF(entradas26[CODIGO],SKYW26[[#This Row],[CODIGO ]],entradas26[CAN BARRAS])</f>
        <v>0</v>
      </c>
      <c r="L10">
        <f>SUMIF(salidas26[[CODIGO ]],SKYW26[[#This Row],[CODIGO ]],salidas26[[CANT JUEGOS ]])</f>
        <v>29</v>
      </c>
      <c r="M10">
        <f>SUMIF(salidas26[[CODIGO ]],SKYW26[[#This Row],[CODIGO ]],salidas26[CANT BARRAS])</f>
        <v>0</v>
      </c>
      <c r="N10">
        <f>(SKYW26[[#This Row],["J"PRECIO COMPRA ]]*SKYW26[[#This Row],[STOCK JUEGOS]])</f>
        <v>468</v>
      </c>
      <c r="O10">
        <f>(SKYW26[[#This Row],["J" PRECIO VENTA ]]*SKYW26[[#This Row],[STOCK JUEGOS]])</f>
        <v>2100</v>
      </c>
      <c r="P10">
        <f>(SKYW26[[#This Row],["B"PRECIO COMPRA]]*SKYW26[[#This Row],[STOCK BARRAS]])</f>
        <v>0</v>
      </c>
      <c r="Q10">
        <f>(SKYW26[[#This Row],["B"PRECIO VENTA ]]*SKYW26[[#This Row],[STOCK BARRAS]])</f>
        <v>0</v>
      </c>
      <c r="R10" s="28">
        <v>15</v>
      </c>
      <c r="S10" s="28"/>
      <c r="T10">
        <v>7.2</v>
      </c>
    </row>
    <row r="11" spans="1:21" ht="15.75">
      <c r="A11">
        <v>6131</v>
      </c>
      <c r="B11" s="55" t="s">
        <v>718</v>
      </c>
      <c r="C11" s="18">
        <f>(SKYW26[[#This Row],[CANTIDAD INICIAL JUEGO ]]+SKYW26[[#This Row],[ENTRADAS JUEGOS ]]-SKYW26[[#This Row],[SALIDAS JUEGOS]])</f>
        <v>0</v>
      </c>
      <c r="D11">
        <f>(SKYW26[[#This Row],[CANTIDAD INICIAL BARRAS]]+SKYW26[[#This Row],[ENTRADAS BARRAS]]-SKYW26[[#This Row],[SALIDA BARRAS]])</f>
        <v>270</v>
      </c>
      <c r="E11" s="34">
        <v>400</v>
      </c>
      <c r="F11" s="18">
        <v>94</v>
      </c>
      <c r="G11" s="18">
        <v>12</v>
      </c>
      <c r="H11">
        <f>(SKYW26[[#This Row],["J" PRECIO VENTA ]]/SKYW26[[#This Row],[BARRAS]])</f>
        <v>33.333333333333336</v>
      </c>
      <c r="I11">
        <f>(SKYW26[[#This Row],["J"PRECIO COMPRA ]]/SKYW26[[#This Row],[BARRAS]])</f>
        <v>7.833333333333333</v>
      </c>
      <c r="J11">
        <f>SUMIF(entradas26[CODIGO],SKYW26[[#This Row],[CODIGO ]],entradas26[[CAN JUEGOS ]])</f>
        <v>0</v>
      </c>
      <c r="K11">
        <f>SUMIF(entradas26[CODIGO],SKYW26[[#This Row],[CODIGO ]],entradas26[CAN BARRAS])</f>
        <v>200</v>
      </c>
      <c r="L11">
        <f>SUMIF(salidas26[[CODIGO ]],SKYW26[[#This Row],[CODIGO ]],salidas26[[CANT JUEGOS ]])</f>
        <v>0</v>
      </c>
      <c r="M11">
        <f>SUMIF(salidas26[[CODIGO ]],SKYW26[[#This Row],[CODIGO ]],salidas26[CANT BARRAS])</f>
        <v>134</v>
      </c>
      <c r="N11">
        <f>(SKYW26[[#This Row],["J"PRECIO COMPRA ]]*SKYW26[[#This Row],[STOCK JUEGOS]])</f>
        <v>0</v>
      </c>
      <c r="O11">
        <f>(SKYW26[[#This Row],["J" PRECIO VENTA ]]*SKYW26[[#This Row],[STOCK JUEGOS]])</f>
        <v>0</v>
      </c>
      <c r="P11">
        <f>(SKYW26[[#This Row],["B"PRECIO COMPRA]]*SKYW26[[#This Row],[STOCK BARRAS]])</f>
        <v>2115</v>
      </c>
      <c r="Q11">
        <f>(SKYW26[[#This Row],["B"PRECIO VENTA ]]*SKYW26[[#This Row],[STOCK BARRAS]])</f>
        <v>9000</v>
      </c>
      <c r="R11" s="31"/>
      <c r="S11" s="31">
        <v>204</v>
      </c>
      <c r="T11">
        <v>4.7</v>
      </c>
      <c r="U11" t="s">
        <v>903</v>
      </c>
    </row>
    <row r="12" spans="1:21" ht="15.75">
      <c r="A12" t="s">
        <v>858</v>
      </c>
      <c r="B12" s="55" t="s">
        <v>859</v>
      </c>
      <c r="C12" s="18">
        <f>(SKYW26[[#This Row],[CANTIDAD INICIAL JUEGO ]]+SKYW26[[#This Row],[ENTRADAS JUEGOS ]]-SKYW26[[#This Row],[SALIDAS JUEGOS]])</f>
        <v>16</v>
      </c>
      <c r="D12">
        <f>(SKYW26[[#This Row],[CANTIDAD INICIAL BARRAS]]+SKYW26[[#This Row],[ENTRADAS BARRAS]]-SKYW26[[#This Row],[SALIDA BARRAS]])</f>
        <v>0</v>
      </c>
      <c r="E12" s="34">
        <v>420</v>
      </c>
      <c r="F12" s="18">
        <v>130</v>
      </c>
      <c r="G12" s="18"/>
      <c r="H12" t="e">
        <f>(SKYW26[[#This Row],["J" PRECIO VENTA ]]/SKYW26[[#This Row],[BARRAS]])</f>
        <v>#DIV/0!</v>
      </c>
      <c r="I12" t="e">
        <f>(SKYW26[[#This Row],["J"PRECIO COMPRA ]]/SKYW26[[#This Row],[BARRAS]])</f>
        <v>#DIV/0!</v>
      </c>
      <c r="J12">
        <f>SUMIF(entradas26[CODIGO],SKYW26[[#This Row],[CODIGO ]],entradas26[[CAN JUEGOS ]])</f>
        <v>20</v>
      </c>
      <c r="K12">
        <f>SUMIF(entradas26[CODIGO],SKYW26[[#This Row],[CODIGO ]],entradas26[CAN BARRAS])</f>
        <v>0</v>
      </c>
      <c r="L12">
        <f>SUMIF(salidas26[[CODIGO ]],SKYW26[[#This Row],[CODIGO ]],salidas26[[CANT JUEGOS ]])</f>
        <v>4</v>
      </c>
      <c r="M12">
        <f>SUMIF(salidas26[[CODIGO ]],SKYW26[[#This Row],[CODIGO ]],salidas26[CANT BARRAS])</f>
        <v>0</v>
      </c>
      <c r="N12">
        <f>(SKYW26[[#This Row],["J"PRECIO COMPRA ]]*SKYW26[[#This Row],[STOCK JUEGOS]])</f>
        <v>2080</v>
      </c>
      <c r="O12">
        <f>(SKYW26[[#This Row],["J" PRECIO VENTA ]]*SKYW26[[#This Row],[STOCK JUEGOS]])</f>
        <v>6720</v>
      </c>
      <c r="P12" t="e">
        <f>(SKYW26[[#This Row],["B"PRECIO COMPRA]]*SKYW26[[#This Row],[STOCK BARRAS]])</f>
        <v>#DIV/0!</v>
      </c>
      <c r="Q12" t="e">
        <f>(SKYW26[[#This Row],["B"PRECIO VENTA ]]*SKYW26[[#This Row],[STOCK BARRAS]])</f>
        <v>#DIV/0!</v>
      </c>
      <c r="R12" s="28"/>
      <c r="S12" s="28"/>
      <c r="T12">
        <v>6.8</v>
      </c>
      <c r="U12" t="s">
        <v>860</v>
      </c>
    </row>
    <row r="13" spans="1:21" ht="15.75">
      <c r="A13">
        <v>6132</v>
      </c>
      <c r="B13" s="55" t="s">
        <v>375</v>
      </c>
      <c r="C13">
        <f>(SKYW26[[#This Row],[CANTIDAD INICIAL JUEGO ]]+SKYW26[[#This Row],[ENTRADAS JUEGOS ]]-SKYW26[[#This Row],[SALIDAS JUEGOS]])</f>
        <v>15</v>
      </c>
      <c r="D13">
        <f>(SKYW26[[#This Row],[CANTIDAD INICIAL BARRAS]]+SKYW26[[#This Row],[ENTRADAS BARRAS]]-SKYW26[[#This Row],[SALIDA BARRAS]])</f>
        <v>0</v>
      </c>
      <c r="E13" s="34">
        <v>420</v>
      </c>
      <c r="F13" s="18">
        <v>196</v>
      </c>
      <c r="G13" s="18">
        <v>10</v>
      </c>
      <c r="H13">
        <f>(SKYW26[[#This Row],["J" PRECIO VENTA ]]/SKYW26[[#This Row],[BARRAS]])</f>
        <v>42</v>
      </c>
      <c r="I13">
        <f>(SKYW26[[#This Row],["J"PRECIO COMPRA ]]/SKYW26[[#This Row],[BARRAS]])</f>
        <v>19.600000000000001</v>
      </c>
      <c r="J13">
        <f>SUMIF(entradas26[CODIGO],SKYW26[[#This Row],[CODIGO ]],entradas26[[CAN JUEGOS ]])</f>
        <v>0</v>
      </c>
      <c r="K13">
        <f>SUMIF(entradas26[CODIGO],SKYW26[[#This Row],[CODIGO ]],entradas26[CAN BARRAS])</f>
        <v>0</v>
      </c>
      <c r="L13">
        <f>SUMIF(salidas26[[CODIGO ]],SKYW26[[#This Row],[CODIGO ]],salidas26[[CANT JUEGOS ]])</f>
        <v>4</v>
      </c>
      <c r="M13">
        <f>SUMIF(salidas26[[CODIGO ]],SKYW26[[#This Row],[CODIGO ]],salidas26[CANT BARRAS])</f>
        <v>0</v>
      </c>
      <c r="N13">
        <f>(SKYW26[[#This Row],["J"PRECIO COMPRA ]]*SKYW26[[#This Row],[STOCK JUEGOS]])</f>
        <v>2940</v>
      </c>
      <c r="O13">
        <f>(SKYW26[[#This Row],["J" PRECIO VENTA ]]*SKYW26[[#This Row],[STOCK JUEGOS]])</f>
        <v>6300</v>
      </c>
      <c r="P13">
        <f>(SKYW26[[#This Row],["B"PRECIO COMPRA]]*SKYW26[[#This Row],[STOCK BARRAS]])</f>
        <v>0</v>
      </c>
      <c r="Q13">
        <f>(SKYW26[[#This Row],["B"PRECIO VENTA ]]*SKYW26[[#This Row],[STOCK BARRAS]])</f>
        <v>0</v>
      </c>
      <c r="R13" s="28">
        <v>19</v>
      </c>
      <c r="S13" s="28"/>
    </row>
  </sheetData>
  <mergeCells count="1">
    <mergeCell ref="A2:U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0"/>
  <sheetViews>
    <sheetView zoomScaleNormal="100" workbookViewId="0">
      <selection activeCell="U12" sqref="U12"/>
    </sheetView>
  </sheetViews>
  <sheetFormatPr baseColWidth="10" defaultColWidth="11.42578125" defaultRowHeight="15"/>
  <cols>
    <col min="1" max="1" width="4.140625" customWidth="1"/>
    <col min="2" max="2" width="7.28515625" customWidth="1"/>
    <col min="3" max="3" width="33.85546875" customWidth="1"/>
    <col min="4" max="8" width="8.7109375" customWidth="1"/>
    <col min="9" max="15" width="8.7109375" hidden="1" customWidth="1"/>
    <col min="16" max="16" width="10.28515625" hidden="1" customWidth="1"/>
    <col min="17" max="17" width="7.140625" hidden="1" customWidth="1"/>
    <col min="18" max="18" width="5.140625" hidden="1" customWidth="1"/>
    <col min="19" max="19" width="5.7109375" hidden="1" customWidth="1"/>
    <col min="20" max="20" width="8.28515625" hidden="1" customWidth="1"/>
    <col min="21" max="21" width="12" customWidth="1"/>
    <col min="22" max="22" width="10.28515625" customWidth="1"/>
  </cols>
  <sheetData>
    <row r="2" spans="1:23">
      <c r="B2" s="246" t="s">
        <v>376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</row>
    <row r="3" spans="1:23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</row>
    <row r="4" spans="1:23" ht="27.7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  <c r="W4" t="s">
        <v>22</v>
      </c>
    </row>
    <row r="5" spans="1:23">
      <c r="A5">
        <v>1</v>
      </c>
      <c r="B5" s="64">
        <v>8015</v>
      </c>
      <c r="C5" s="52" t="s">
        <v>377</v>
      </c>
      <c r="D5">
        <f>(premier26[[#This Row],[CANTIDAD INICIAL JUEGO ]]+premier26[[#This Row],[ENTRADAS JUEGOS ]]-premier26[[#This Row],[SALIDAS JUEGOS]])</f>
        <v>6</v>
      </c>
      <c r="E5">
        <f>(premier26[[#This Row],[CANTIDAD INICIAL BARRAS]]+premier26[[#This Row],[ENTRADAS BARRAS]]-premier26[[#This Row],[SALIDA BARRAS]])</f>
        <v>0</v>
      </c>
      <c r="F5" s="35">
        <v>60</v>
      </c>
      <c r="G5" s="50">
        <v>21</v>
      </c>
      <c r="H5" s="64">
        <v>2</v>
      </c>
      <c r="I5">
        <f>(premier26[[#This Row],["J" PRECIO VENTA ]]/premier26[[#This Row],[BARRAS]])</f>
        <v>30</v>
      </c>
      <c r="J5">
        <f>(premier26[[#This Row],["J"PRECIO COMPRA ]]/premier26[[#This Row],[BARRAS]])</f>
        <v>10.5</v>
      </c>
      <c r="K5">
        <f>SUMIF(entradas26[CODIGO],premier26[[#This Row],[CODIGO ]],entradas26[[CAN JUEGOS ]])</f>
        <v>90</v>
      </c>
      <c r="L5">
        <f>SUMIF(entradas26[CODIGO],premier26[[#This Row],[CODIGO ]],entradas26[CAN BARRAS])</f>
        <v>0</v>
      </c>
      <c r="M5">
        <f>SUMIF(salidas26[[CODIGO ]],premier26[[#This Row],[CODIGO ]],salidas26[[CANT JUEGOS ]])</f>
        <v>109</v>
      </c>
      <c r="N5">
        <f>SUMIF(salidas26[[CODIGO ]],premier26[[#This Row],[CODIGO ]],salidas26[CANT BARRAS])</f>
        <v>0</v>
      </c>
      <c r="O5">
        <f>(premier26[[#This Row],["J"PRECIO COMPRA ]]*premier26[[#This Row],[STOCK JUEGOS]])</f>
        <v>126</v>
      </c>
      <c r="P5">
        <f>(premier26[[#This Row],["J" PRECIO VENTA ]]*premier26[[#This Row],[STOCK JUEGOS]])</f>
        <v>360</v>
      </c>
      <c r="Q5">
        <f>(premier26[[#This Row],["B"PRECIO COMPRA]]*premier26[[#This Row],[STOCK BARRAS]])</f>
        <v>0</v>
      </c>
      <c r="R5">
        <f>(premier26[[#This Row],["B"PRECIO VENTA ]]*premier26[[#This Row],[STOCK BARRAS]])</f>
        <v>0</v>
      </c>
      <c r="S5" s="31">
        <v>25</v>
      </c>
      <c r="T5" s="31"/>
      <c r="U5">
        <v>1.1000000000000001</v>
      </c>
      <c r="V5" t="s">
        <v>834</v>
      </c>
    </row>
    <row r="6" spans="1:23">
      <c r="B6" s="90">
        <v>8014</v>
      </c>
      <c r="C6" s="69" t="s">
        <v>843</v>
      </c>
      <c r="D6">
        <f>(premier26[[#This Row],[CANTIDAD INICIAL JUEGO ]]+premier26[[#This Row],[ENTRADAS JUEGOS ]]-premier26[[#This Row],[SALIDAS JUEGOS]])</f>
        <v>18</v>
      </c>
      <c r="E6">
        <f>(premier26[[#This Row],[CANTIDAD INICIAL BARRAS]]+premier26[[#This Row],[ENTRADAS BARRAS]]-premier26[[#This Row],[SALIDA BARRAS]])</f>
        <v>0</v>
      </c>
      <c r="F6" s="35">
        <v>60</v>
      </c>
      <c r="G6" s="50">
        <v>18</v>
      </c>
      <c r="H6" s="64"/>
      <c r="I6" t="e">
        <f>(premier26[[#This Row],["J" PRECIO VENTA ]]/premier26[[#This Row],[BARRAS]])</f>
        <v>#DIV/0!</v>
      </c>
      <c r="J6" t="e">
        <f>(premier26[[#This Row],["J"PRECIO COMPRA ]]/premier26[[#This Row],[BARRAS]])</f>
        <v>#DIV/0!</v>
      </c>
      <c r="K6">
        <f>SUMIF(entradas26[CODIGO],premier26[[#This Row],[CODIGO ]],entradas26[[CAN JUEGOS ]])</f>
        <v>20</v>
      </c>
      <c r="L6">
        <f>SUMIF(entradas26[CODIGO],premier26[[#This Row],[CODIGO ]],entradas26[CAN BARRAS])</f>
        <v>0</v>
      </c>
      <c r="M6">
        <f>SUMIF(salidas26[[CODIGO ]],premier26[[#This Row],[CODIGO ]],salidas26[[CANT JUEGOS ]])</f>
        <v>2</v>
      </c>
      <c r="N6">
        <f>SUMIF(salidas26[[CODIGO ]],premier26[[#This Row],[CODIGO ]],salidas26[CANT BARRAS])</f>
        <v>0</v>
      </c>
      <c r="O6">
        <f>(premier26[[#This Row],["J"PRECIO COMPRA ]]*premier26[[#This Row],[STOCK JUEGOS]])</f>
        <v>324</v>
      </c>
      <c r="P6">
        <f>(premier26[[#This Row],["J" PRECIO VENTA ]]*premier26[[#This Row],[STOCK JUEGOS]])</f>
        <v>1080</v>
      </c>
      <c r="Q6" t="e">
        <f>(premier26[[#This Row],["B"PRECIO COMPRA]]*premier26[[#This Row],[STOCK BARRAS]])</f>
        <v>#DIV/0!</v>
      </c>
      <c r="R6" t="e">
        <f>(premier26[[#This Row],["B"PRECIO VENTA ]]*premier26[[#This Row],[STOCK BARRAS]])</f>
        <v>#DIV/0!</v>
      </c>
      <c r="S6" s="31"/>
      <c r="T6" s="31"/>
      <c r="U6">
        <v>0.9</v>
      </c>
      <c r="V6" t="s">
        <v>844</v>
      </c>
    </row>
    <row r="7" spans="1:23" ht="30">
      <c r="A7">
        <v>2</v>
      </c>
      <c r="B7" s="64">
        <v>8033</v>
      </c>
      <c r="C7" s="69" t="s">
        <v>688</v>
      </c>
      <c r="D7">
        <f>(premier26[[#This Row],[CANTIDAD INICIAL JUEGO ]]+premier26[[#This Row],[ENTRADAS JUEGOS ]]-premier26[[#This Row],[SALIDAS JUEGOS]])</f>
        <v>16</v>
      </c>
      <c r="E7">
        <f>(premier26[[#This Row],[CANTIDAD INICIAL BARRAS]]+premier26[[#This Row],[ENTRADAS BARRAS]]-premier26[[#This Row],[SALIDA BARRAS]])</f>
        <v>0</v>
      </c>
      <c r="F7" s="35">
        <v>150</v>
      </c>
      <c r="G7" s="50">
        <v>48</v>
      </c>
      <c r="H7" s="64">
        <v>3</v>
      </c>
      <c r="I7">
        <f>(premier26[[#This Row],["J" PRECIO VENTA ]]/premier26[[#This Row],[BARRAS]])</f>
        <v>50</v>
      </c>
      <c r="J7">
        <f>(premier26[[#This Row],["J"PRECIO COMPRA ]]/premier26[[#This Row],[BARRAS]])</f>
        <v>16</v>
      </c>
      <c r="K7">
        <f>SUMIF(entradas26[CODIGO],premier26[[#This Row],[CODIGO ]],entradas26[[CAN JUEGOS ]])</f>
        <v>50</v>
      </c>
      <c r="L7">
        <f>SUMIF(entradas26[CODIGO],premier26[[#This Row],[CODIGO ]],entradas26[CAN BARRAS])</f>
        <v>0</v>
      </c>
      <c r="M7">
        <f>SUMIF(salidas26[[CODIGO ]],premier26[[#This Row],[CODIGO ]],salidas26[[CANT JUEGOS ]])</f>
        <v>79</v>
      </c>
      <c r="N7">
        <f>SUMIF(salidas26[[CODIGO ]],premier26[[#This Row],[CODIGO ]],salidas26[CANT BARRAS])</f>
        <v>0</v>
      </c>
      <c r="O7">
        <f>(premier26[[#This Row],["J"PRECIO COMPRA ]]*premier26[[#This Row],[STOCK JUEGOS]])</f>
        <v>768</v>
      </c>
      <c r="P7">
        <f>(premier26[[#This Row],["J" PRECIO VENTA ]]*premier26[[#This Row],[STOCK JUEGOS]])</f>
        <v>2400</v>
      </c>
      <c r="Q7">
        <f>(premier26[[#This Row],["B"PRECIO COMPRA]]*premier26[[#This Row],[STOCK BARRAS]])</f>
        <v>0</v>
      </c>
      <c r="R7">
        <f>(premier26[[#This Row],["B"PRECIO VENTA ]]*premier26[[#This Row],[STOCK BARRAS]])</f>
        <v>0</v>
      </c>
      <c r="S7" s="28">
        <v>45</v>
      </c>
      <c r="T7" s="28"/>
      <c r="U7">
        <v>2.1</v>
      </c>
    </row>
    <row r="8" spans="1:23">
      <c r="A8">
        <v>3</v>
      </c>
      <c r="B8" s="64">
        <v>8039</v>
      </c>
      <c r="C8" s="52" t="s">
        <v>378</v>
      </c>
      <c r="D8">
        <f>(premier26[[#This Row],[CANTIDAD INICIAL JUEGO ]]+premier26[[#This Row],[ENTRADAS JUEGOS ]]-premier26[[#This Row],[SALIDAS JUEGOS]])</f>
        <v>6</v>
      </c>
      <c r="E8">
        <f>(premier26[[#This Row],[CANTIDAD INICIAL BARRAS]]+premier26[[#This Row],[ENTRADAS BARRAS]]-premier26[[#This Row],[SALIDA BARRAS]])</f>
        <v>5</v>
      </c>
      <c r="F8" s="35">
        <v>150</v>
      </c>
      <c r="G8" s="64">
        <v>40</v>
      </c>
      <c r="H8" s="64">
        <v>3</v>
      </c>
      <c r="I8">
        <f>(premier26[[#This Row],["J" PRECIO VENTA ]]/premier26[[#This Row],[BARRAS]])</f>
        <v>50</v>
      </c>
      <c r="J8">
        <f>(premier26[[#This Row],["J"PRECIO COMPRA ]]/premier26[[#This Row],[BARRAS]])</f>
        <v>13.333333333333334</v>
      </c>
      <c r="K8">
        <f>SUMIF(entradas26[CODIGO],premier26[[#This Row],[CODIGO ]],entradas26[[CAN JUEGOS ]])</f>
        <v>0</v>
      </c>
      <c r="L8">
        <f>SUMIF(entradas26[CODIGO],premier26[[#This Row],[CODIGO ]],entradas26[CAN BARRAS])</f>
        <v>0</v>
      </c>
      <c r="M8">
        <f>SUMIF(salidas26[[CODIGO ]],premier26[[#This Row],[CODIGO ]],salidas26[[CANT JUEGOS ]])</f>
        <v>2</v>
      </c>
      <c r="N8">
        <f>SUMIF(salidas26[[CODIGO ]],premier26[[#This Row],[CODIGO ]],salidas26[CANT BARRAS])</f>
        <v>0</v>
      </c>
      <c r="O8">
        <f>(premier26[[#This Row],["J"PRECIO COMPRA ]]*premier26[[#This Row],[STOCK JUEGOS]])</f>
        <v>240</v>
      </c>
      <c r="P8">
        <f>(premier26[[#This Row],["J" PRECIO VENTA ]]*premier26[[#This Row],[STOCK JUEGOS]])</f>
        <v>900</v>
      </c>
      <c r="Q8">
        <f>(premier26[[#This Row],["B"PRECIO COMPRA]]*premier26[[#This Row],[STOCK BARRAS]])</f>
        <v>66.666666666666671</v>
      </c>
      <c r="R8">
        <f>(premier26[[#This Row],["B"PRECIO VENTA ]]*premier26[[#This Row],[STOCK BARRAS]])</f>
        <v>250</v>
      </c>
      <c r="S8" s="28">
        <v>8</v>
      </c>
      <c r="T8" s="28">
        <v>5</v>
      </c>
    </row>
    <row r="9" spans="1:23" ht="30">
      <c r="A9">
        <v>4</v>
      </c>
      <c r="B9" s="59">
        <v>8031</v>
      </c>
      <c r="C9" s="85" t="s">
        <v>379</v>
      </c>
      <c r="D9">
        <f>(premier26[[#This Row],[CANTIDAD INICIAL JUEGO ]]+premier26[[#This Row],[ENTRADAS JUEGOS ]]-premier26[[#This Row],[SALIDAS JUEGOS]])</f>
        <v>6</v>
      </c>
      <c r="E9">
        <f>(premier26[[#This Row],[CANTIDAD INICIAL BARRAS]]+premier26[[#This Row],[ENTRADAS BARRAS]]-premier26[[#This Row],[SALIDA BARRAS]])</f>
        <v>0</v>
      </c>
      <c r="F9" s="35">
        <v>150</v>
      </c>
      <c r="G9" s="18">
        <v>110</v>
      </c>
      <c r="H9" s="18">
        <v>3</v>
      </c>
      <c r="I9">
        <f>(premier26[[#This Row],["J" PRECIO VENTA ]]/premier26[[#This Row],[BARRAS]])</f>
        <v>50</v>
      </c>
      <c r="J9">
        <f>(premier26[[#This Row],["J"PRECIO COMPRA ]]/premier26[[#This Row],[BARRAS]])</f>
        <v>36.666666666666664</v>
      </c>
      <c r="K9">
        <f>SUMIF(entradas26[CODIGO],premier26[[#This Row],[CODIGO ]],entradas26[[CAN JUEGOS ]])</f>
        <v>0</v>
      </c>
      <c r="L9">
        <f>SUMIF(entradas26[CODIGO],premier26[[#This Row],[CODIGO ]],entradas26[CAN BARRAS])</f>
        <v>0</v>
      </c>
      <c r="M9">
        <f>SUMIF(salidas26[[CODIGO ]],premier26[[#This Row],[CODIGO ]],salidas26[[CANT JUEGOS ]])</f>
        <v>4</v>
      </c>
      <c r="N9">
        <f>SUMIF(salidas26[[CODIGO ]],premier26[[#This Row],[CODIGO ]],salidas26[CANT BARRAS])</f>
        <v>0</v>
      </c>
      <c r="O9">
        <f>(premier26[[#This Row],["J"PRECIO COMPRA ]]*premier26[[#This Row],[STOCK JUEGOS]])</f>
        <v>660</v>
      </c>
      <c r="P9">
        <f>(premier26[[#This Row],["J" PRECIO VENTA ]]*premier26[[#This Row],[STOCK JUEGOS]])</f>
        <v>900</v>
      </c>
      <c r="Q9">
        <f>(premier26[[#This Row],["B"PRECIO COMPRA]]*premier26[[#This Row],[STOCK BARRAS]])</f>
        <v>0</v>
      </c>
      <c r="R9">
        <f>(premier26[[#This Row],["B"PRECIO VENTA ]]*premier26[[#This Row],[STOCK BARRAS]])</f>
        <v>0</v>
      </c>
      <c r="S9" s="28">
        <v>10</v>
      </c>
      <c r="T9" s="28"/>
    </row>
    <row r="10" spans="1:23">
      <c r="A10">
        <v>5</v>
      </c>
      <c r="B10" s="64">
        <v>8055</v>
      </c>
      <c r="C10" s="69" t="s">
        <v>689</v>
      </c>
      <c r="D10">
        <f>(premier26[[#This Row],[CANTIDAD INICIAL JUEGO ]]+premier26[[#This Row],[ENTRADAS JUEGOS ]]-premier26[[#This Row],[SALIDAS JUEGOS]])</f>
        <v>7</v>
      </c>
      <c r="E10">
        <f>(premier26[[#This Row],[CANTIDAD INICIAL BARRAS]]+premier26[[#This Row],[ENTRADAS BARRAS]]-premier26[[#This Row],[SALIDA BARRAS]])</f>
        <v>2</v>
      </c>
      <c r="F10" s="35">
        <v>180</v>
      </c>
      <c r="G10" s="50">
        <v>44</v>
      </c>
      <c r="H10" s="64">
        <v>3</v>
      </c>
      <c r="I10">
        <f>(premier26[[#This Row],["J" PRECIO VENTA ]]/premier26[[#This Row],[BARRAS]])</f>
        <v>60</v>
      </c>
      <c r="J10">
        <f>(premier26[[#This Row],["J"PRECIO COMPRA ]]/premier26[[#This Row],[BARRAS]])</f>
        <v>14.666666666666666</v>
      </c>
      <c r="K10">
        <f>SUMIF(entradas26[CODIGO],premier26[[#This Row],[CODIGO ]],entradas26[[CAN JUEGOS ]])</f>
        <v>20</v>
      </c>
      <c r="L10">
        <f>SUMIF(entradas26[CODIGO],premier26[[#This Row],[CODIGO ]],entradas26[CAN BARRAS])</f>
        <v>0</v>
      </c>
      <c r="M10">
        <f>SUMIF(salidas26[[CODIGO ]],premier26[[#This Row],[CODIGO ]],salidas26[[CANT JUEGOS ]])</f>
        <v>28</v>
      </c>
      <c r="N10">
        <f>SUMIF(salidas26[[CODIGO ]],premier26[[#This Row],[CODIGO ]],salidas26[CANT BARRAS])</f>
        <v>0</v>
      </c>
      <c r="O10">
        <f>(premier26[[#This Row],["J"PRECIO COMPRA ]]*premier26[[#This Row],[STOCK JUEGOS]])</f>
        <v>308</v>
      </c>
      <c r="P10">
        <f>(premier26[[#This Row],["J" PRECIO VENTA ]]*premier26[[#This Row],[STOCK JUEGOS]])</f>
        <v>1260</v>
      </c>
      <c r="Q10">
        <f>(premier26[[#This Row],["B"PRECIO COMPRA]]*premier26[[#This Row],[STOCK BARRAS]])</f>
        <v>29.333333333333332</v>
      </c>
      <c r="R10">
        <f>(premier26[[#This Row],["B"PRECIO VENTA ]]*premier26[[#This Row],[STOCK BARRAS]])</f>
        <v>120</v>
      </c>
      <c r="S10" s="28">
        <v>15</v>
      </c>
      <c r="T10" s="28">
        <v>2</v>
      </c>
      <c r="U10">
        <v>1.9</v>
      </c>
    </row>
    <row r="11" spans="1:23">
      <c r="A11">
        <v>6</v>
      </c>
      <c r="B11" s="77">
        <v>8056</v>
      </c>
      <c r="C11" s="52" t="s">
        <v>380</v>
      </c>
      <c r="D11">
        <f>(premier26[[#This Row],[CANTIDAD INICIAL JUEGO ]]+premier26[[#This Row],[ENTRADAS JUEGOS ]]-premier26[[#This Row],[SALIDAS JUEGOS]])</f>
        <v>15</v>
      </c>
      <c r="E11">
        <f>(premier26[[#This Row],[CANTIDAD INICIAL BARRAS]]+premier26[[#This Row],[ENTRADAS BARRAS]]-premier26[[#This Row],[SALIDA BARRAS]])</f>
        <v>0</v>
      </c>
      <c r="F11" s="66">
        <v>180</v>
      </c>
      <c r="G11" s="78">
        <v>40</v>
      </c>
      <c r="H11" s="77">
        <v>3</v>
      </c>
      <c r="I11">
        <f>(premier26[[#This Row],["J" PRECIO VENTA ]]/premier26[[#This Row],[BARRAS]])</f>
        <v>60</v>
      </c>
      <c r="J11">
        <f>(premier26[[#This Row],["J"PRECIO COMPRA ]]/premier26[[#This Row],[BARRAS]])</f>
        <v>13.333333333333334</v>
      </c>
      <c r="K11">
        <f>SUMIF(entradas26[CODIGO],premier26[[#This Row],[CODIGO ]],entradas26[[CAN JUEGOS ]])</f>
        <v>20</v>
      </c>
      <c r="L11">
        <f>SUMIF(entradas26[CODIGO],premier26[[#This Row],[CODIGO ]],entradas26[CAN BARRAS])</f>
        <v>0</v>
      </c>
      <c r="M11">
        <f>SUMIF(salidas26[[CODIGO ]],premier26[[#This Row],[CODIGO ]],salidas26[[CANT JUEGOS ]])</f>
        <v>9</v>
      </c>
      <c r="N11">
        <f>SUMIF(salidas26[[CODIGO ]],premier26[[#This Row],[CODIGO ]],salidas26[CANT BARRAS])</f>
        <v>0</v>
      </c>
      <c r="O11">
        <f>(premier26[[#This Row],["J"PRECIO COMPRA ]]*premier26[[#This Row],[STOCK JUEGOS]])</f>
        <v>600</v>
      </c>
      <c r="P11">
        <f>(premier26[[#This Row],["J" PRECIO VENTA ]]*premier26[[#This Row],[STOCK JUEGOS]])</f>
        <v>2700</v>
      </c>
      <c r="Q11">
        <f>(premier26[[#This Row],["B"PRECIO COMPRA]]*premier26[[#This Row],[STOCK BARRAS]])</f>
        <v>0</v>
      </c>
      <c r="R11">
        <f>(premier26[[#This Row],["B"PRECIO VENTA ]]*premier26[[#This Row],[STOCK BARRAS]])</f>
        <v>0</v>
      </c>
      <c r="S11" s="28">
        <v>4</v>
      </c>
      <c r="T11" s="28"/>
      <c r="U11">
        <v>2.1</v>
      </c>
      <c r="V11" t="s">
        <v>773</v>
      </c>
    </row>
    <row r="12" spans="1:23">
      <c r="A12">
        <v>7</v>
      </c>
      <c r="B12" s="65">
        <v>8057</v>
      </c>
      <c r="C12" s="52" t="s">
        <v>381</v>
      </c>
      <c r="D12">
        <f>(premier26[[#This Row],[CANTIDAD INICIAL JUEGO ]]+premier26[[#This Row],[ENTRADAS JUEGOS ]]-premier26[[#This Row],[SALIDAS JUEGOS]])</f>
        <v>9</v>
      </c>
      <c r="E12">
        <f>(premier26[[#This Row],[CANTIDAD INICIAL BARRAS]]+premier26[[#This Row],[ENTRADAS BARRAS]]-premier26[[#This Row],[SALIDA BARRAS]])</f>
        <v>2</v>
      </c>
      <c r="F12" s="35">
        <v>200</v>
      </c>
      <c r="G12" s="50">
        <v>95</v>
      </c>
      <c r="H12" s="50">
        <v>4</v>
      </c>
      <c r="I12">
        <f>(premier26[[#This Row],["J" PRECIO VENTA ]]/premier26[[#This Row],[BARRAS]])</f>
        <v>50</v>
      </c>
      <c r="J12">
        <f>(premier26[[#This Row],["J"PRECIO COMPRA ]]/premier26[[#This Row],[BARRAS]])</f>
        <v>23.75</v>
      </c>
      <c r="K12">
        <f>SUMIF(entradas26[CODIGO],premier26[[#This Row],[CODIGO ]],entradas26[[CAN JUEGOS ]])</f>
        <v>20</v>
      </c>
      <c r="L12">
        <f>SUMIF(entradas26[CODIGO],premier26[[#This Row],[CODIGO ]],entradas26[CAN BARRAS])</f>
        <v>0</v>
      </c>
      <c r="M12">
        <f>SUMIF(salidas26[[CODIGO ]],premier26[[#This Row],[CODIGO ]],salidas26[[CANT JUEGOS ]])</f>
        <v>16</v>
      </c>
      <c r="N12">
        <f>SUMIF(salidas26[[CODIGO ]],premier26[[#This Row],[CODIGO ]],salidas26[CANT BARRAS])</f>
        <v>1</v>
      </c>
      <c r="O12">
        <f>(premier26[[#This Row],["J"PRECIO COMPRA ]]*premier26[[#This Row],[STOCK JUEGOS]])</f>
        <v>855</v>
      </c>
      <c r="P12">
        <f>(premier26[[#This Row],["J" PRECIO VENTA ]]*premier26[[#This Row],[STOCK JUEGOS]])</f>
        <v>1800</v>
      </c>
      <c r="Q12">
        <f>(premier26[[#This Row],["B"PRECIO COMPRA]]*premier26[[#This Row],[STOCK BARRAS]])</f>
        <v>47.5</v>
      </c>
      <c r="R12">
        <f>(premier26[[#This Row],["B"PRECIO VENTA ]]*premier26[[#This Row],[STOCK BARRAS]])</f>
        <v>100</v>
      </c>
      <c r="S12" s="28">
        <v>5</v>
      </c>
      <c r="T12" s="28">
        <v>3</v>
      </c>
      <c r="U12">
        <v>2.2000000000000002</v>
      </c>
    </row>
    <row r="13" spans="1:23">
      <c r="A13">
        <v>8</v>
      </c>
      <c r="B13" s="77">
        <v>8067</v>
      </c>
      <c r="C13" s="79" t="s">
        <v>382</v>
      </c>
      <c r="D13">
        <f>(premier26[[#This Row],[CANTIDAD INICIAL JUEGO ]]+premier26[[#This Row],[ENTRADAS JUEGOS ]]-premier26[[#This Row],[SALIDAS JUEGOS]])</f>
        <v>35</v>
      </c>
      <c r="E13">
        <f>(premier26[[#This Row],[CANTIDAD INICIAL BARRAS]]+premier26[[#This Row],[ENTRADAS BARRAS]]-premier26[[#This Row],[SALIDA BARRAS]])</f>
        <v>0</v>
      </c>
      <c r="F13" s="66">
        <v>220</v>
      </c>
      <c r="G13" s="78">
        <v>64</v>
      </c>
      <c r="H13" s="77">
        <v>4</v>
      </c>
      <c r="I13">
        <f>(premier26[[#This Row],["J" PRECIO VENTA ]]/premier26[[#This Row],[BARRAS]])</f>
        <v>55</v>
      </c>
      <c r="J13">
        <f>(premier26[[#This Row],["J"PRECIO COMPRA ]]/premier26[[#This Row],[BARRAS]])</f>
        <v>16</v>
      </c>
      <c r="K13">
        <f>SUMIF(entradas26[CODIGO],premier26[[#This Row],[CODIGO ]],entradas26[[CAN JUEGOS ]])</f>
        <v>60</v>
      </c>
      <c r="L13">
        <f>SUMIF(entradas26[CODIGO],premier26[[#This Row],[CODIGO ]],entradas26[CAN BARRAS])</f>
        <v>0</v>
      </c>
      <c r="M13">
        <f>SUMIF(salidas26[[CODIGO ]],premier26[[#This Row],[CODIGO ]],salidas26[[CANT JUEGOS ]])</f>
        <v>34</v>
      </c>
      <c r="N13">
        <f>SUMIF(salidas26[[CODIGO ]],premier26[[#This Row],[CODIGO ]],salidas26[CANT BARRAS])</f>
        <v>0</v>
      </c>
      <c r="O13">
        <f>(premier26[[#This Row],["J"PRECIO COMPRA ]]*premier26[[#This Row],[STOCK JUEGOS]])</f>
        <v>2240</v>
      </c>
      <c r="P13">
        <f>(premier26[[#This Row],["J" PRECIO VENTA ]]*premier26[[#This Row],[STOCK JUEGOS]])</f>
        <v>7700</v>
      </c>
      <c r="Q13">
        <f>(premier26[[#This Row],["B"PRECIO COMPRA]]*premier26[[#This Row],[STOCK BARRAS]])</f>
        <v>0</v>
      </c>
      <c r="R13">
        <f>(premier26[[#This Row],["B"PRECIO VENTA ]]*premier26[[#This Row],[STOCK BARRAS]])</f>
        <v>0</v>
      </c>
      <c r="S13" s="28">
        <v>9</v>
      </c>
      <c r="T13" s="28"/>
      <c r="U13">
        <v>3.2</v>
      </c>
      <c r="V13" t="s">
        <v>774</v>
      </c>
    </row>
    <row r="14" spans="1:23">
      <c r="A14">
        <v>9</v>
      </c>
      <c r="B14" s="77">
        <v>8068</v>
      </c>
      <c r="C14" s="79" t="s">
        <v>383</v>
      </c>
      <c r="D14">
        <f>(premier26[[#This Row],[CANTIDAD INICIAL JUEGO ]]+premier26[[#This Row],[ENTRADAS JUEGOS ]]-premier26[[#This Row],[SALIDAS JUEGOS]])</f>
        <v>6</v>
      </c>
      <c r="E14">
        <f>(premier26[[#This Row],[CANTIDAD INICIAL BARRAS]]+premier26[[#This Row],[ENTRADAS BARRAS]]-premier26[[#This Row],[SALIDA BARRAS]])</f>
        <v>0</v>
      </c>
      <c r="F14" s="66">
        <v>220</v>
      </c>
      <c r="G14" s="78">
        <v>75</v>
      </c>
      <c r="H14" s="77">
        <v>4</v>
      </c>
      <c r="I14">
        <f>(premier26[[#This Row],["J" PRECIO VENTA ]]/premier26[[#This Row],[BARRAS]])</f>
        <v>55</v>
      </c>
      <c r="J14">
        <f>(premier26[[#This Row],["J"PRECIO COMPRA ]]/premier26[[#This Row],[BARRAS]])</f>
        <v>18.75</v>
      </c>
      <c r="K14">
        <f>SUMIF(entradas26[CODIGO],premier26[[#This Row],[CODIGO ]],entradas26[[CAN JUEGOS ]])</f>
        <v>0</v>
      </c>
      <c r="L14">
        <f>SUMIF(entradas26[CODIGO],premier26[[#This Row],[CODIGO ]],entradas26[CAN BARRAS])</f>
        <v>0</v>
      </c>
      <c r="M14">
        <f>SUMIF(salidas26[[CODIGO ]],premier26[[#This Row],[CODIGO ]],salidas26[[CANT JUEGOS ]])</f>
        <v>10</v>
      </c>
      <c r="N14">
        <f>SUMIF(salidas26[[CODIGO ]],premier26[[#This Row],[CODIGO ]],salidas26[CANT BARRAS])</f>
        <v>0</v>
      </c>
      <c r="O14">
        <f>(premier26[[#This Row],["J"PRECIO COMPRA ]]*premier26[[#This Row],[STOCK JUEGOS]])</f>
        <v>450</v>
      </c>
      <c r="P14">
        <f>(premier26[[#This Row],["J" PRECIO VENTA ]]*premier26[[#This Row],[STOCK JUEGOS]])</f>
        <v>1320</v>
      </c>
      <c r="Q14">
        <f>(premier26[[#This Row],["B"PRECIO COMPRA]]*premier26[[#This Row],[STOCK BARRAS]])</f>
        <v>0</v>
      </c>
      <c r="R14">
        <f>(premier26[[#This Row],["B"PRECIO VENTA ]]*premier26[[#This Row],[STOCK BARRAS]])</f>
        <v>0</v>
      </c>
      <c r="S14" s="28">
        <v>16</v>
      </c>
      <c r="T14" s="28"/>
    </row>
    <row r="15" spans="1:23" ht="30">
      <c r="A15">
        <v>10</v>
      </c>
      <c r="B15" s="64">
        <v>8069</v>
      </c>
      <c r="C15" s="52" t="s">
        <v>384</v>
      </c>
      <c r="D15">
        <f>(premier26[[#This Row],[CANTIDAD INICIAL JUEGO ]]+premier26[[#This Row],[ENTRADAS JUEGOS ]]-premier26[[#This Row],[SALIDAS JUEGOS]])</f>
        <v>13</v>
      </c>
      <c r="E15">
        <f>(premier26[[#This Row],[CANTIDAD INICIAL BARRAS]]+premier26[[#This Row],[ENTRADAS BARRAS]]-premier26[[#This Row],[SALIDA BARRAS]])</f>
        <v>0</v>
      </c>
      <c r="F15" s="35">
        <v>220</v>
      </c>
      <c r="G15" s="64">
        <v>60</v>
      </c>
      <c r="H15" s="64">
        <v>4</v>
      </c>
      <c r="I15">
        <f>(premier26[[#This Row],["J" PRECIO VENTA ]]/premier26[[#This Row],[BARRAS]])</f>
        <v>55</v>
      </c>
      <c r="J15">
        <f>(premier26[[#This Row],["J"PRECIO COMPRA ]]/premier26[[#This Row],[BARRAS]])</f>
        <v>15</v>
      </c>
      <c r="K15">
        <f>SUMIF(entradas26[CODIGO],premier26[[#This Row],[CODIGO ]],entradas26[[CAN JUEGOS ]])</f>
        <v>20</v>
      </c>
      <c r="L15">
        <f>SUMIF(entradas26[CODIGO],premier26[[#This Row],[CODIGO ]],entradas26[CAN BARRAS])</f>
        <v>0</v>
      </c>
      <c r="M15">
        <f>SUMIF(salidas26[[CODIGO ]],premier26[[#This Row],[CODIGO ]],salidas26[[CANT JUEGOS ]])</f>
        <v>13</v>
      </c>
      <c r="N15">
        <f>SUMIF(salidas26[[CODIGO ]],premier26[[#This Row],[CODIGO ]],salidas26[CANT BARRAS])</f>
        <v>0</v>
      </c>
      <c r="O15">
        <f>(premier26[[#This Row],["J"PRECIO COMPRA ]]*premier26[[#This Row],[STOCK JUEGOS]])</f>
        <v>780</v>
      </c>
      <c r="P15">
        <f>(premier26[[#This Row],["J" PRECIO VENTA ]]*premier26[[#This Row],[STOCK JUEGOS]])</f>
        <v>2860</v>
      </c>
      <c r="Q15">
        <f>(premier26[[#This Row],["B"PRECIO COMPRA]]*premier26[[#This Row],[STOCK BARRAS]])</f>
        <v>0</v>
      </c>
      <c r="R15">
        <f>(premier26[[#This Row],["B"PRECIO VENTA ]]*premier26[[#This Row],[STOCK BARRAS]])</f>
        <v>0</v>
      </c>
      <c r="S15" s="28">
        <v>6</v>
      </c>
      <c r="T15" s="28"/>
      <c r="U15">
        <v>3.1</v>
      </c>
      <c r="V15" t="s">
        <v>775</v>
      </c>
    </row>
    <row r="16" spans="1:23">
      <c r="A16">
        <v>11</v>
      </c>
      <c r="B16" s="64">
        <v>8087</v>
      </c>
      <c r="C16" s="52" t="s">
        <v>385</v>
      </c>
      <c r="D16">
        <f>(premier26[[#This Row],[CANTIDAD INICIAL JUEGO ]]+premier26[[#This Row],[ENTRADAS JUEGOS ]]-premier26[[#This Row],[SALIDAS JUEGOS]])</f>
        <v>11</v>
      </c>
      <c r="E16">
        <f>(premier26[[#This Row],[CANTIDAD INICIAL BARRAS]]+premier26[[#This Row],[ENTRADAS BARRAS]]-premier26[[#This Row],[SALIDA BARRAS]])</f>
        <v>1</v>
      </c>
      <c r="F16" s="35">
        <v>250</v>
      </c>
      <c r="G16" s="64">
        <v>84</v>
      </c>
      <c r="H16" s="64">
        <v>9</v>
      </c>
      <c r="I16">
        <f>(premier26[[#This Row],["J" PRECIO VENTA ]]/premier26[[#This Row],[BARRAS]])</f>
        <v>27.777777777777779</v>
      </c>
      <c r="J16">
        <f>(premier26[[#This Row],["J"PRECIO COMPRA ]]/premier26[[#This Row],[BARRAS]])</f>
        <v>9.3333333333333339</v>
      </c>
      <c r="K16">
        <f>SUMIF(entradas26[CODIGO],premier26[[#This Row],[CODIGO ]],entradas26[[CAN JUEGOS ]])</f>
        <v>0</v>
      </c>
      <c r="L16">
        <f>SUMIF(entradas26[CODIGO],premier26[[#This Row],[CODIGO ]],entradas26[CAN BARRAS])</f>
        <v>0</v>
      </c>
      <c r="M16">
        <f>SUMIF(salidas26[[CODIGO ]],premier26[[#This Row],[CODIGO ]],salidas26[[CANT JUEGOS ]])</f>
        <v>6</v>
      </c>
      <c r="N16">
        <f>SUMIF(salidas26[[CODIGO ]],premier26[[#This Row],[CODIGO ]],salidas26[CANT BARRAS])</f>
        <v>0</v>
      </c>
      <c r="O16">
        <f>(premier26[[#This Row],["J"PRECIO COMPRA ]]*premier26[[#This Row],[STOCK JUEGOS]])</f>
        <v>924</v>
      </c>
      <c r="P16">
        <f>(premier26[[#This Row],["J" PRECIO VENTA ]]*premier26[[#This Row],[STOCK JUEGOS]])</f>
        <v>2750</v>
      </c>
      <c r="Q16">
        <f>(premier26[[#This Row],["B"PRECIO COMPRA]]*premier26[[#This Row],[STOCK BARRAS]])</f>
        <v>9.3333333333333339</v>
      </c>
      <c r="R16">
        <f>(premier26[[#This Row],["B"PRECIO VENTA ]]*premier26[[#This Row],[STOCK BARRAS]])</f>
        <v>27.777777777777779</v>
      </c>
      <c r="S16" s="28">
        <v>17</v>
      </c>
      <c r="T16" s="28">
        <v>1</v>
      </c>
    </row>
    <row r="17" spans="1:22">
      <c r="A17">
        <v>12</v>
      </c>
      <c r="B17" s="77">
        <v>8095</v>
      </c>
      <c r="C17" s="52" t="s">
        <v>386</v>
      </c>
      <c r="D17">
        <f>(premier26[[#This Row],[CANTIDAD INICIAL JUEGO ]]+premier26[[#This Row],[ENTRADAS JUEGOS ]]-premier26[[#This Row],[SALIDAS JUEGOS]])</f>
        <v>23</v>
      </c>
      <c r="E17">
        <f>(premier26[[#This Row],[CANTIDAD INICIAL BARRAS]]+premier26[[#This Row],[ENTRADAS BARRAS]]-premier26[[#This Row],[SALIDA BARRAS]])</f>
        <v>1</v>
      </c>
      <c r="F17" s="66">
        <v>300</v>
      </c>
      <c r="G17" s="78">
        <v>132</v>
      </c>
      <c r="H17" s="77">
        <v>10</v>
      </c>
      <c r="I17">
        <f>(premier26[[#This Row],["J" PRECIO VENTA ]]/premier26[[#This Row],[BARRAS]])</f>
        <v>30</v>
      </c>
      <c r="J17">
        <f>(premier26[[#This Row],["J"PRECIO COMPRA ]]/premier26[[#This Row],[BARRAS]])</f>
        <v>13.2</v>
      </c>
      <c r="K17">
        <f>SUMIF(entradas26[CODIGO],premier26[[#This Row],[CODIGO ]],entradas26[[CAN JUEGOS ]])</f>
        <v>30</v>
      </c>
      <c r="L17">
        <f>SUMIF(entradas26[CODIGO],premier26[[#This Row],[CODIGO ]],entradas26[CAN BARRAS])</f>
        <v>0</v>
      </c>
      <c r="M17">
        <f>SUMIF(salidas26[[CODIGO ]],premier26[[#This Row],[CODIGO ]],salidas26[[CANT JUEGOS ]])</f>
        <v>21</v>
      </c>
      <c r="N17">
        <f>SUMIF(salidas26[[CODIGO ]],premier26[[#This Row],[CODIGO ]],salidas26[CANT BARRAS])</f>
        <v>0</v>
      </c>
      <c r="O17">
        <f>(premier26[[#This Row],["J"PRECIO COMPRA ]]*premier26[[#This Row],[STOCK JUEGOS]])</f>
        <v>3036</v>
      </c>
      <c r="P17">
        <f>(premier26[[#This Row],["J" PRECIO VENTA ]]*premier26[[#This Row],[STOCK JUEGOS]])</f>
        <v>6900</v>
      </c>
      <c r="Q17">
        <f>(premier26[[#This Row],["B"PRECIO COMPRA]]*premier26[[#This Row],[STOCK BARRAS]])</f>
        <v>13.2</v>
      </c>
      <c r="R17">
        <f>(premier26[[#This Row],["B"PRECIO VENTA ]]*premier26[[#This Row],[STOCK BARRAS]])</f>
        <v>30</v>
      </c>
      <c r="S17" s="28">
        <v>14</v>
      </c>
      <c r="T17" s="28">
        <v>1</v>
      </c>
      <c r="U17">
        <v>5.0999999999999996</v>
      </c>
    </row>
    <row r="18" spans="1:22" ht="30">
      <c r="A18">
        <v>13</v>
      </c>
      <c r="B18" s="64">
        <v>8096</v>
      </c>
      <c r="C18" s="52" t="s">
        <v>387</v>
      </c>
      <c r="D18">
        <f>(premier26[[#This Row],[CANTIDAD INICIAL JUEGO ]]+premier26[[#This Row],[ENTRADAS JUEGOS ]]-premier26[[#This Row],[SALIDAS JUEGOS]])</f>
        <v>0</v>
      </c>
      <c r="E18">
        <f>(premier26[[#This Row],[CANTIDAD INICIAL BARRAS]]+premier26[[#This Row],[ENTRADAS BARRAS]]-premier26[[#This Row],[SALIDA BARRAS]])</f>
        <v>0</v>
      </c>
      <c r="F18" s="35">
        <v>300</v>
      </c>
      <c r="G18" s="67">
        <v>132</v>
      </c>
      <c r="H18" s="64">
        <v>10</v>
      </c>
      <c r="I18">
        <f>(premier26[[#This Row],["J" PRECIO VENTA ]]/premier26[[#This Row],[BARRAS]])</f>
        <v>30</v>
      </c>
      <c r="J18">
        <f>(premier26[[#This Row],["J"PRECIO COMPRA ]]/premier26[[#This Row],[BARRAS]])</f>
        <v>13.2</v>
      </c>
      <c r="K18">
        <f>SUMIF(entradas26[CODIGO],premier26[[#This Row],[CODIGO ]],entradas26[[CAN JUEGOS ]])</f>
        <v>0</v>
      </c>
      <c r="L18">
        <f>SUMIF(entradas26[CODIGO],premier26[[#This Row],[CODIGO ]],entradas26[CAN BARRAS])</f>
        <v>0</v>
      </c>
      <c r="M18">
        <f>SUMIF(salidas26[[CODIGO ]],premier26[[#This Row],[CODIGO ]],salidas26[[CANT JUEGOS ]])</f>
        <v>1</v>
      </c>
      <c r="N18">
        <f>SUMIF(salidas26[[CODIGO ]],premier26[[#This Row],[CODIGO ]],salidas26[CANT BARRAS])</f>
        <v>0</v>
      </c>
      <c r="O18">
        <f>(premier26[[#This Row],["J"PRECIO COMPRA ]]*premier26[[#This Row],[STOCK JUEGOS]])</f>
        <v>0</v>
      </c>
      <c r="P18">
        <f>(premier26[[#This Row],["J" PRECIO VENTA ]]*premier26[[#This Row],[STOCK JUEGOS]])</f>
        <v>0</v>
      </c>
      <c r="Q18">
        <f>(premier26[[#This Row],["B"PRECIO COMPRA]]*premier26[[#This Row],[STOCK BARRAS]])</f>
        <v>0</v>
      </c>
      <c r="R18">
        <f>(premier26[[#This Row],["B"PRECIO VENTA ]]*premier26[[#This Row],[STOCK BARRAS]])</f>
        <v>0</v>
      </c>
      <c r="S18" s="28">
        <v>1</v>
      </c>
      <c r="T18" s="28"/>
    </row>
    <row r="19" spans="1:22">
      <c r="A19">
        <v>14</v>
      </c>
      <c r="B19" s="80">
        <v>8097</v>
      </c>
      <c r="C19" s="81" t="s">
        <v>388</v>
      </c>
      <c r="D19">
        <f>(premier26[[#This Row],[CANTIDAD INICIAL JUEGO ]]+premier26[[#This Row],[ENTRADAS JUEGOS ]]-premier26[[#This Row],[SALIDAS JUEGOS]])</f>
        <v>13</v>
      </c>
      <c r="E19">
        <f>(premier26[[#This Row],[CANTIDAD INICIAL BARRAS]]+premier26[[#This Row],[ENTRADAS BARRAS]]-premier26[[#This Row],[SALIDA BARRAS]])</f>
        <v>10</v>
      </c>
      <c r="F19" s="68">
        <v>380</v>
      </c>
      <c r="G19" s="80">
        <v>187</v>
      </c>
      <c r="H19" s="80">
        <v>10</v>
      </c>
      <c r="I19">
        <f>(premier26[[#This Row],["J" PRECIO VENTA ]]/premier26[[#This Row],[BARRAS]])</f>
        <v>38</v>
      </c>
      <c r="J19">
        <f>(premier26[[#This Row],["J"PRECIO COMPRA ]]/premier26[[#This Row],[BARRAS]])</f>
        <v>18.7</v>
      </c>
      <c r="K19">
        <f>SUMIF(entradas26[CODIGO],premier26[[#This Row],[CODIGO ]],entradas26[[CAN JUEGOS ]])</f>
        <v>0</v>
      </c>
      <c r="L19">
        <f>SUMIF(entradas26[CODIGO],premier26[[#This Row],[CODIGO ]],entradas26[CAN BARRAS])</f>
        <v>0</v>
      </c>
      <c r="M19">
        <f>SUMIF(salidas26[[CODIGO ]],premier26[[#This Row],[CODIGO ]],salidas26[[CANT JUEGOS ]])</f>
        <v>3</v>
      </c>
      <c r="N19">
        <f>SUMIF(salidas26[[CODIGO ]],premier26[[#This Row],[CODIGO ]],salidas26[CANT BARRAS])</f>
        <v>0</v>
      </c>
      <c r="O19">
        <f>(premier26[[#This Row],["J"PRECIO COMPRA ]]*premier26[[#This Row],[STOCK JUEGOS]])</f>
        <v>2431</v>
      </c>
      <c r="P19">
        <f>(premier26[[#This Row],["J" PRECIO VENTA ]]*premier26[[#This Row],[STOCK JUEGOS]])</f>
        <v>4940</v>
      </c>
      <c r="Q19">
        <f>(premier26[[#This Row],["B"PRECIO COMPRA]]*premier26[[#This Row],[STOCK BARRAS]])</f>
        <v>187</v>
      </c>
      <c r="R19">
        <f>(premier26[[#This Row],["B"PRECIO VENTA ]]*premier26[[#This Row],[STOCK BARRAS]])</f>
        <v>380</v>
      </c>
      <c r="S19" s="28">
        <v>16</v>
      </c>
      <c r="T19" s="28">
        <v>10</v>
      </c>
    </row>
    <row r="20" spans="1:22" s="18" customFormat="1">
      <c r="A20" s="18">
        <v>15</v>
      </c>
      <c r="B20" s="55">
        <v>8098</v>
      </c>
      <c r="C20" s="69" t="s">
        <v>389</v>
      </c>
      <c r="D20" s="18">
        <f>(premier26[[#This Row],[CANTIDAD INICIAL JUEGO ]]+premier26[[#This Row],[ENTRADAS JUEGOS ]]-premier26[[#This Row],[SALIDAS JUEGOS]])</f>
        <v>10</v>
      </c>
      <c r="E20" s="18">
        <f>(premier26[[#This Row],[CANTIDAD INICIAL BARRAS]]+premier26[[#This Row],[ENTRADAS BARRAS]]-premier26[[#This Row],[SALIDA BARRAS]])</f>
        <v>10</v>
      </c>
      <c r="F20" s="45">
        <v>420</v>
      </c>
      <c r="G20" s="18">
        <v>171</v>
      </c>
      <c r="H20" s="18">
        <v>12</v>
      </c>
      <c r="I20" s="18">
        <f>(premier26[[#This Row],["J" PRECIO VENTA ]]/premier26[[#This Row],[BARRAS]])</f>
        <v>35</v>
      </c>
      <c r="J20" s="18">
        <f>(premier26[[#This Row],["J"PRECIO COMPRA ]]/premier26[[#This Row],[BARRAS]])</f>
        <v>14.25</v>
      </c>
      <c r="K20" s="18">
        <f>SUMIF(entradas26[CODIGO],premier26[[#This Row],[CODIGO ]],entradas26[[CAN JUEGOS ]])</f>
        <v>20</v>
      </c>
      <c r="L20" s="18">
        <f>SUMIF(entradas26[CODIGO],premier26[[#This Row],[CODIGO ]],entradas26[CAN BARRAS])</f>
        <v>11</v>
      </c>
      <c r="M20" s="18">
        <f>SUMIF(salidas26[[CODIGO ]],premier26[[#This Row],[CODIGO ]],salidas26[[CANT JUEGOS ]])</f>
        <v>10</v>
      </c>
      <c r="N20" s="18">
        <f>SUMIF(salidas26[[CODIGO ]],premier26[[#This Row],[CODIGO ]],salidas26[CANT BARRAS])</f>
        <v>1</v>
      </c>
      <c r="O20" s="18">
        <f>(premier26[[#This Row],["J"PRECIO COMPRA ]]*premier26[[#This Row],[STOCK JUEGOS]])</f>
        <v>1710</v>
      </c>
      <c r="P20" s="18">
        <f>(premier26[[#This Row],["J" PRECIO VENTA ]]*premier26[[#This Row],[STOCK JUEGOS]])</f>
        <v>4200</v>
      </c>
      <c r="Q20" s="18">
        <f>(premier26[[#This Row],["B"PRECIO COMPRA]]*premier26[[#This Row],[STOCK BARRAS]])</f>
        <v>142.5</v>
      </c>
      <c r="R20" s="18">
        <f>(premier26[[#This Row],["B"PRECIO VENTA ]]*premier26[[#This Row],[STOCK BARRAS]])</f>
        <v>350</v>
      </c>
      <c r="U20" s="18">
        <v>8.31</v>
      </c>
      <c r="V20" s="18" t="s">
        <v>390</v>
      </c>
    </row>
  </sheetData>
  <mergeCells count="1">
    <mergeCell ref="B2:V3"/>
  </mergeCells>
  <pageMargins left="0.7" right="0.7" top="0.75" bottom="0.75" header="0.3" footer="0.3"/>
  <pageSetup paperSize="0" orientation="portrait" horizontalDpi="120" verticalDpi="72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B5" sqref="B5"/>
    </sheetView>
  </sheetViews>
  <sheetFormatPr baseColWidth="10" defaultColWidth="11.42578125" defaultRowHeight="15"/>
  <cols>
    <col min="1" max="1" width="10.85546875" customWidth="1"/>
    <col min="2" max="2" width="39" customWidth="1"/>
    <col min="3" max="3" width="8.140625" customWidth="1"/>
    <col min="4" max="13" width="9" customWidth="1"/>
    <col min="14" max="18" width="9.140625" customWidth="1"/>
    <col min="19" max="19" width="9.42578125" customWidth="1"/>
    <col min="20" max="20" width="12" customWidth="1"/>
    <col min="21" max="21" width="16.28515625" customWidth="1"/>
  </cols>
  <sheetData>
    <row r="1" spans="1:21">
      <c r="A1" s="245" t="s">
        <v>391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</row>
    <row r="2" spans="1:21">
      <c r="A2" s="24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</row>
    <row r="3" spans="1:21" ht="45">
      <c r="A3" s="5" t="s">
        <v>1</v>
      </c>
      <c r="B3" s="5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10" t="s">
        <v>7</v>
      </c>
      <c r="H3" s="11" t="s">
        <v>8</v>
      </c>
      <c r="I3" s="11" t="s">
        <v>9</v>
      </c>
      <c r="J3" s="10" t="s">
        <v>10</v>
      </c>
      <c r="K3" s="10" t="s">
        <v>11</v>
      </c>
      <c r="L3" s="10" t="s">
        <v>12</v>
      </c>
      <c r="M3" s="12" t="s">
        <v>13</v>
      </c>
      <c r="N3" s="10" t="s">
        <v>14</v>
      </c>
      <c r="O3" s="13" t="s">
        <v>15</v>
      </c>
      <c r="P3" s="10" t="s">
        <v>16</v>
      </c>
      <c r="Q3" s="10" t="s">
        <v>17</v>
      </c>
      <c r="R3" s="13" t="s">
        <v>18</v>
      </c>
      <c r="S3" s="14" t="s">
        <v>19</v>
      </c>
      <c r="T3" s="15" t="s">
        <v>20</v>
      </c>
      <c r="U3" s="16" t="s">
        <v>21</v>
      </c>
    </row>
    <row r="4" spans="1:21">
      <c r="A4">
        <v>6001</v>
      </c>
      <c r="B4" s="50" t="s">
        <v>392</v>
      </c>
      <c r="C4">
        <f>(MASTERG26[[#This Row],[CANTIDAD INICIAL JUEGO ]]+MASTERG26[[#This Row],[ENTRADAS JUEGOS ]]-MASTERG26[[#This Row],[SALIDAS JUEGOS]])</f>
        <v>9</v>
      </c>
      <c r="D4">
        <f>(MASTERG26[[#This Row],[CANTIDAD INICIAL BARRAS]]+MASTERG26[[#This Row],[ENTRADAS BARRAS]]-MASTERG26[[#This Row],[SALIDA BARRAS]])</f>
        <v>1</v>
      </c>
      <c r="E4" s="35">
        <v>80</v>
      </c>
      <c r="F4" s="18">
        <v>35</v>
      </c>
      <c r="G4" s="18">
        <v>2</v>
      </c>
      <c r="H4">
        <f>(MASTERG26[[#This Row],["J" PRECIO VENTA ]]/MASTERG26[[#This Row],[BARRAS]])</f>
        <v>40</v>
      </c>
      <c r="I4">
        <f>(MASTERG26[[#This Row],["J"PRECIO COMPRA ]]/MASTERG26[[#This Row],[BARRAS]])</f>
        <v>17.5</v>
      </c>
      <c r="J4">
        <f>SUMIF(entradas26[CODIGO],MASTERG26[[#This Row],[CODIGO ]],entradas26[[CAN JUEGOS ]])</f>
        <v>0</v>
      </c>
      <c r="K4">
        <f>SUMIF(entradas26[CODIGO],MASTERG26[[#This Row],[CODIGO ]],entradas26[CAN BARRAS])</f>
        <v>0</v>
      </c>
      <c r="L4">
        <f>SUMIF(salidas26[[CODIGO ]],MASTERG26[[#This Row],[CODIGO ]],salidas26[[CANT JUEGOS ]])</f>
        <v>7</v>
      </c>
      <c r="M4">
        <f>SUMIF(salidas26[[CODIGO ]],MASTERG26[[#This Row],[CODIGO ]],salidas26[CANT BARRAS])</f>
        <v>0</v>
      </c>
      <c r="N4">
        <f>(MASTERG26[[#This Row],["J"PRECIO COMPRA ]]*MASTERG26[[#This Row],[STOCK JUEGOS]])</f>
        <v>315</v>
      </c>
      <c r="O4">
        <f>(MASTERG26[[#This Row],["J" PRECIO VENTA ]]*MASTERG26[[#This Row],[STOCK JUEGOS]])</f>
        <v>720</v>
      </c>
      <c r="P4">
        <f>(MASTERG26[[#This Row],["B"PRECIO COMPRA]]*MASTERG26[[#This Row],[STOCK BARRAS]])</f>
        <v>17.5</v>
      </c>
      <c r="Q4">
        <f>(MASTERG26[[#This Row],["B"PRECIO VENTA ]]*MASTERG26[[#This Row],[STOCK BARRAS]])</f>
        <v>40</v>
      </c>
      <c r="R4" s="28">
        <v>16</v>
      </c>
      <c r="S4" s="28">
        <v>1</v>
      </c>
    </row>
    <row r="5" spans="1:21">
      <c r="A5">
        <v>6012</v>
      </c>
      <c r="B5" s="55" t="s">
        <v>393</v>
      </c>
      <c r="C5">
        <f>(MASTERG26[[#This Row],[CANTIDAD INICIAL JUEGO ]]+MASTERG26[[#This Row],[ENTRADAS JUEGOS ]]-MASTERG26[[#This Row],[SALIDAS JUEGOS]])</f>
        <v>24</v>
      </c>
      <c r="D5">
        <f>(MASTERG26[[#This Row],[CANTIDAD INICIAL BARRAS]]+MASTERG26[[#This Row],[ENTRADAS BARRAS]]-MASTERG26[[#This Row],[SALIDA BARRAS]])</f>
        <v>2</v>
      </c>
      <c r="E5" s="35">
        <v>220</v>
      </c>
      <c r="F5" s="38">
        <v>70</v>
      </c>
      <c r="G5" s="18">
        <v>8</v>
      </c>
      <c r="H5">
        <f>(MASTERG26[[#This Row],["J" PRECIO VENTA ]]/MASTERG26[[#This Row],[BARRAS]])</f>
        <v>27.5</v>
      </c>
      <c r="I5">
        <f>(MASTERG26[[#This Row],["J"PRECIO COMPRA ]]/MASTERG26[[#This Row],[BARRAS]])</f>
        <v>8.75</v>
      </c>
      <c r="J5">
        <f>SUMIF(entradas26[CODIGO],MASTERG26[[#This Row],[CODIGO ]],entradas26[[CAN JUEGOS ]])</f>
        <v>20</v>
      </c>
      <c r="K5">
        <f>SUMIF(entradas26[CODIGO],MASTERG26[[#This Row],[CODIGO ]],entradas26[CAN BARRAS])</f>
        <v>0</v>
      </c>
      <c r="L5">
        <f>SUMIF(salidas26[[CODIGO ]],MASTERG26[[#This Row],[CODIGO ]],salidas26[[CANT JUEGOS ]])</f>
        <v>7</v>
      </c>
      <c r="M5">
        <f>SUMIF(salidas26[[CODIGO ]],MASTERG26[[#This Row],[CODIGO ]],salidas26[CANT BARRAS])</f>
        <v>4</v>
      </c>
      <c r="N5">
        <f>(MASTERG26[[#This Row],["J"PRECIO COMPRA ]]*MASTERG26[[#This Row],[STOCK JUEGOS]])</f>
        <v>1680</v>
      </c>
      <c r="O5">
        <f>(MASTERG26[[#This Row],["J" PRECIO VENTA ]]*MASTERG26[[#This Row],[STOCK JUEGOS]])</f>
        <v>5280</v>
      </c>
      <c r="P5">
        <f>(MASTERG26[[#This Row],["B"PRECIO COMPRA]]*MASTERG26[[#This Row],[STOCK BARRAS]])</f>
        <v>17.5</v>
      </c>
      <c r="Q5">
        <f>(MASTERG26[[#This Row],["B"PRECIO VENTA ]]*MASTERG26[[#This Row],[STOCK BARRAS]])</f>
        <v>55</v>
      </c>
      <c r="R5" s="28">
        <v>11</v>
      </c>
      <c r="S5" s="28">
        <v>6</v>
      </c>
      <c r="T5">
        <v>3.5</v>
      </c>
      <c r="U5" t="s">
        <v>929</v>
      </c>
    </row>
    <row r="6" spans="1:21">
      <c r="A6">
        <v>6019</v>
      </c>
      <c r="B6" s="63" t="s">
        <v>942</v>
      </c>
      <c r="C6">
        <f>(MASTERG26[[#This Row],[CANTIDAD INICIAL JUEGO ]]+MASTERG26[[#This Row],[ENTRADAS JUEGOS ]]-MASTERG26[[#This Row],[SALIDAS JUEGOS]])</f>
        <v>9</v>
      </c>
      <c r="D6">
        <f>(MASTERG26[[#This Row],[CANTIDAD INICIAL BARRAS]]+MASTERG26[[#This Row],[ENTRADAS BARRAS]]-MASTERG26[[#This Row],[SALIDA BARRAS]])</f>
        <v>0</v>
      </c>
      <c r="E6" s="35">
        <v>300</v>
      </c>
      <c r="F6" s="18">
        <v>108</v>
      </c>
      <c r="G6" s="18">
        <v>8</v>
      </c>
      <c r="H6">
        <f>(MASTERG26[[#This Row],["J" PRECIO VENTA ]]/MASTERG26[[#This Row],[BARRAS]])</f>
        <v>37.5</v>
      </c>
      <c r="I6">
        <f>(MASTERG26[[#This Row],["J"PRECIO COMPRA ]]/MASTERG26[[#This Row],[BARRAS]])</f>
        <v>13.5</v>
      </c>
      <c r="J6">
        <f>SUMIF(entradas26[CODIGO],MASTERG26[[#This Row],[CODIGO ]],entradas26[[CAN JUEGOS ]])</f>
        <v>0</v>
      </c>
      <c r="K6">
        <f>SUMIF(entradas26[CODIGO],MASTERG26[[#This Row],[CODIGO ]],entradas26[CAN BARRAS])</f>
        <v>0</v>
      </c>
      <c r="L6">
        <f>SUMIF(salidas26[[CODIGO ]],MASTERG26[[#This Row],[CODIGO ]],salidas26[[CANT JUEGOS ]])</f>
        <v>2</v>
      </c>
      <c r="M6">
        <f>SUMIF(salidas26[[CODIGO ]],MASTERG26[[#This Row],[CODIGO ]],salidas26[CANT BARRAS])</f>
        <v>0</v>
      </c>
      <c r="N6">
        <f>(MASTERG26[[#This Row],["J"PRECIO COMPRA ]]*MASTERG26[[#This Row],[STOCK JUEGOS]])</f>
        <v>972</v>
      </c>
      <c r="O6">
        <f>(MASTERG26[[#This Row],["J" PRECIO VENTA ]]*MASTERG26[[#This Row],[STOCK JUEGOS]])</f>
        <v>2700</v>
      </c>
      <c r="P6">
        <f>(MASTERG26[[#This Row],["B"PRECIO COMPRA]]*MASTERG26[[#This Row],[STOCK BARRAS]])</f>
        <v>0</v>
      </c>
      <c r="Q6">
        <f>(MASTERG26[[#This Row],["B"PRECIO VENTA ]]*MASTERG26[[#This Row],[STOCK BARRAS]])</f>
        <v>0</v>
      </c>
      <c r="R6" s="28">
        <v>11</v>
      </c>
      <c r="S6" s="28"/>
    </row>
    <row r="7" spans="1:21">
      <c r="A7" s="190" t="s">
        <v>839</v>
      </c>
      <c r="B7" s="99" t="s">
        <v>840</v>
      </c>
      <c r="C7">
        <f>(MASTERG26[[#This Row],[CANTIDAD INICIAL JUEGO ]]+MASTERG26[[#This Row],[ENTRADAS JUEGOS ]]-MASTERG26[[#This Row],[SALIDAS JUEGOS]])</f>
        <v>17</v>
      </c>
      <c r="D7">
        <f>(MASTERG26[[#This Row],[CANTIDAD INICIAL BARRAS]]+MASTERG26[[#This Row],[ENTRADAS BARRAS]]-MASTERG26[[#This Row],[SALIDA BARRAS]])</f>
        <v>0</v>
      </c>
      <c r="E7" s="35">
        <v>320</v>
      </c>
      <c r="F7" s="18">
        <v>73</v>
      </c>
      <c r="G7" s="18"/>
      <c r="H7" t="e">
        <f>(MASTERG26[[#This Row],["J" PRECIO VENTA ]]/MASTERG26[[#This Row],[BARRAS]])</f>
        <v>#DIV/0!</v>
      </c>
      <c r="I7" t="e">
        <f>(MASTERG26[[#This Row],["J"PRECIO COMPRA ]]/MASTERG26[[#This Row],[BARRAS]])</f>
        <v>#DIV/0!</v>
      </c>
      <c r="J7">
        <f>SUMIF(entradas26[CODIGO],MASTERG26[[#This Row],[CODIGO ]],entradas26[[CAN JUEGOS ]])</f>
        <v>20</v>
      </c>
      <c r="K7">
        <f>SUMIF(entradas26[CODIGO],MASTERG26[[#This Row],[CODIGO ]],entradas26[CAN BARRAS])</f>
        <v>0</v>
      </c>
      <c r="L7">
        <f>SUMIF(salidas26[[CODIGO ]],MASTERG26[[#This Row],[CODIGO ]],salidas26[[CANT JUEGOS ]])</f>
        <v>3</v>
      </c>
      <c r="M7">
        <f>SUMIF(salidas26[[CODIGO ]],MASTERG26[[#This Row],[CODIGO ]],salidas26[CANT BARRAS])</f>
        <v>0</v>
      </c>
      <c r="N7">
        <f>(MASTERG26[[#This Row],["J"PRECIO COMPRA ]]*MASTERG26[[#This Row],[STOCK JUEGOS]])</f>
        <v>1241</v>
      </c>
      <c r="O7">
        <f>(MASTERG26[[#This Row],["J" PRECIO VENTA ]]*MASTERG26[[#This Row],[STOCK JUEGOS]])</f>
        <v>5440</v>
      </c>
      <c r="P7" t="e">
        <f>(MASTERG26[[#This Row],["B"PRECIO COMPRA]]*MASTERG26[[#This Row],[STOCK BARRAS]])</f>
        <v>#DIV/0!</v>
      </c>
      <c r="Q7" s="26" t="e">
        <f>(MASTERG26[[#This Row],["B"PRECIO VENTA ]]*MASTERG26[[#This Row],[STOCK BARRAS]])</f>
        <v>#DIV/0!</v>
      </c>
      <c r="R7" s="28">
        <v>0</v>
      </c>
      <c r="S7" s="28">
        <v>0</v>
      </c>
      <c r="T7">
        <v>3.8</v>
      </c>
      <c r="U7" t="s">
        <v>841</v>
      </c>
    </row>
    <row r="8" spans="1:21" ht="15.75">
      <c r="A8">
        <v>6028</v>
      </c>
      <c r="B8" s="55" t="s">
        <v>395</v>
      </c>
      <c r="C8">
        <f>(MASTERG26[[#This Row],[CANTIDAD INICIAL JUEGO ]]+MASTERG26[[#This Row],[ENTRADAS JUEGOS ]]-MASTERG26[[#This Row],[SALIDAS JUEGOS]])</f>
        <v>8</v>
      </c>
      <c r="D8">
        <f>(MASTERG26[[#This Row],[CANTIDAD INICIAL BARRAS]]+MASTERG26[[#This Row],[ENTRADAS BARRAS]]-MASTERG26[[#This Row],[SALIDA BARRAS]])</f>
        <v>0</v>
      </c>
      <c r="E8" s="34">
        <v>320</v>
      </c>
      <c r="F8" s="18">
        <v>99</v>
      </c>
      <c r="G8" s="18">
        <v>3</v>
      </c>
      <c r="H8">
        <f>(MASTERG26[[#This Row],["J" PRECIO VENTA ]]/MASTERG26[[#This Row],[BARRAS]])</f>
        <v>106.66666666666667</v>
      </c>
      <c r="I8">
        <f>(MASTERG26[[#This Row],["J"PRECIO COMPRA ]]/MASTERG26[[#This Row],[BARRAS]])</f>
        <v>33</v>
      </c>
      <c r="J8">
        <f>SUMIF(entradas26[CODIGO],MASTERG26[[#This Row],[CODIGO ]],entradas26[[CAN JUEGOS ]])</f>
        <v>0</v>
      </c>
      <c r="K8">
        <f>SUMIF(entradas26[CODIGO],MASTERG26[[#This Row],[CODIGO ]],entradas26[CAN BARRAS])</f>
        <v>0</v>
      </c>
      <c r="L8">
        <f>SUMIF(salidas26[[CODIGO ]],MASTERG26[[#This Row],[CODIGO ]],salidas26[[CANT JUEGOS ]])</f>
        <v>0</v>
      </c>
      <c r="M8">
        <f>SUMIF(salidas26[[CODIGO ]],MASTERG26[[#This Row],[CODIGO ]],salidas26[CANT BARRAS])</f>
        <v>0</v>
      </c>
      <c r="N8">
        <f>(MASTERG26[[#This Row],["J"PRECIO COMPRA ]]*MASTERG26[[#This Row],[STOCK JUEGOS]])</f>
        <v>792</v>
      </c>
      <c r="O8">
        <f>(MASTERG26[[#This Row],["J" PRECIO VENTA ]]*MASTERG26[[#This Row],[STOCK JUEGOS]])</f>
        <v>2560</v>
      </c>
      <c r="P8">
        <f>(MASTERG26[[#This Row],["B"PRECIO COMPRA]]*MASTERG26[[#This Row],[STOCK BARRAS]])</f>
        <v>0</v>
      </c>
      <c r="Q8">
        <f>(MASTERG26[[#This Row],["B"PRECIO VENTA ]]*MASTERG26[[#This Row],[STOCK BARRAS]])</f>
        <v>0</v>
      </c>
      <c r="R8" s="28">
        <v>8</v>
      </c>
      <c r="S8" s="28"/>
    </row>
    <row r="9" spans="1:21" ht="30">
      <c r="A9">
        <v>6029</v>
      </c>
      <c r="B9" s="69" t="s">
        <v>396</v>
      </c>
      <c r="C9">
        <f>(MASTERG26[[#This Row],[CANTIDAD INICIAL JUEGO ]]+MASTERG26[[#This Row],[ENTRADAS JUEGOS ]]-MASTERG26[[#This Row],[SALIDAS JUEGOS]])</f>
        <v>18</v>
      </c>
      <c r="D9">
        <f>(MASTERG26[[#This Row],[CANTIDAD INICIAL BARRAS]]+MASTERG26[[#This Row],[ENTRADAS BARRAS]]-MASTERG26[[#This Row],[SALIDA BARRAS]])</f>
        <v>1</v>
      </c>
      <c r="E9" s="34">
        <v>300</v>
      </c>
      <c r="F9" s="18">
        <v>84</v>
      </c>
      <c r="G9" s="18">
        <v>10</v>
      </c>
      <c r="H9">
        <f>(MASTERG26[[#This Row],["J" PRECIO VENTA ]]/MASTERG26[[#This Row],[BARRAS]])</f>
        <v>30</v>
      </c>
      <c r="I9">
        <f>(MASTERG26[[#This Row],["J"PRECIO COMPRA ]]/MASTERG26[[#This Row],[BARRAS]])</f>
        <v>8.4</v>
      </c>
      <c r="J9">
        <f>SUMIF(entradas26[CODIGO],MASTERG26[[#This Row],[CODIGO ]],entradas26[[CAN JUEGOS ]])</f>
        <v>0</v>
      </c>
      <c r="K9">
        <f>SUMIF(entradas26[CODIGO],MASTERG26[[#This Row],[CODIGO ]],entradas26[CAN BARRAS])</f>
        <v>0</v>
      </c>
      <c r="L9">
        <f>SUMIF(salidas26[[CODIGO ]],MASTERG26[[#This Row],[CODIGO ]],salidas26[[CANT JUEGOS ]])</f>
        <v>0</v>
      </c>
      <c r="M9">
        <f>SUMIF(salidas26[[CODIGO ]],MASTERG26[[#This Row],[CODIGO ]],salidas26[CANT BARRAS])</f>
        <v>4</v>
      </c>
      <c r="N9">
        <f>(MASTERG26[[#This Row],["J"PRECIO COMPRA ]]*MASTERG26[[#This Row],[STOCK JUEGOS]])</f>
        <v>1512</v>
      </c>
      <c r="O9">
        <f>(MASTERG26[[#This Row],["J" PRECIO VENTA ]]*MASTERG26[[#This Row],[STOCK JUEGOS]])</f>
        <v>5400</v>
      </c>
      <c r="P9">
        <f>(MASTERG26[[#This Row],["B"PRECIO COMPRA]]*MASTERG26[[#This Row],[STOCK BARRAS]])</f>
        <v>8.4</v>
      </c>
      <c r="Q9">
        <f>(MASTERG26[[#This Row],["B"PRECIO VENTA ]]*MASTERG26[[#This Row],[STOCK BARRAS]])</f>
        <v>30</v>
      </c>
      <c r="R9" s="28">
        <v>18</v>
      </c>
      <c r="S9" s="28">
        <v>5</v>
      </c>
    </row>
  </sheetData>
  <mergeCells count="1">
    <mergeCell ref="A1:U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5"/>
  <sheetViews>
    <sheetView topLeftCell="A31" zoomScale="91" zoomScaleNormal="91" workbookViewId="0">
      <selection activeCell="C37" sqref="C37"/>
    </sheetView>
  </sheetViews>
  <sheetFormatPr baseColWidth="10" defaultColWidth="11.42578125" defaultRowHeight="15"/>
  <cols>
    <col min="1" max="1" width="3.85546875" customWidth="1"/>
    <col min="2" max="2" width="5.7109375" customWidth="1"/>
    <col min="3" max="3" width="38" customWidth="1"/>
    <col min="4" max="7" width="8.28515625" customWidth="1"/>
    <col min="8" max="8" width="11.5703125" customWidth="1"/>
    <col min="9" max="17" width="8.28515625" hidden="1" customWidth="1"/>
    <col min="18" max="18" width="10.28515625" hidden="1" customWidth="1"/>
    <col min="19" max="19" width="4.85546875" customWidth="1"/>
    <col min="20" max="20" width="6.42578125" customWidth="1"/>
    <col min="21" max="21" width="12" customWidth="1"/>
    <col min="22" max="22" width="10.28515625" customWidth="1"/>
  </cols>
  <sheetData>
    <row r="2" spans="1:24">
      <c r="B2" s="242" t="s">
        <v>397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 spans="1:24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</row>
    <row r="4" spans="1:24" ht="27.7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  <c r="W4" t="s">
        <v>22</v>
      </c>
      <c r="X4" t="s">
        <v>132</v>
      </c>
    </row>
    <row r="5" spans="1:24">
      <c r="A5">
        <v>1</v>
      </c>
      <c r="B5" s="18">
        <v>8000</v>
      </c>
      <c r="C5" s="57" t="s">
        <v>398</v>
      </c>
      <c r="D5">
        <f>(chino26[[#This Row],[CANTIDAD INICIAL JUEGO ]]+chino26[[#This Row],[ENTRADAS JUEGOS ]]-chino26[[#This Row],[SALIDAS JUEGOS]])</f>
        <v>46</v>
      </c>
      <c r="E5">
        <f>(chino26[[#This Row],[CANTIDAD INICIAL BARRAS]]+chino26[[#This Row],[ENTRADAS BARRAS]]-chino26[[#This Row],[SALIDA BARRAS]])</f>
        <v>0</v>
      </c>
      <c r="F5" s="35">
        <v>60</v>
      </c>
      <c r="G5" s="18">
        <v>21.7</v>
      </c>
      <c r="H5" s="18">
        <v>2</v>
      </c>
      <c r="I5">
        <f>(chino26[[#This Row],["J" PRECIO VENTA ]]/chino26[[#This Row],[BARRAS]])</f>
        <v>30</v>
      </c>
      <c r="J5">
        <f>(chino26[[#This Row],["J"PRECIO COMPRA ]]/chino26[[#This Row],[BARRAS]])</f>
        <v>10.85</v>
      </c>
      <c r="K5">
        <f>SUMIF(entradas26[CODIGO],chino26[[#This Row],[CODIGO ]],entradas26[[CAN JUEGOS ]])</f>
        <v>0</v>
      </c>
      <c r="L5">
        <f>SUMIF(entradas26[CODIGO],chino26[[#This Row],[CODIGO ]],entradas26[CAN BARRAS])</f>
        <v>4</v>
      </c>
      <c r="M5">
        <f>SUMIF(salidas26[[CODIGO ]],chino26[[#This Row],[CODIGO ]],salidas26[[CANT JUEGOS ]])</f>
        <v>5</v>
      </c>
      <c r="N5">
        <f>SUMIF(salidas26[[CODIGO ]],chino26[[#This Row],[CODIGO ]],salidas26[CANT BARRAS])</f>
        <v>5</v>
      </c>
      <c r="O5">
        <f>(chino26[[#This Row],["J"PRECIO COMPRA ]]*chino26[[#This Row],[STOCK JUEGOS]])</f>
        <v>998.19999999999993</v>
      </c>
      <c r="P5">
        <f>(chino26[[#This Row],["J" PRECIO VENTA ]]*chino26[[#This Row],[STOCK JUEGOS]])</f>
        <v>2760</v>
      </c>
      <c r="Q5">
        <f>(chino26[[#This Row],["B"PRECIO COMPRA]]*chino26[[#This Row],[STOCK BARRAS]])</f>
        <v>0</v>
      </c>
      <c r="R5">
        <f>(chino26[[#This Row],["B"PRECIO VENTA ]]*chino26[[#This Row],[STOCK BARRAS]])</f>
        <v>0</v>
      </c>
      <c r="S5" s="28">
        <v>51</v>
      </c>
      <c r="T5" s="28">
        <v>1</v>
      </c>
    </row>
    <row r="6" spans="1:24">
      <c r="A6">
        <v>2</v>
      </c>
      <c r="B6" s="18">
        <v>8003</v>
      </c>
      <c r="C6" s="57" t="s">
        <v>399</v>
      </c>
      <c r="D6">
        <f>(chino26[[#This Row],[CANTIDAD INICIAL JUEGO ]]+chino26[[#This Row],[ENTRADAS JUEGOS ]]-chino26[[#This Row],[SALIDAS JUEGOS]])</f>
        <v>0</v>
      </c>
      <c r="E6">
        <f>(chino26[[#This Row],[CANTIDAD INICIAL BARRAS]]+chino26[[#This Row],[ENTRADAS BARRAS]]-chino26[[#This Row],[SALIDA BARRAS]])</f>
        <v>0</v>
      </c>
      <c r="F6" s="35">
        <v>70</v>
      </c>
      <c r="G6" s="18">
        <v>23.8</v>
      </c>
      <c r="H6" s="18">
        <v>2</v>
      </c>
      <c r="I6">
        <f>(chino26[[#This Row],["J" PRECIO VENTA ]]/chino26[[#This Row],[BARRAS]])</f>
        <v>35</v>
      </c>
      <c r="J6">
        <f>(chino26[[#This Row],["J"PRECIO COMPRA ]]/chino26[[#This Row],[BARRAS]])</f>
        <v>11.9</v>
      </c>
      <c r="K6">
        <f>SUMIF(entradas26[CODIGO],chino26[[#This Row],[CODIGO ]],entradas26[[CAN JUEGOS ]])</f>
        <v>0</v>
      </c>
      <c r="L6">
        <f>SUMIF(entradas26[CODIGO],chino26[[#This Row],[CODIGO ]],entradas26[CAN BARRAS])</f>
        <v>2</v>
      </c>
      <c r="M6">
        <f>SUMIF(salidas26[[CODIGO ]],chino26[[#This Row],[CODIGO ]],salidas26[[CANT JUEGOS ]])</f>
        <v>7</v>
      </c>
      <c r="N6">
        <f>SUMIF(salidas26[[CODIGO ]],chino26[[#This Row],[CODIGO ]],salidas26[CANT BARRAS])</f>
        <v>3</v>
      </c>
      <c r="O6">
        <f>(chino26[[#This Row],["J"PRECIO COMPRA ]]*chino26[[#This Row],[STOCK JUEGOS]])</f>
        <v>0</v>
      </c>
      <c r="P6">
        <f>(chino26[[#This Row],["J" PRECIO VENTA ]]*chino26[[#This Row],[STOCK JUEGOS]])</f>
        <v>0</v>
      </c>
      <c r="Q6">
        <f>(chino26[[#This Row],["B"PRECIO COMPRA]]*chino26[[#This Row],[STOCK BARRAS]])</f>
        <v>0</v>
      </c>
      <c r="R6">
        <f>(chino26[[#This Row],["B"PRECIO VENTA ]]*chino26[[#This Row],[STOCK BARRAS]])</f>
        <v>0</v>
      </c>
      <c r="S6" s="28">
        <v>7</v>
      </c>
      <c r="T6" s="28">
        <v>1</v>
      </c>
    </row>
    <row r="7" spans="1:24">
      <c r="A7">
        <v>3</v>
      </c>
      <c r="B7" s="18">
        <v>8006</v>
      </c>
      <c r="C7" s="57" t="s">
        <v>400</v>
      </c>
      <c r="D7">
        <f>(chino26[[#This Row],[CANTIDAD INICIAL JUEGO ]]+chino26[[#This Row],[ENTRADAS JUEGOS ]]-chino26[[#This Row],[SALIDAS JUEGOS]])</f>
        <v>62</v>
      </c>
      <c r="E7">
        <f>(chino26[[#This Row],[CANTIDAD INICIAL BARRAS]]+chino26[[#This Row],[ENTRADAS BARRAS]]-chino26[[#This Row],[SALIDA BARRAS]])</f>
        <v>0</v>
      </c>
      <c r="F7" s="35">
        <v>80</v>
      </c>
      <c r="G7" s="18">
        <v>25.2</v>
      </c>
      <c r="H7" s="18">
        <v>3</v>
      </c>
      <c r="I7">
        <f>(chino26[[#This Row],["J" PRECIO VENTA ]]/chino26[[#This Row],[BARRAS]])</f>
        <v>26.666666666666668</v>
      </c>
      <c r="J7">
        <f>(chino26[[#This Row],["J"PRECIO COMPRA ]]/chino26[[#This Row],[BARRAS]])</f>
        <v>8.4</v>
      </c>
      <c r="K7">
        <f>SUMIF(entradas26[CODIGO],chino26[[#This Row],[CODIGO ]],entradas26[[CAN JUEGOS ]])</f>
        <v>0</v>
      </c>
      <c r="L7">
        <f>SUMIF(entradas26[CODIGO],chino26[[#This Row],[CODIGO ]],entradas26[CAN BARRAS])</f>
        <v>0</v>
      </c>
      <c r="M7">
        <f>SUMIF(salidas26[[CODIGO ]],chino26[[#This Row],[CODIGO ]],salidas26[[CANT JUEGOS ]])</f>
        <v>2</v>
      </c>
      <c r="N7">
        <f>SUMIF(salidas26[[CODIGO ]],chino26[[#This Row],[CODIGO ]],salidas26[CANT BARRAS])</f>
        <v>0</v>
      </c>
      <c r="O7">
        <f>(chino26[[#This Row],["J"PRECIO COMPRA ]]*chino26[[#This Row],[STOCK JUEGOS]])</f>
        <v>1562.3999999999999</v>
      </c>
      <c r="P7">
        <f>(chino26[[#This Row],["J" PRECIO VENTA ]]*chino26[[#This Row],[STOCK JUEGOS]])</f>
        <v>4960</v>
      </c>
      <c r="Q7">
        <f>(chino26[[#This Row],["B"PRECIO COMPRA]]*chino26[[#This Row],[STOCK BARRAS]])</f>
        <v>0</v>
      </c>
      <c r="R7">
        <f>(chino26[[#This Row],["B"PRECIO VENTA ]]*chino26[[#This Row],[STOCK BARRAS]])</f>
        <v>0</v>
      </c>
      <c r="S7" s="28">
        <v>64</v>
      </c>
      <c r="T7" s="28"/>
    </row>
    <row r="8" spans="1:24" ht="26.25">
      <c r="A8">
        <v>4</v>
      </c>
      <c r="B8" s="61">
        <v>8012</v>
      </c>
      <c r="C8" s="62" t="s">
        <v>741</v>
      </c>
      <c r="D8">
        <f>(chino26[[#This Row],[CANTIDAD INICIAL JUEGO ]]+chino26[[#This Row],[ENTRADAS JUEGOS ]]-chino26[[#This Row],[SALIDAS JUEGOS]])</f>
        <v>22</v>
      </c>
      <c r="E8">
        <f>(chino26[[#This Row],[CANTIDAD INICIAL BARRAS]]+chino26[[#This Row],[ENTRADAS BARRAS]]-chino26[[#This Row],[SALIDA BARRAS]])</f>
        <v>2</v>
      </c>
      <c r="F8" s="35">
        <v>100</v>
      </c>
      <c r="G8" s="18">
        <v>38</v>
      </c>
      <c r="H8" s="18">
        <v>2</v>
      </c>
      <c r="I8">
        <f>(chino26[[#This Row],["J" PRECIO VENTA ]]/chino26[[#This Row],[BARRAS]])</f>
        <v>50</v>
      </c>
      <c r="J8">
        <f>(chino26[[#This Row],["J"PRECIO COMPRA ]]/chino26[[#This Row],[BARRAS]])</f>
        <v>19</v>
      </c>
      <c r="K8">
        <f>SUMIF(entradas26[CODIGO],chino26[[#This Row],[CODIGO ]],entradas26[[CAN JUEGOS ]])</f>
        <v>30</v>
      </c>
      <c r="L8">
        <f>SUMIF(entradas26[CODIGO],chino26[[#This Row],[CODIGO ]],entradas26[CAN BARRAS])</f>
        <v>3</v>
      </c>
      <c r="M8">
        <f>SUMIF(salidas26[[CODIGO ]],chino26[[#This Row],[CODIGO ]],salidas26[[CANT JUEGOS ]])</f>
        <v>16</v>
      </c>
      <c r="N8">
        <f>SUMIF(salidas26[[CODIGO ]],chino26[[#This Row],[CODIGO ]],salidas26[CANT BARRAS])</f>
        <v>2</v>
      </c>
      <c r="O8">
        <f>(chino26[[#This Row],["J"PRECIO COMPRA ]]*chino26[[#This Row],[STOCK JUEGOS]])</f>
        <v>836</v>
      </c>
      <c r="P8">
        <f>(chino26[[#This Row],["J" PRECIO VENTA ]]*chino26[[#This Row],[STOCK JUEGOS]])</f>
        <v>2200</v>
      </c>
      <c r="Q8">
        <f>(chino26[[#This Row],["B"PRECIO COMPRA]]*chino26[[#This Row],[STOCK BARRAS]])</f>
        <v>38</v>
      </c>
      <c r="R8">
        <f>(chino26[[#This Row],["B"PRECIO VENTA ]]*chino26[[#This Row],[STOCK BARRAS]])</f>
        <v>100</v>
      </c>
      <c r="S8" s="28">
        <v>8</v>
      </c>
      <c r="T8" s="28">
        <v>1</v>
      </c>
      <c r="U8">
        <v>2</v>
      </c>
    </row>
    <row r="9" spans="1:24">
      <c r="A9">
        <v>5</v>
      </c>
      <c r="B9" s="61">
        <v>8013</v>
      </c>
      <c r="C9" s="53" t="s">
        <v>402</v>
      </c>
      <c r="D9">
        <f>(chino26[[#This Row],[CANTIDAD INICIAL JUEGO ]]+chino26[[#This Row],[ENTRADAS JUEGOS ]]-chino26[[#This Row],[SALIDAS JUEGOS]])</f>
        <v>10</v>
      </c>
      <c r="E9">
        <f>(chino26[[#This Row],[CANTIDAD INICIAL BARRAS]]+chino26[[#This Row],[ENTRADAS BARRAS]]-chino26[[#This Row],[SALIDA BARRAS]])</f>
        <v>2</v>
      </c>
      <c r="F9" s="35">
        <v>100</v>
      </c>
      <c r="G9" s="38">
        <v>34</v>
      </c>
      <c r="H9" s="18">
        <v>3</v>
      </c>
      <c r="I9">
        <f>(chino26[[#This Row],["J" PRECIO VENTA ]]/chino26[[#This Row],[BARRAS]])</f>
        <v>33.333333333333336</v>
      </c>
      <c r="J9">
        <f>(chino26[[#This Row],["J"PRECIO COMPRA ]]/chino26[[#This Row],[BARRAS]])</f>
        <v>11.333333333333334</v>
      </c>
      <c r="K9">
        <f>SUMIF(entradas26[CODIGO],chino26[[#This Row],[CODIGO ]],entradas26[[CAN JUEGOS ]])</f>
        <v>3</v>
      </c>
      <c r="L9">
        <f>SUMIF(entradas26[CODIGO],chino26[[#This Row],[CODIGO ]],entradas26[CAN BARRAS])</f>
        <v>3</v>
      </c>
      <c r="M9">
        <f>SUMIF(salidas26[[CODIGO ]],chino26[[#This Row],[CODIGO ]],salidas26[[CANT JUEGOS ]])</f>
        <v>4</v>
      </c>
      <c r="N9">
        <f>SUMIF(salidas26[[CODIGO ]],chino26[[#This Row],[CODIGO ]],salidas26[CANT BARRAS])</f>
        <v>1</v>
      </c>
      <c r="O9">
        <f>(chino26[[#This Row],["J"PRECIO COMPRA ]]*chino26[[#This Row],[STOCK JUEGOS]])</f>
        <v>340</v>
      </c>
      <c r="P9">
        <f>(chino26[[#This Row],["J" PRECIO VENTA ]]*chino26[[#This Row],[STOCK JUEGOS]])</f>
        <v>1000</v>
      </c>
      <c r="Q9">
        <f>(chino26[[#This Row],["B"PRECIO COMPRA]]*chino26[[#This Row],[STOCK BARRAS]])</f>
        <v>22.666666666666668</v>
      </c>
      <c r="R9">
        <f>(chino26[[#This Row],["B"PRECIO VENTA ]]*chino26[[#This Row],[STOCK BARRAS]])</f>
        <v>66.666666666666671</v>
      </c>
      <c r="S9" s="28">
        <v>11</v>
      </c>
      <c r="T9" s="28"/>
    </row>
    <row r="10" spans="1:24">
      <c r="A10">
        <v>6</v>
      </c>
      <c r="B10" s="61">
        <v>8009</v>
      </c>
      <c r="C10" s="57" t="s">
        <v>403</v>
      </c>
      <c r="D10">
        <f>(chino26[[#This Row],[CANTIDAD INICIAL JUEGO ]]+chino26[[#This Row],[ENTRADAS JUEGOS ]]-chino26[[#This Row],[SALIDAS JUEGOS]])</f>
        <v>19</v>
      </c>
      <c r="E10">
        <f>(chino26[[#This Row],[CANTIDAD INICIAL BARRAS]]+chino26[[#This Row],[ENTRADAS BARRAS]]-chino26[[#This Row],[SALIDA BARRAS]])</f>
        <v>0</v>
      </c>
      <c r="F10" s="35">
        <v>90</v>
      </c>
      <c r="G10" s="18">
        <v>40</v>
      </c>
      <c r="H10" s="18">
        <v>5</v>
      </c>
      <c r="I10">
        <f>(chino26[[#This Row],["J" PRECIO VENTA ]]/chino26[[#This Row],[BARRAS]])</f>
        <v>18</v>
      </c>
      <c r="J10">
        <f>(chino26[[#This Row],["J"PRECIO COMPRA ]]/chino26[[#This Row],[BARRAS]])</f>
        <v>8</v>
      </c>
      <c r="K10">
        <f>SUMIF(entradas26[CODIGO],chino26[[#This Row],[CODIGO ]],entradas26[[CAN JUEGOS ]])</f>
        <v>0</v>
      </c>
      <c r="L10">
        <f>SUMIF(entradas26[CODIGO],chino26[[#This Row],[CODIGO ]],entradas26[CAN BARRAS])</f>
        <v>0</v>
      </c>
      <c r="M10">
        <f>SUMIF(salidas26[[CODIGO ]],chino26[[#This Row],[CODIGO ]],salidas26[[CANT JUEGOS ]])</f>
        <v>0</v>
      </c>
      <c r="N10">
        <f>SUMIF(salidas26[[CODIGO ]],chino26[[#This Row],[CODIGO ]],salidas26[CANT BARRAS])</f>
        <v>0</v>
      </c>
      <c r="O10">
        <f>(chino26[[#This Row],["J"PRECIO COMPRA ]]*chino26[[#This Row],[STOCK JUEGOS]])</f>
        <v>760</v>
      </c>
      <c r="P10">
        <f>(chino26[[#This Row],["J" PRECIO VENTA ]]*chino26[[#This Row],[STOCK JUEGOS]])</f>
        <v>1710</v>
      </c>
      <c r="Q10">
        <f>(chino26[[#This Row],["B"PRECIO COMPRA]]*chino26[[#This Row],[STOCK BARRAS]])</f>
        <v>0</v>
      </c>
      <c r="R10">
        <f>(chino26[[#This Row],["B"PRECIO VENTA ]]*chino26[[#This Row],[STOCK BARRAS]])</f>
        <v>0</v>
      </c>
      <c r="S10" s="28">
        <v>19</v>
      </c>
      <c r="T10" s="28"/>
      <c r="V10" t="s">
        <v>404</v>
      </c>
    </row>
    <row r="11" spans="1:24">
      <c r="A11">
        <v>7</v>
      </c>
      <c r="B11" s="61">
        <v>4001</v>
      </c>
      <c r="C11" s="82" t="s">
        <v>405</v>
      </c>
      <c r="D11">
        <f>(chino26[[#This Row],[CANTIDAD INICIAL JUEGO ]]+chino26[[#This Row],[ENTRADAS JUEGOS ]]-chino26[[#This Row],[SALIDAS JUEGOS]])</f>
        <v>2</v>
      </c>
      <c r="E11">
        <f>(chino26[[#This Row],[CANTIDAD INICIAL BARRAS]]+chino26[[#This Row],[ENTRADAS BARRAS]]-chino26[[#This Row],[SALIDA BARRAS]])</f>
        <v>1</v>
      </c>
      <c r="F11" s="35">
        <v>60</v>
      </c>
      <c r="G11" s="18">
        <v>15.5</v>
      </c>
      <c r="H11" s="18">
        <v>2</v>
      </c>
      <c r="I11">
        <f>(chino26[[#This Row],["J" PRECIO VENTA ]]/chino26[[#This Row],[BARRAS]])</f>
        <v>30</v>
      </c>
      <c r="J11">
        <f>(chino26[[#This Row],["J"PRECIO COMPRA ]]/chino26[[#This Row],[BARRAS]])</f>
        <v>7.75</v>
      </c>
      <c r="K11">
        <f>SUMIF(entradas26[CODIGO],chino26[[#This Row],[CODIGO ]],entradas26[[CAN JUEGOS ]])</f>
        <v>0</v>
      </c>
      <c r="L11">
        <f>SUMIF(entradas26[CODIGO],chino26[[#This Row],[CODIGO ]],entradas26[CAN BARRAS])</f>
        <v>0</v>
      </c>
      <c r="M11">
        <f>SUMIF(salidas26[[CODIGO ]],chino26[[#This Row],[CODIGO ]],salidas26[[CANT JUEGOS ]])</f>
        <v>4</v>
      </c>
      <c r="N11">
        <f>SUMIF(salidas26[[CODIGO ]],chino26[[#This Row],[CODIGO ]],salidas26[CANT BARRAS])</f>
        <v>0</v>
      </c>
      <c r="O11">
        <f>(chino26[[#This Row],["J"PRECIO COMPRA ]]*chino26[[#This Row],[STOCK JUEGOS]])</f>
        <v>31</v>
      </c>
      <c r="P11">
        <f>(chino26[[#This Row],["J" PRECIO VENTA ]]*chino26[[#This Row],[STOCK JUEGOS]])</f>
        <v>120</v>
      </c>
      <c r="Q11">
        <f>(chino26[[#This Row],["B"PRECIO COMPRA]]*chino26[[#This Row],[STOCK BARRAS]])</f>
        <v>7.75</v>
      </c>
      <c r="R11">
        <f>(chino26[[#This Row],["B"PRECIO VENTA ]]*chino26[[#This Row],[STOCK BARRAS]])</f>
        <v>30</v>
      </c>
      <c r="S11" s="28">
        <v>6</v>
      </c>
      <c r="T11" s="28">
        <v>1</v>
      </c>
      <c r="U11">
        <v>1.1100000000000001</v>
      </c>
      <c r="W11" t="s">
        <v>406</v>
      </c>
    </row>
    <row r="12" spans="1:24">
      <c r="A12">
        <v>8</v>
      </c>
      <c r="B12" s="18">
        <v>8007</v>
      </c>
      <c r="C12" s="52" t="s">
        <v>407</v>
      </c>
      <c r="D12">
        <f>(chino26[[#This Row],[CANTIDAD INICIAL JUEGO ]]+chino26[[#This Row],[ENTRADAS JUEGOS ]]-chino26[[#This Row],[SALIDAS JUEGOS]])</f>
        <v>16</v>
      </c>
      <c r="E12">
        <f>(chino26[[#This Row],[CANTIDAD INICIAL BARRAS]]+chino26[[#This Row],[ENTRADAS BARRAS]]-chino26[[#This Row],[SALIDA BARRAS]])</f>
        <v>0</v>
      </c>
      <c r="F12" s="35">
        <v>120</v>
      </c>
      <c r="G12" s="18">
        <v>43.4</v>
      </c>
      <c r="H12" s="18">
        <v>3</v>
      </c>
      <c r="I12">
        <f>(chino26[[#This Row],["J" PRECIO VENTA ]]/chino26[[#This Row],[BARRAS]])</f>
        <v>40</v>
      </c>
      <c r="J12">
        <f>(chino26[[#This Row],["J"PRECIO COMPRA ]]/chino26[[#This Row],[BARRAS]])</f>
        <v>14.466666666666667</v>
      </c>
      <c r="K12">
        <f>SUMIF(entradas26[CODIGO],chino26[[#This Row],[CODIGO ]],entradas26[[CAN JUEGOS ]])</f>
        <v>0</v>
      </c>
      <c r="L12">
        <f>SUMIF(entradas26[CODIGO],chino26[[#This Row],[CODIGO ]],entradas26[CAN BARRAS])</f>
        <v>0</v>
      </c>
      <c r="M12">
        <f>SUMIF(salidas26[[CODIGO ]],chino26[[#This Row],[CODIGO ]],salidas26[[CANT JUEGOS ]])</f>
        <v>0</v>
      </c>
      <c r="N12">
        <f>SUMIF(salidas26[[CODIGO ]],chino26[[#This Row],[CODIGO ]],salidas26[CANT BARRAS])</f>
        <v>0</v>
      </c>
      <c r="O12">
        <f>(chino26[[#This Row],["J"PRECIO COMPRA ]]*chino26[[#This Row],[STOCK JUEGOS]])</f>
        <v>694.4</v>
      </c>
      <c r="P12">
        <f>(chino26[[#This Row],["J" PRECIO VENTA ]]*chino26[[#This Row],[STOCK JUEGOS]])</f>
        <v>1920</v>
      </c>
      <c r="Q12">
        <f>(chino26[[#This Row],["B"PRECIO COMPRA]]*chino26[[#This Row],[STOCK BARRAS]])</f>
        <v>0</v>
      </c>
      <c r="R12">
        <f>(chino26[[#This Row],["B"PRECIO VENTA ]]*chino26[[#This Row],[STOCK BARRAS]])</f>
        <v>0</v>
      </c>
      <c r="S12" s="28">
        <v>16</v>
      </c>
      <c r="T12" s="28"/>
    </row>
    <row r="13" spans="1:24">
      <c r="B13" s="61">
        <v>8024</v>
      </c>
      <c r="C13" s="52" t="s">
        <v>408</v>
      </c>
      <c r="D13">
        <f>(chino26[[#This Row],[CANTIDAD INICIAL JUEGO ]]+chino26[[#This Row],[ENTRADAS JUEGOS ]]-chino26[[#This Row],[SALIDAS JUEGOS]])</f>
        <v>21</v>
      </c>
      <c r="E13">
        <f>(chino26[[#This Row],[CANTIDAD INICIAL BARRAS]]+chino26[[#This Row],[ENTRADAS BARRAS]]-chino26[[#This Row],[SALIDA BARRAS]])</f>
        <v>0</v>
      </c>
      <c r="F13" s="35">
        <v>150</v>
      </c>
      <c r="G13" s="47">
        <v>34</v>
      </c>
      <c r="H13" s="18">
        <v>10</v>
      </c>
      <c r="I13">
        <f>(chino26[[#This Row],["J" PRECIO VENTA ]]/chino26[[#This Row],[BARRAS]])</f>
        <v>15</v>
      </c>
      <c r="J13">
        <f>(chino26[[#This Row],["J"PRECIO COMPRA ]]/chino26[[#This Row],[BARRAS]])</f>
        <v>3.4</v>
      </c>
      <c r="K13">
        <f>SUMIF(entradas26[CODIGO],chino26[[#This Row],[CODIGO ]],entradas26[[CAN JUEGOS ]])</f>
        <v>20</v>
      </c>
      <c r="L13">
        <f>SUMIF(entradas26[CODIGO],chino26[[#This Row],[CODIGO ]],entradas26[CAN BARRAS])</f>
        <v>0</v>
      </c>
      <c r="M13">
        <f>SUMIF(salidas26[[CODIGO ]],chino26[[#This Row],[CODIGO ]],salidas26[[CANT JUEGOS ]])</f>
        <v>8</v>
      </c>
      <c r="N13">
        <f>SUMIF(salidas26[[CODIGO ]],chino26[[#This Row],[CODIGO ]],salidas26[CANT BARRAS])</f>
        <v>0</v>
      </c>
      <c r="O13">
        <f>(chino26[[#This Row],["J"PRECIO COMPRA ]]*chino26[[#This Row],[STOCK JUEGOS]])</f>
        <v>714</v>
      </c>
      <c r="P13">
        <f>(chino26[[#This Row],["J" PRECIO VENTA ]]*chino26[[#This Row],[STOCK JUEGOS]])</f>
        <v>3150</v>
      </c>
      <c r="Q13">
        <f>(chino26[[#This Row],["B"PRECIO COMPRA]]*chino26[[#This Row],[STOCK BARRAS]])</f>
        <v>0</v>
      </c>
      <c r="R13">
        <f>(chino26[[#This Row],["B"PRECIO VENTA ]]*chino26[[#This Row],[STOCK BARRAS]])</f>
        <v>0</v>
      </c>
      <c r="S13" s="28">
        <v>9</v>
      </c>
      <c r="T13" s="28"/>
      <c r="U13">
        <v>1.7</v>
      </c>
      <c r="V13" t="s">
        <v>900</v>
      </c>
    </row>
    <row r="14" spans="1:24">
      <c r="A14">
        <v>9</v>
      </c>
      <c r="B14" s="61">
        <v>8025</v>
      </c>
      <c r="C14" s="69" t="s">
        <v>409</v>
      </c>
      <c r="D14">
        <f>(chino26[[#This Row],[CANTIDAD INICIAL JUEGO ]]+chino26[[#This Row],[ENTRADAS JUEGOS ]]-chino26[[#This Row],[SALIDAS JUEGOS]])</f>
        <v>8</v>
      </c>
      <c r="E14">
        <f>(chino26[[#This Row],[CANTIDAD INICIAL BARRAS]]+chino26[[#This Row],[ENTRADAS BARRAS]]-chino26[[#This Row],[SALIDA BARRAS]])</f>
        <v>2</v>
      </c>
      <c r="F14" s="35">
        <v>200</v>
      </c>
      <c r="G14" s="18">
        <v>90</v>
      </c>
      <c r="H14" s="18">
        <v>3</v>
      </c>
      <c r="I14">
        <f>(chino26[[#This Row],["J" PRECIO VENTA ]]/chino26[[#This Row],[BARRAS]])</f>
        <v>66.666666666666671</v>
      </c>
      <c r="J14">
        <f>(chino26[[#This Row],["J"PRECIO COMPRA ]]/chino26[[#This Row],[BARRAS]])</f>
        <v>30</v>
      </c>
      <c r="K14">
        <f>SUMIF(entradas26[CODIGO],chino26[[#This Row],[CODIGO ]],entradas26[[CAN JUEGOS ]])</f>
        <v>0</v>
      </c>
      <c r="L14">
        <f>SUMIF(entradas26[CODIGO],chino26[[#This Row],[CODIGO ]],entradas26[CAN BARRAS])</f>
        <v>0</v>
      </c>
      <c r="M14">
        <f>SUMIF(salidas26[[CODIGO ]],chino26[[#This Row],[CODIGO ]],salidas26[[CANT JUEGOS ]])</f>
        <v>3</v>
      </c>
      <c r="N14">
        <f>SUMIF(salidas26[[CODIGO ]],chino26[[#This Row],[CODIGO ]],salidas26[CANT BARRAS])</f>
        <v>0</v>
      </c>
      <c r="O14">
        <f>(chino26[[#This Row],["J"PRECIO COMPRA ]]*chino26[[#This Row],[STOCK JUEGOS]])</f>
        <v>720</v>
      </c>
      <c r="P14">
        <f>(chino26[[#This Row],["J" PRECIO VENTA ]]*chino26[[#This Row],[STOCK JUEGOS]])</f>
        <v>1600</v>
      </c>
      <c r="Q14">
        <f>(chino26[[#This Row],["B"PRECIO COMPRA]]*chino26[[#This Row],[STOCK BARRAS]])</f>
        <v>60</v>
      </c>
      <c r="R14">
        <f>(chino26[[#This Row],["B"PRECIO VENTA ]]*chino26[[#This Row],[STOCK BARRAS]])</f>
        <v>133.33333333333334</v>
      </c>
      <c r="S14" s="28">
        <v>11</v>
      </c>
      <c r="T14" s="28">
        <v>2</v>
      </c>
    </row>
    <row r="15" spans="1:24">
      <c r="A15">
        <v>10</v>
      </c>
      <c r="B15" s="18">
        <v>8032</v>
      </c>
      <c r="C15" s="57" t="s">
        <v>410</v>
      </c>
      <c r="D15">
        <f>(chino26[[#This Row],[CANTIDAD INICIAL JUEGO ]]+chino26[[#This Row],[ENTRADAS JUEGOS ]]-chino26[[#This Row],[SALIDAS JUEGOS]])</f>
        <v>2</v>
      </c>
      <c r="E15">
        <f>(chino26[[#This Row],[CANTIDAD INICIAL BARRAS]]+chino26[[#This Row],[ENTRADAS BARRAS]]-chino26[[#This Row],[SALIDA BARRAS]])</f>
        <v>2</v>
      </c>
      <c r="F15" s="35">
        <v>180</v>
      </c>
      <c r="G15" s="38">
        <v>127</v>
      </c>
      <c r="H15" s="18">
        <v>2</v>
      </c>
      <c r="I15">
        <f>(chino26[[#This Row],["J" PRECIO VENTA ]]/chino26[[#This Row],[BARRAS]])</f>
        <v>90</v>
      </c>
      <c r="J15">
        <f>(chino26[[#This Row],["J"PRECIO COMPRA ]]/chino26[[#This Row],[BARRAS]])</f>
        <v>63.5</v>
      </c>
      <c r="K15">
        <f>SUMIF(entradas26[CODIGO],chino26[[#This Row],[CODIGO ]],entradas26[[CAN JUEGOS ]])</f>
        <v>0</v>
      </c>
      <c r="L15">
        <f>SUMIF(entradas26[CODIGO],chino26[[#This Row],[CODIGO ]],entradas26[CAN BARRAS])</f>
        <v>0</v>
      </c>
      <c r="M15">
        <f>SUMIF(salidas26[[CODIGO ]],chino26[[#This Row],[CODIGO ]],salidas26[[CANT JUEGOS ]])</f>
        <v>0</v>
      </c>
      <c r="N15">
        <f>SUMIF(salidas26[[CODIGO ]],chino26[[#This Row],[CODIGO ]],salidas26[CANT BARRAS])</f>
        <v>0</v>
      </c>
      <c r="O15">
        <f>(chino26[[#This Row],["J"PRECIO COMPRA ]]*chino26[[#This Row],[STOCK JUEGOS]])</f>
        <v>254</v>
      </c>
      <c r="P15">
        <f>(chino26[[#This Row],["J" PRECIO VENTA ]]*chino26[[#This Row],[STOCK JUEGOS]])</f>
        <v>360</v>
      </c>
      <c r="Q15">
        <f>(chino26[[#This Row],["B"PRECIO COMPRA]]*chino26[[#This Row],[STOCK BARRAS]])</f>
        <v>127</v>
      </c>
      <c r="R15">
        <f>(chino26[[#This Row],["B"PRECIO VENTA ]]*chino26[[#This Row],[STOCK BARRAS]])</f>
        <v>180</v>
      </c>
      <c r="S15" s="28">
        <v>2</v>
      </c>
      <c r="T15" s="28">
        <v>2</v>
      </c>
    </row>
    <row r="16" spans="1:24">
      <c r="A16">
        <v>12</v>
      </c>
      <c r="B16" s="18">
        <v>8030</v>
      </c>
      <c r="C16" s="57" t="s">
        <v>411</v>
      </c>
      <c r="D16">
        <f>(chino26[[#This Row],[CANTIDAD INICIAL JUEGO ]]+chino26[[#This Row],[ENTRADAS JUEGOS ]]-chino26[[#This Row],[SALIDAS JUEGOS]])</f>
        <v>7</v>
      </c>
      <c r="E16">
        <f>(chino26[[#This Row],[CANTIDAD INICIAL BARRAS]]+chino26[[#This Row],[ENTRADAS BARRAS]]-chino26[[#This Row],[SALIDA BARRAS]])</f>
        <v>0</v>
      </c>
      <c r="F16" s="35">
        <v>150</v>
      </c>
      <c r="G16" s="18">
        <v>30</v>
      </c>
      <c r="H16" s="18">
        <v>3</v>
      </c>
      <c r="I16">
        <f>(chino26[[#This Row],["J" PRECIO VENTA ]]/chino26[[#This Row],[BARRAS]])</f>
        <v>50</v>
      </c>
      <c r="J16">
        <f>(chino26[[#This Row],["J"PRECIO COMPRA ]]/chino26[[#This Row],[BARRAS]])</f>
        <v>10</v>
      </c>
      <c r="K16">
        <f>SUMIF(entradas26[CODIGO],chino26[[#This Row],[CODIGO ]],entradas26[[CAN JUEGOS ]])</f>
        <v>0</v>
      </c>
      <c r="L16">
        <f>SUMIF(entradas26[CODIGO],chino26[[#This Row],[CODIGO ]],entradas26[CAN BARRAS])</f>
        <v>0</v>
      </c>
      <c r="M16">
        <f>SUMIF(salidas26[[CODIGO ]],chino26[[#This Row],[CODIGO ]],salidas26[[CANT JUEGOS ]])</f>
        <v>9</v>
      </c>
      <c r="N16">
        <f>SUMIF(salidas26[[CODIGO ]],chino26[[#This Row],[CODIGO ]],salidas26[CANT BARRAS])</f>
        <v>0</v>
      </c>
      <c r="O16">
        <f>(chino26[[#This Row],["J"PRECIO COMPRA ]]*chino26[[#This Row],[STOCK JUEGOS]])</f>
        <v>210</v>
      </c>
      <c r="P16">
        <f>(chino26[[#This Row],["J" PRECIO VENTA ]]*chino26[[#This Row],[STOCK JUEGOS]])</f>
        <v>1050</v>
      </c>
      <c r="Q16">
        <f>(chino26[[#This Row],["B"PRECIO COMPRA]]*chino26[[#This Row],[STOCK BARRAS]])</f>
        <v>0</v>
      </c>
      <c r="R16">
        <f>(chino26[[#This Row],["B"PRECIO VENTA ]]*chino26[[#This Row],[STOCK BARRAS]])</f>
        <v>0</v>
      </c>
      <c r="S16" s="28">
        <v>16</v>
      </c>
      <c r="T16" s="28"/>
    </row>
    <row r="17" spans="1:23">
      <c r="A17">
        <v>13</v>
      </c>
      <c r="B17" s="18">
        <v>8036</v>
      </c>
      <c r="C17" s="60" t="s">
        <v>412</v>
      </c>
      <c r="D17">
        <f>(chino26[[#This Row],[CANTIDAD INICIAL JUEGO ]]+chino26[[#This Row],[ENTRADAS JUEGOS ]]-chino26[[#This Row],[SALIDAS JUEGOS]])</f>
        <v>1</v>
      </c>
      <c r="E17">
        <f>(chino26[[#This Row],[CANTIDAD INICIAL BARRAS]]+chino26[[#This Row],[ENTRADAS BARRAS]]-chino26[[#This Row],[SALIDA BARRAS]])</f>
        <v>0</v>
      </c>
      <c r="F17" s="35">
        <v>150</v>
      </c>
      <c r="G17" s="18">
        <v>120</v>
      </c>
      <c r="H17" s="18">
        <v>12</v>
      </c>
      <c r="I17">
        <f>(chino26[[#This Row],["J" PRECIO VENTA ]]/chino26[[#This Row],[BARRAS]])</f>
        <v>12.5</v>
      </c>
      <c r="J17">
        <f>(chino26[[#This Row],["J"PRECIO COMPRA ]]/chino26[[#This Row],[BARRAS]])</f>
        <v>10</v>
      </c>
      <c r="K17">
        <f>SUMIF(entradas26[CODIGO],chino26[[#This Row],[CODIGO ]],entradas26[[CAN JUEGOS ]])</f>
        <v>0</v>
      </c>
      <c r="L17">
        <f>SUMIF(entradas26[CODIGO],chino26[[#This Row],[CODIGO ]],entradas26[CAN BARRAS])</f>
        <v>0</v>
      </c>
      <c r="M17">
        <f>SUMIF(salidas26[[CODIGO ]],chino26[[#This Row],[CODIGO ]],salidas26[[CANT JUEGOS ]])</f>
        <v>0</v>
      </c>
      <c r="N17">
        <f>SUMIF(salidas26[[CODIGO ]],chino26[[#This Row],[CODIGO ]],salidas26[CANT BARRAS])</f>
        <v>0</v>
      </c>
      <c r="O17">
        <f>(chino26[[#This Row],["J"PRECIO COMPRA ]]*chino26[[#This Row],[STOCK JUEGOS]])</f>
        <v>120</v>
      </c>
      <c r="P17">
        <f>(chino26[[#This Row],["J" PRECIO VENTA ]]*chino26[[#This Row],[STOCK JUEGOS]])</f>
        <v>150</v>
      </c>
      <c r="Q17">
        <f>(chino26[[#This Row],["B"PRECIO COMPRA]]*chino26[[#This Row],[STOCK BARRAS]])</f>
        <v>0</v>
      </c>
      <c r="R17">
        <f>(chino26[[#This Row],["B"PRECIO VENTA ]]*chino26[[#This Row],[STOCK BARRAS]])</f>
        <v>0</v>
      </c>
      <c r="S17" s="28">
        <v>1</v>
      </c>
      <c r="T17" s="28"/>
    </row>
    <row r="18" spans="1:23">
      <c r="B18" s="18">
        <v>8038</v>
      </c>
      <c r="C18" s="60" t="s">
        <v>888</v>
      </c>
      <c r="D18" s="26">
        <f>(chino26[[#This Row],[CANTIDAD INICIAL JUEGO ]]+chino26[[#This Row],[ENTRADAS JUEGOS ]]-chino26[[#This Row],[SALIDAS JUEGOS]])</f>
        <v>20</v>
      </c>
      <c r="E18" s="26">
        <f>(chino26[[#This Row],[CANTIDAD INICIAL BARRAS]]+chino26[[#This Row],[ENTRADAS BARRAS]]-chino26[[#This Row],[SALIDA BARRAS]])</f>
        <v>0</v>
      </c>
      <c r="F18" s="213">
        <v>200</v>
      </c>
      <c r="G18" s="18">
        <v>100</v>
      </c>
      <c r="H18" s="18"/>
      <c r="I18" s="26" t="e">
        <f>(chino26[[#This Row],["J" PRECIO VENTA ]]/chino26[[#This Row],[BARRAS]])</f>
        <v>#DIV/0!</v>
      </c>
      <c r="J18" s="26" t="e">
        <f>(chino26[[#This Row],["J"PRECIO COMPRA ]]/chino26[[#This Row],[BARRAS]])</f>
        <v>#DIV/0!</v>
      </c>
      <c r="K18" s="26">
        <f>SUMIF(entradas26[CODIGO],chino26[[#This Row],[CODIGO ]],entradas26[[CAN JUEGOS ]])</f>
        <v>20</v>
      </c>
      <c r="L18" s="26">
        <f>SUMIF(entradas26[CODIGO],chino26[[#This Row],[CODIGO ]],entradas26[CAN BARRAS])</f>
        <v>0</v>
      </c>
      <c r="M18" s="26">
        <f>SUMIF(salidas26[[CODIGO ]],chino26[[#This Row],[CODIGO ]],salidas26[[CANT JUEGOS ]])</f>
        <v>0</v>
      </c>
      <c r="N18" s="26">
        <f>SUMIF(salidas26[[CODIGO ]],chino26[[#This Row],[CODIGO ]],salidas26[CANT BARRAS])</f>
        <v>0</v>
      </c>
      <c r="O18" s="26">
        <f>(chino26[[#This Row],["J"PRECIO COMPRA ]]*chino26[[#This Row],[STOCK JUEGOS]])</f>
        <v>2000</v>
      </c>
      <c r="P18" s="26">
        <f>(chino26[[#This Row],["J" PRECIO VENTA ]]*chino26[[#This Row],[STOCK JUEGOS]])</f>
        <v>4000</v>
      </c>
      <c r="Q18" s="26" t="e">
        <f>(chino26[[#This Row],["B"PRECIO COMPRA]]*chino26[[#This Row],[STOCK BARRAS]])</f>
        <v>#DIV/0!</v>
      </c>
      <c r="R18" s="26" t="e">
        <f>(chino26[[#This Row],["B"PRECIO VENTA ]]*chino26[[#This Row],[STOCK BARRAS]])</f>
        <v>#DIV/0!</v>
      </c>
      <c r="S18" s="28"/>
      <c r="T18" s="28"/>
      <c r="U18">
        <v>5</v>
      </c>
      <c r="V18" t="s">
        <v>889</v>
      </c>
    </row>
    <row r="19" spans="1:23">
      <c r="A19">
        <v>14</v>
      </c>
      <c r="B19" s="61">
        <v>8042</v>
      </c>
      <c r="C19" s="52" t="s">
        <v>413</v>
      </c>
      <c r="D19">
        <f>(chino26[[#This Row],[CANTIDAD INICIAL JUEGO ]]+chino26[[#This Row],[ENTRADAS JUEGOS ]]-chino26[[#This Row],[SALIDAS JUEGOS]])</f>
        <v>2</v>
      </c>
      <c r="E19">
        <f>(chino26[[#This Row],[CANTIDAD INICIAL BARRAS]]+chino26[[#This Row],[ENTRADAS BARRAS]]-chino26[[#This Row],[SALIDA BARRAS]])</f>
        <v>1</v>
      </c>
      <c r="F19" s="35">
        <v>180</v>
      </c>
      <c r="G19" s="18"/>
      <c r="H19" s="18">
        <v>4</v>
      </c>
      <c r="I19">
        <f>(chino26[[#This Row],["J" PRECIO VENTA ]]/chino26[[#This Row],[BARRAS]])</f>
        <v>45</v>
      </c>
      <c r="J19">
        <f>(chino26[[#This Row],["J"PRECIO COMPRA ]]/chino26[[#This Row],[BARRAS]])</f>
        <v>0</v>
      </c>
      <c r="K19">
        <f>SUMIF(entradas26[CODIGO],chino26[[#This Row],[CODIGO ]],entradas26[[CAN JUEGOS ]])</f>
        <v>0</v>
      </c>
      <c r="L19">
        <f>SUMIF(entradas26[CODIGO],chino26[[#This Row],[CODIGO ]],entradas26[CAN BARRAS])</f>
        <v>0</v>
      </c>
      <c r="M19">
        <f>SUMIF(salidas26[[CODIGO ]],chino26[[#This Row],[CODIGO ]],salidas26[[CANT JUEGOS ]])</f>
        <v>0</v>
      </c>
      <c r="N19">
        <f>SUMIF(salidas26[[CODIGO ]],chino26[[#This Row],[CODIGO ]],salidas26[CANT BARRAS])</f>
        <v>0</v>
      </c>
      <c r="O19">
        <f>(chino26[[#This Row],["J"PRECIO COMPRA ]]*chino26[[#This Row],[STOCK JUEGOS]])</f>
        <v>0</v>
      </c>
      <c r="P19">
        <f>(chino26[[#This Row],["J" PRECIO VENTA ]]*chino26[[#This Row],[STOCK JUEGOS]])</f>
        <v>360</v>
      </c>
      <c r="Q19">
        <f>(chino26[[#This Row],["B"PRECIO COMPRA]]*chino26[[#This Row],[STOCK BARRAS]])</f>
        <v>0</v>
      </c>
      <c r="R19">
        <f>(chino26[[#This Row],["B"PRECIO VENTA ]]*chino26[[#This Row],[STOCK BARRAS]])</f>
        <v>45</v>
      </c>
      <c r="S19" s="28">
        <v>2</v>
      </c>
      <c r="T19" s="28">
        <v>1</v>
      </c>
    </row>
    <row r="20" spans="1:23">
      <c r="A20">
        <v>15</v>
      </c>
      <c r="B20" s="18">
        <v>8008</v>
      </c>
      <c r="C20" s="52" t="s">
        <v>414</v>
      </c>
      <c r="D20">
        <f>(chino26[[#This Row],[CANTIDAD INICIAL JUEGO ]]+chino26[[#This Row],[ENTRADAS JUEGOS ]]-chino26[[#This Row],[SALIDAS JUEGOS]])</f>
        <v>8</v>
      </c>
      <c r="E20">
        <f>(chino26[[#This Row],[CANTIDAD INICIAL BARRAS]]+chino26[[#This Row],[ENTRADAS BARRAS]]-chino26[[#This Row],[SALIDA BARRAS]])</f>
        <v>0</v>
      </c>
      <c r="F20" s="35">
        <v>180</v>
      </c>
      <c r="G20" s="47">
        <v>49</v>
      </c>
      <c r="H20" s="18">
        <v>3</v>
      </c>
      <c r="I20">
        <f>(chino26[[#This Row],["J" PRECIO VENTA ]]/chino26[[#This Row],[BARRAS]])</f>
        <v>60</v>
      </c>
      <c r="J20">
        <f>(chino26[[#This Row],["J"PRECIO COMPRA ]]/chino26[[#This Row],[BARRAS]])</f>
        <v>16.333333333333332</v>
      </c>
      <c r="K20">
        <f>SUMIF(entradas26[CODIGO],chino26[[#This Row],[CODIGO ]],entradas26[[CAN JUEGOS ]])</f>
        <v>0</v>
      </c>
      <c r="L20">
        <f>SUMIF(entradas26[CODIGO],chino26[[#This Row],[CODIGO ]],entradas26[CAN BARRAS])</f>
        <v>0</v>
      </c>
      <c r="M20">
        <f>SUMIF(salidas26[[CODIGO ]],chino26[[#This Row],[CODIGO ]],salidas26[[CANT JUEGOS ]])</f>
        <v>1</v>
      </c>
      <c r="N20">
        <f>SUMIF(salidas26[[CODIGO ]],chino26[[#This Row],[CODIGO ]],salidas26[CANT BARRAS])</f>
        <v>0</v>
      </c>
      <c r="O20">
        <f>(chino26[[#This Row],["J"PRECIO COMPRA ]]*chino26[[#This Row],[STOCK JUEGOS]])</f>
        <v>392</v>
      </c>
      <c r="P20">
        <f>(chino26[[#This Row],["J" PRECIO VENTA ]]*chino26[[#This Row],[STOCK JUEGOS]])</f>
        <v>1440</v>
      </c>
      <c r="Q20">
        <f>(chino26[[#This Row],["B"PRECIO COMPRA]]*chino26[[#This Row],[STOCK BARRAS]])</f>
        <v>0</v>
      </c>
      <c r="R20">
        <f>(chino26[[#This Row],["B"PRECIO VENTA ]]*chino26[[#This Row],[STOCK BARRAS]])</f>
        <v>0</v>
      </c>
      <c r="S20" s="27">
        <v>9</v>
      </c>
      <c r="T20" s="27"/>
    </row>
    <row r="21" spans="1:23">
      <c r="A21">
        <v>16</v>
      </c>
      <c r="B21" s="18">
        <v>8054</v>
      </c>
      <c r="C21" s="57" t="s">
        <v>415</v>
      </c>
      <c r="D21">
        <f>(chino26[[#This Row],[CANTIDAD INICIAL JUEGO ]]+chino26[[#This Row],[ENTRADAS JUEGOS ]]-chino26[[#This Row],[SALIDAS JUEGOS]])</f>
        <v>0</v>
      </c>
      <c r="E21">
        <f>(chino26[[#This Row],[CANTIDAD INICIAL BARRAS]]+chino26[[#This Row],[ENTRADAS BARRAS]]-chino26[[#This Row],[SALIDA BARRAS]])</f>
        <v>0</v>
      </c>
      <c r="F21" s="35">
        <v>180</v>
      </c>
      <c r="G21" s="18">
        <v>90</v>
      </c>
      <c r="H21" s="18">
        <v>1</v>
      </c>
      <c r="I21">
        <f>(chino26[[#This Row],["J" PRECIO VENTA ]]/chino26[[#This Row],[BARRAS]])</f>
        <v>180</v>
      </c>
      <c r="J21">
        <f>(chino26[[#This Row],["J"PRECIO COMPRA ]]/chino26[[#This Row],[BARRAS]])</f>
        <v>90</v>
      </c>
      <c r="K21">
        <f>SUMIF(entradas26[CODIGO],chino26[[#This Row],[CODIGO ]],entradas26[[CAN JUEGOS ]])</f>
        <v>0</v>
      </c>
      <c r="L21">
        <f>SUMIF(entradas26[CODIGO],chino26[[#This Row],[CODIGO ]],entradas26[CAN BARRAS])</f>
        <v>0</v>
      </c>
      <c r="M21">
        <f>SUMIF(salidas26[[CODIGO ]],chino26[[#This Row],[CODIGO ]],salidas26[[CANT JUEGOS ]])</f>
        <v>1</v>
      </c>
      <c r="N21">
        <f>SUMIF(salidas26[[CODIGO ]],chino26[[#This Row],[CODIGO ]],salidas26[CANT BARRAS])</f>
        <v>0</v>
      </c>
      <c r="O21">
        <f>(chino26[[#This Row],["J"PRECIO COMPRA ]]*chino26[[#This Row],[STOCK JUEGOS]])</f>
        <v>0</v>
      </c>
      <c r="P21">
        <f>(chino26[[#This Row],["J" PRECIO VENTA ]]*chino26[[#This Row],[STOCK JUEGOS]])</f>
        <v>0</v>
      </c>
      <c r="Q21">
        <f>(chino26[[#This Row],["B"PRECIO COMPRA]]*chino26[[#This Row],[STOCK BARRAS]])</f>
        <v>0</v>
      </c>
      <c r="R21">
        <f>(chino26[[#This Row],["B"PRECIO VENTA ]]*chino26[[#This Row],[STOCK BARRAS]])</f>
        <v>0</v>
      </c>
      <c r="S21" s="28">
        <v>1</v>
      </c>
      <c r="T21" s="28"/>
    </row>
    <row r="22" spans="1:23">
      <c r="A22">
        <v>17</v>
      </c>
      <c r="B22" s="18">
        <v>8063</v>
      </c>
      <c r="C22" s="58" t="s">
        <v>416</v>
      </c>
      <c r="D22">
        <f>(chino26[[#This Row],[CANTIDAD INICIAL JUEGO ]]+chino26[[#This Row],[ENTRADAS JUEGOS ]]-chino26[[#This Row],[SALIDAS JUEGOS]])</f>
        <v>0</v>
      </c>
      <c r="E22">
        <f>(chino26[[#This Row],[CANTIDAD INICIAL BARRAS]]+chino26[[#This Row],[ENTRADAS BARRAS]]-chino26[[#This Row],[SALIDA BARRAS]])</f>
        <v>12</v>
      </c>
      <c r="F22" s="35">
        <v>220</v>
      </c>
      <c r="G22" s="18">
        <v>100</v>
      </c>
      <c r="H22" s="18">
        <v>10</v>
      </c>
      <c r="I22">
        <f>(chino26[[#This Row],["J" PRECIO VENTA ]]/chino26[[#This Row],[BARRAS]])</f>
        <v>22</v>
      </c>
      <c r="J22">
        <f>(chino26[[#This Row],["J"PRECIO COMPRA ]]/chino26[[#This Row],[BARRAS]])</f>
        <v>10</v>
      </c>
      <c r="K22">
        <f>SUMIF(entradas26[CODIGO],chino26[[#This Row],[CODIGO ]],entradas26[[CAN JUEGOS ]])</f>
        <v>0</v>
      </c>
      <c r="L22">
        <f>SUMIF(entradas26[CODIGO],chino26[[#This Row],[CODIGO ]],entradas26[CAN BARRAS])</f>
        <v>0</v>
      </c>
      <c r="M22">
        <f>SUMIF(salidas26[[CODIGO ]],chino26[[#This Row],[CODIGO ]],salidas26[[CANT JUEGOS ]])</f>
        <v>0</v>
      </c>
      <c r="N22">
        <f>SUMIF(salidas26[[CODIGO ]],chino26[[#This Row],[CODIGO ]],salidas26[CANT BARRAS])</f>
        <v>0</v>
      </c>
      <c r="O22">
        <f>(chino26[[#This Row],["J"PRECIO COMPRA ]]*chino26[[#This Row],[STOCK JUEGOS]])</f>
        <v>0</v>
      </c>
      <c r="P22">
        <f>(chino26[[#This Row],["J" PRECIO VENTA ]]*chino26[[#This Row],[STOCK JUEGOS]])</f>
        <v>0</v>
      </c>
      <c r="Q22">
        <f>(chino26[[#This Row],["B"PRECIO COMPRA]]*chino26[[#This Row],[STOCK BARRAS]])</f>
        <v>120</v>
      </c>
      <c r="R22">
        <f>(chino26[[#This Row],["B"PRECIO VENTA ]]*chino26[[#This Row],[STOCK BARRAS]])</f>
        <v>264</v>
      </c>
      <c r="S22" s="28"/>
      <c r="T22" s="28">
        <v>12</v>
      </c>
    </row>
    <row r="23" spans="1:23">
      <c r="A23">
        <v>18</v>
      </c>
      <c r="B23" s="18">
        <v>8066</v>
      </c>
      <c r="C23" s="18" t="s">
        <v>417</v>
      </c>
      <c r="D23">
        <f>(chino26[[#This Row],[CANTIDAD INICIAL JUEGO ]]+chino26[[#This Row],[ENTRADAS JUEGOS ]]-chino26[[#This Row],[SALIDAS JUEGOS]])</f>
        <v>7</v>
      </c>
      <c r="E23">
        <f>(chino26[[#This Row],[CANTIDAD INICIAL BARRAS]]+chino26[[#This Row],[ENTRADAS BARRAS]]-chino26[[#This Row],[SALIDA BARRAS]])</f>
        <v>3</v>
      </c>
      <c r="F23" s="35">
        <v>250</v>
      </c>
      <c r="G23" s="18">
        <v>73</v>
      </c>
      <c r="H23" s="18">
        <v>8</v>
      </c>
      <c r="I23">
        <f>(chino26[[#This Row],["J" PRECIO VENTA ]]/chino26[[#This Row],[BARRAS]])</f>
        <v>31.25</v>
      </c>
      <c r="J23">
        <f>(chino26[[#This Row],["J"PRECIO COMPRA ]]/chino26[[#This Row],[BARRAS]])</f>
        <v>9.125</v>
      </c>
      <c r="K23">
        <f>SUMIF(entradas26[CODIGO],chino26[[#This Row],[CODIGO ]],entradas26[[CAN JUEGOS ]])</f>
        <v>0</v>
      </c>
      <c r="L23">
        <f>SUMIF(entradas26[CODIGO],chino26[[#This Row],[CODIGO ]],entradas26[CAN BARRAS])</f>
        <v>0</v>
      </c>
      <c r="M23">
        <f>SUMIF(salidas26[[CODIGO ]],chino26[[#This Row],[CODIGO ]],salidas26[[CANT JUEGOS ]])</f>
        <v>1</v>
      </c>
      <c r="N23">
        <f>SUMIF(salidas26[[CODIGO ]],chino26[[#This Row],[CODIGO ]],salidas26[CANT BARRAS])</f>
        <v>0</v>
      </c>
      <c r="O23">
        <f>(chino26[[#This Row],["J"PRECIO COMPRA ]]*chino26[[#This Row],[STOCK JUEGOS]])</f>
        <v>511</v>
      </c>
      <c r="P23">
        <f>(chino26[[#This Row],["J" PRECIO VENTA ]]*chino26[[#This Row],[STOCK JUEGOS]])</f>
        <v>1750</v>
      </c>
      <c r="Q23">
        <f>(chino26[[#This Row],["B"PRECIO COMPRA]]*chino26[[#This Row],[STOCK BARRAS]])</f>
        <v>27.375</v>
      </c>
      <c r="R23">
        <f>(chino26[[#This Row],["B"PRECIO VENTA ]]*chino26[[#This Row],[STOCK BARRAS]])</f>
        <v>93.75</v>
      </c>
      <c r="S23" s="28">
        <v>8</v>
      </c>
      <c r="T23" s="28">
        <v>3</v>
      </c>
    </row>
    <row r="24" spans="1:23" s="18" customFormat="1" ht="30">
      <c r="A24" s="18">
        <v>19</v>
      </c>
      <c r="B24" s="18">
        <v>8073</v>
      </c>
      <c r="C24" s="57" t="s">
        <v>936</v>
      </c>
      <c r="D24" s="18">
        <f>(chino26[[#This Row],[CANTIDAD INICIAL JUEGO ]]+chino26[[#This Row],[ENTRADAS JUEGOS ]]-chino26[[#This Row],[SALIDAS JUEGOS]])</f>
        <v>22</v>
      </c>
      <c r="E24" s="18">
        <f>(chino26[[#This Row],[CANTIDAD INICIAL BARRAS]]+chino26[[#This Row],[ENTRADAS BARRAS]]-chino26[[#This Row],[SALIDA BARRAS]])</f>
        <v>0</v>
      </c>
      <c r="F24" s="45">
        <v>220</v>
      </c>
      <c r="G24" s="18">
        <v>71</v>
      </c>
      <c r="H24" s="18">
        <v>4</v>
      </c>
      <c r="I24" s="18">
        <f>(chino26[[#This Row],["J" PRECIO VENTA ]]/chino26[[#This Row],[BARRAS]])</f>
        <v>55</v>
      </c>
      <c r="J24" s="18">
        <f>(chino26[[#This Row],["J"PRECIO COMPRA ]]/chino26[[#This Row],[BARRAS]])</f>
        <v>17.75</v>
      </c>
      <c r="K24" s="18">
        <f>SUMIF(entradas26[CODIGO],chino26[[#This Row],[CODIGO ]],entradas26[[CAN JUEGOS ]])</f>
        <v>30</v>
      </c>
      <c r="L24" s="18">
        <f>SUMIF(entradas26[CODIGO],chino26[[#This Row],[CODIGO ]],entradas26[CAN BARRAS])</f>
        <v>0</v>
      </c>
      <c r="M24" s="18">
        <f>SUMIF(salidas26[[CODIGO ]],chino26[[#This Row],[CODIGO ]],salidas26[[CANT JUEGOS ]])</f>
        <v>8</v>
      </c>
      <c r="N24" s="18">
        <f>SUMIF(salidas26[[CODIGO ]],chino26[[#This Row],[CODIGO ]],salidas26[CANT BARRAS])</f>
        <v>0</v>
      </c>
      <c r="O24" s="18">
        <f>(chino26[[#This Row],["J"PRECIO COMPRA ]]*chino26[[#This Row],[STOCK JUEGOS]])</f>
        <v>1562</v>
      </c>
      <c r="P24" s="18">
        <f>(chino26[[#This Row],["J" PRECIO VENTA ]]*chino26[[#This Row],[STOCK JUEGOS]])</f>
        <v>4840</v>
      </c>
      <c r="Q24" s="18">
        <f>(chino26[[#This Row],["B"PRECIO COMPRA]]*chino26[[#This Row],[STOCK BARRAS]])</f>
        <v>0</v>
      </c>
      <c r="R24" s="18">
        <f>(chino26[[#This Row],["B"PRECIO VENTA ]]*chino26[[#This Row],[STOCK BARRAS]])</f>
        <v>0</v>
      </c>
      <c r="U24" s="18">
        <v>3.43</v>
      </c>
      <c r="W24" s="18" t="s">
        <v>418</v>
      </c>
    </row>
    <row r="25" spans="1:23">
      <c r="A25">
        <v>20</v>
      </c>
      <c r="B25" s="61">
        <v>8061</v>
      </c>
      <c r="C25" s="57" t="s">
        <v>419</v>
      </c>
      <c r="D25">
        <f>(chino26[[#This Row],[CANTIDAD INICIAL JUEGO ]]+chino26[[#This Row],[ENTRADAS JUEGOS ]]-chino26[[#This Row],[SALIDAS JUEGOS]])</f>
        <v>13</v>
      </c>
      <c r="E25">
        <f>(chino26[[#This Row],[CANTIDAD INICIAL BARRAS]]+chino26[[#This Row],[ENTRADAS BARRAS]]-chino26[[#This Row],[SALIDA BARRAS]])</f>
        <v>1</v>
      </c>
      <c r="F25" s="35">
        <v>250</v>
      </c>
      <c r="G25" s="38">
        <v>53.9</v>
      </c>
      <c r="H25" s="18">
        <v>2</v>
      </c>
      <c r="I25">
        <f>(chino26[[#This Row],["J" PRECIO VENTA ]]/chino26[[#This Row],[BARRAS]])</f>
        <v>125</v>
      </c>
      <c r="J25">
        <f>(chino26[[#This Row],["J"PRECIO COMPRA ]]/chino26[[#This Row],[BARRAS]])</f>
        <v>26.95</v>
      </c>
      <c r="K25">
        <f>SUMIF(entradas26[CODIGO],chino26[[#This Row],[CODIGO ]],entradas26[[CAN JUEGOS ]])</f>
        <v>0</v>
      </c>
      <c r="L25">
        <f>SUMIF(entradas26[CODIGO],chino26[[#This Row],[CODIGO ]],entradas26[CAN BARRAS])</f>
        <v>0</v>
      </c>
      <c r="M25">
        <f>SUMIF(salidas26[[CODIGO ]],chino26[[#This Row],[CODIGO ]],salidas26[[CANT JUEGOS ]])</f>
        <v>0</v>
      </c>
      <c r="N25">
        <f>SUMIF(salidas26[[CODIGO ]],chino26[[#This Row],[CODIGO ]],salidas26[CANT BARRAS])</f>
        <v>0</v>
      </c>
      <c r="O25">
        <f>(chino26[[#This Row],["J"PRECIO COMPRA ]]*chino26[[#This Row],[STOCK JUEGOS]])</f>
        <v>700.69999999999993</v>
      </c>
      <c r="P25">
        <f>(chino26[[#This Row],["J" PRECIO VENTA ]]*chino26[[#This Row],[STOCK JUEGOS]])</f>
        <v>3250</v>
      </c>
      <c r="Q25">
        <f>(chino26[[#This Row],["B"PRECIO COMPRA]]*chino26[[#This Row],[STOCK BARRAS]])</f>
        <v>26.95</v>
      </c>
      <c r="R25">
        <f>(chino26[[#This Row],["B"PRECIO VENTA ]]*chino26[[#This Row],[STOCK BARRAS]])</f>
        <v>125</v>
      </c>
      <c r="S25" s="33">
        <v>13</v>
      </c>
      <c r="T25" s="33">
        <v>1</v>
      </c>
    </row>
    <row r="26" spans="1:23" s="27" customFormat="1">
      <c r="B26" s="18">
        <v>8072</v>
      </c>
      <c r="C26" s="57" t="s">
        <v>420</v>
      </c>
      <c r="D26">
        <f>(chino26[[#This Row],[CANTIDAD INICIAL JUEGO ]]+chino26[[#This Row],[ENTRADAS JUEGOS ]]-chino26[[#This Row],[SALIDAS JUEGOS]])</f>
        <v>0</v>
      </c>
      <c r="E26">
        <f>(chino26[[#This Row],[CANTIDAD INICIAL BARRAS]]+chino26[[#This Row],[ENTRADAS BARRAS]]-chino26[[#This Row],[SALIDA BARRAS]])</f>
        <v>9</v>
      </c>
      <c r="F26" s="35">
        <v>240</v>
      </c>
      <c r="G26" s="18">
        <v>100</v>
      </c>
      <c r="H26" s="18">
        <v>12</v>
      </c>
      <c r="I26">
        <f>(chino26[[#This Row],["J" PRECIO VENTA ]]/chino26[[#This Row],[BARRAS]])</f>
        <v>20</v>
      </c>
      <c r="J26">
        <f>(chino26[[#This Row],["J"PRECIO COMPRA ]]/chino26[[#This Row],[BARRAS]])</f>
        <v>8.3333333333333339</v>
      </c>
      <c r="K26">
        <f>SUMIF(entradas26[CODIGO],chino26[[#This Row],[CODIGO ]],entradas26[[CAN JUEGOS ]])</f>
        <v>0</v>
      </c>
      <c r="L26">
        <f>SUMIF(entradas26[CODIGO],chino26[[#This Row],[CODIGO ]],entradas26[CAN BARRAS])</f>
        <v>0</v>
      </c>
      <c r="M26">
        <f>SUMIF(salidas26[[CODIGO ]],chino26[[#This Row],[CODIGO ]],salidas26[[CANT JUEGOS ]])</f>
        <v>0</v>
      </c>
      <c r="N26">
        <f>SUMIF(salidas26[[CODIGO ]],chino26[[#This Row],[CODIGO ]],salidas26[CANT BARRAS])</f>
        <v>0</v>
      </c>
      <c r="O26">
        <f>(chino26[[#This Row],["J"PRECIO COMPRA ]]*chino26[[#This Row],[STOCK JUEGOS]])</f>
        <v>0</v>
      </c>
      <c r="P26">
        <f>(chino26[[#This Row],["J" PRECIO VENTA ]]*chino26[[#This Row],[STOCK JUEGOS]])</f>
        <v>0</v>
      </c>
      <c r="Q26">
        <f>(chino26[[#This Row],["B"PRECIO COMPRA]]*chino26[[#This Row],[STOCK BARRAS]])</f>
        <v>75</v>
      </c>
      <c r="R26">
        <f>(chino26[[#This Row],["B"PRECIO VENTA ]]*chino26[[#This Row],[STOCK BARRAS]])</f>
        <v>180</v>
      </c>
      <c r="S26" s="28"/>
      <c r="T26" s="28">
        <v>9</v>
      </c>
      <c r="U26"/>
      <c r="V26"/>
      <c r="W26"/>
    </row>
    <row r="27" spans="1:23">
      <c r="A27">
        <v>21</v>
      </c>
      <c r="B27" s="18">
        <v>8075</v>
      </c>
      <c r="C27" s="57" t="s">
        <v>421</v>
      </c>
      <c r="D27">
        <f>(chino26[[#This Row],[CANTIDAD INICIAL JUEGO ]]+chino26[[#This Row],[ENTRADAS JUEGOS ]]-chino26[[#This Row],[SALIDAS JUEGOS]])</f>
        <v>2</v>
      </c>
      <c r="E27">
        <f>(chino26[[#This Row],[CANTIDAD INICIAL BARRAS]]+chino26[[#This Row],[ENTRADAS BARRAS]]-chino26[[#This Row],[SALIDA BARRAS]])</f>
        <v>8</v>
      </c>
      <c r="F27" s="35">
        <v>250</v>
      </c>
      <c r="G27" s="18"/>
      <c r="H27" s="18">
        <v>8</v>
      </c>
      <c r="I27">
        <f>(chino26[[#This Row],["J" PRECIO VENTA ]]/chino26[[#This Row],[BARRAS]])</f>
        <v>31.25</v>
      </c>
      <c r="J27">
        <f>(chino26[[#This Row],["J"PRECIO COMPRA ]]/chino26[[#This Row],[BARRAS]])</f>
        <v>0</v>
      </c>
      <c r="K27">
        <f>SUMIF(entradas26[CODIGO],chino26[[#This Row],[CODIGO ]],entradas26[[CAN JUEGOS ]])</f>
        <v>0</v>
      </c>
      <c r="L27">
        <f>SUMIF(entradas26[CODIGO],chino26[[#This Row],[CODIGO ]],entradas26[CAN BARRAS])</f>
        <v>0</v>
      </c>
      <c r="M27">
        <f>SUMIF(salidas26[[CODIGO ]],chino26[[#This Row],[CODIGO ]],salidas26[[CANT JUEGOS ]])</f>
        <v>0</v>
      </c>
      <c r="N27">
        <f>SUMIF(salidas26[[CODIGO ]],chino26[[#This Row],[CODIGO ]],salidas26[CANT BARRAS])</f>
        <v>0</v>
      </c>
      <c r="O27">
        <f>(chino26[[#This Row],["J"PRECIO COMPRA ]]*chino26[[#This Row],[STOCK JUEGOS]])</f>
        <v>0</v>
      </c>
      <c r="P27">
        <f>(chino26[[#This Row],["J" PRECIO VENTA ]]*chino26[[#This Row],[STOCK JUEGOS]])</f>
        <v>500</v>
      </c>
      <c r="Q27">
        <f>(chino26[[#This Row],["B"PRECIO COMPRA]]*chino26[[#This Row],[STOCK BARRAS]])</f>
        <v>0</v>
      </c>
      <c r="R27">
        <f>(chino26[[#This Row],["B"PRECIO VENTA ]]*chino26[[#This Row],[STOCK BARRAS]])</f>
        <v>250</v>
      </c>
      <c r="S27" s="28">
        <v>2</v>
      </c>
      <c r="T27" s="28">
        <v>8</v>
      </c>
    </row>
    <row r="28" spans="1:23">
      <c r="A28">
        <v>22</v>
      </c>
      <c r="B28" s="18">
        <v>8094</v>
      </c>
      <c r="C28" s="57" t="s">
        <v>422</v>
      </c>
      <c r="D28">
        <f>(chino26[[#This Row],[CANTIDAD INICIAL JUEGO ]]+chino26[[#This Row],[ENTRADAS JUEGOS ]]-chino26[[#This Row],[SALIDAS JUEGOS]])</f>
        <v>6</v>
      </c>
      <c r="E28">
        <f>(chino26[[#This Row],[CANTIDAD INICIAL BARRAS]]+chino26[[#This Row],[ENTRADAS BARRAS]]-chino26[[#This Row],[SALIDA BARRAS]])</f>
        <v>0</v>
      </c>
      <c r="F28" s="35">
        <v>320</v>
      </c>
      <c r="G28" s="18">
        <v>109</v>
      </c>
      <c r="H28" s="18"/>
      <c r="I28" t="e">
        <f>(chino26[[#This Row],["J" PRECIO VENTA ]]/chino26[[#This Row],[BARRAS]])</f>
        <v>#DIV/0!</v>
      </c>
      <c r="J28" t="e">
        <f>(chino26[[#This Row],["J"PRECIO COMPRA ]]/chino26[[#This Row],[BARRAS]])</f>
        <v>#DIV/0!</v>
      </c>
      <c r="K28">
        <f>SUMIF(entradas26[CODIGO],chino26[[#This Row],[CODIGO ]],entradas26[[CAN JUEGOS ]])</f>
        <v>0</v>
      </c>
      <c r="L28">
        <f>SUMIF(entradas26[CODIGO],chino26[[#This Row],[CODIGO ]],entradas26[CAN BARRAS])</f>
        <v>0</v>
      </c>
      <c r="M28">
        <f>SUMIF(salidas26[[CODIGO ]],chino26[[#This Row],[CODIGO ]],salidas26[[CANT JUEGOS ]])</f>
        <v>4</v>
      </c>
      <c r="N28">
        <f>SUMIF(salidas26[[CODIGO ]],chino26[[#This Row],[CODIGO ]],salidas26[CANT BARRAS])</f>
        <v>0</v>
      </c>
      <c r="O28">
        <f>(chino26[[#This Row],["J"PRECIO COMPRA ]]*chino26[[#This Row],[STOCK JUEGOS]])</f>
        <v>654</v>
      </c>
      <c r="P28">
        <f>(chino26[[#This Row],["J" PRECIO VENTA ]]*chino26[[#This Row],[STOCK JUEGOS]])</f>
        <v>1920</v>
      </c>
      <c r="Q28" t="e">
        <f>(chino26[[#This Row],["B"PRECIO COMPRA]]*chino26[[#This Row],[STOCK BARRAS]])</f>
        <v>#DIV/0!</v>
      </c>
      <c r="R28" t="e">
        <f>(chino26[[#This Row],["B"PRECIO VENTA ]]*chino26[[#This Row],[STOCK BARRAS]])</f>
        <v>#DIV/0!</v>
      </c>
      <c r="S28" s="28">
        <v>10</v>
      </c>
      <c r="T28" s="28"/>
    </row>
    <row r="29" spans="1:23" ht="30">
      <c r="A29">
        <v>23</v>
      </c>
      <c r="B29" s="18">
        <v>8081</v>
      </c>
      <c r="C29" s="57" t="s">
        <v>938</v>
      </c>
      <c r="D29">
        <f>(chino26[[#This Row],[CANTIDAD INICIAL JUEGO ]]+chino26[[#This Row],[ENTRADAS JUEGOS ]]-chino26[[#This Row],[SALIDAS JUEGOS]])</f>
        <v>16</v>
      </c>
      <c r="E29">
        <f>(chino26[[#This Row],[CANTIDAD INICIAL BARRAS]]+chino26[[#This Row],[ENTRADAS BARRAS]]-chino26[[#This Row],[SALIDA BARRAS]])</f>
        <v>0</v>
      </c>
      <c r="F29" s="35">
        <v>300</v>
      </c>
      <c r="G29" s="38">
        <v>70</v>
      </c>
      <c r="H29" s="18">
        <v>2</v>
      </c>
      <c r="I29">
        <f>(chino26[[#This Row],["J" PRECIO VENTA ]]/chino26[[#This Row],[BARRAS]])</f>
        <v>150</v>
      </c>
      <c r="J29">
        <f>(chino26[[#This Row],["J"PRECIO COMPRA ]]/chino26[[#This Row],[BARRAS]])</f>
        <v>35</v>
      </c>
      <c r="K29">
        <f>SUMIF(entradas26[CODIGO],chino26[[#This Row],[CODIGO ]],entradas26[[CAN JUEGOS ]])</f>
        <v>0</v>
      </c>
      <c r="L29">
        <f>SUMIF(entradas26[CODIGO],chino26[[#This Row],[CODIGO ]],entradas26[CAN BARRAS])</f>
        <v>0</v>
      </c>
      <c r="M29">
        <f>SUMIF(salidas26[[CODIGO ]],chino26[[#This Row],[CODIGO ]],salidas26[[CANT JUEGOS ]])</f>
        <v>4</v>
      </c>
      <c r="N29">
        <f>SUMIF(salidas26[[CODIGO ]],chino26[[#This Row],[CODIGO ]],salidas26[CANT BARRAS])</f>
        <v>0</v>
      </c>
      <c r="O29">
        <f>(chino26[[#This Row],["J"PRECIO COMPRA ]]*chino26[[#This Row],[STOCK JUEGOS]])</f>
        <v>1120</v>
      </c>
      <c r="P29">
        <f>(chino26[[#This Row],["J" PRECIO VENTA ]]*chino26[[#This Row],[STOCK JUEGOS]])</f>
        <v>4800</v>
      </c>
      <c r="Q29">
        <f>(chino26[[#This Row],["B"PRECIO COMPRA]]*chino26[[#This Row],[STOCK BARRAS]])</f>
        <v>0</v>
      </c>
      <c r="R29">
        <f>(chino26[[#This Row],["B"PRECIO VENTA ]]*chino26[[#This Row],[STOCK BARRAS]])</f>
        <v>0</v>
      </c>
      <c r="S29" s="28">
        <v>20</v>
      </c>
      <c r="T29" s="28"/>
      <c r="U29">
        <v>3.5</v>
      </c>
      <c r="W29" t="s">
        <v>423</v>
      </c>
    </row>
    <row r="30" spans="1:23">
      <c r="B30" s="18">
        <v>8082</v>
      </c>
      <c r="C30" s="57" t="s">
        <v>684</v>
      </c>
      <c r="D30" s="26">
        <f>(chino26[[#This Row],[CANTIDAD INICIAL JUEGO ]]+chino26[[#This Row],[ENTRADAS JUEGOS ]]-chino26[[#This Row],[SALIDAS JUEGOS]])</f>
        <v>18</v>
      </c>
      <c r="E30" s="26">
        <f>(chino26[[#This Row],[CANTIDAD INICIAL BARRAS]]+chino26[[#This Row],[ENTRADAS BARRAS]]-chino26[[#This Row],[SALIDA BARRAS]])</f>
        <v>0</v>
      </c>
      <c r="F30" s="88">
        <v>320</v>
      </c>
      <c r="G30" s="38"/>
      <c r="H30" s="18"/>
      <c r="I30" s="26" t="e">
        <f>(chino26[[#This Row],["J" PRECIO VENTA ]]/chino26[[#This Row],[BARRAS]])</f>
        <v>#DIV/0!</v>
      </c>
      <c r="J30" s="26" t="e">
        <f>(chino26[[#This Row],["J"PRECIO COMPRA ]]/chino26[[#This Row],[BARRAS]])</f>
        <v>#DIV/0!</v>
      </c>
      <c r="K30" s="26">
        <f>SUMIF(entradas26[CODIGO],chino26[[#This Row],[CODIGO ]],entradas26[[CAN JUEGOS ]])</f>
        <v>25</v>
      </c>
      <c r="L30" s="26">
        <f>SUMIF(entradas26[CODIGO],chino26[[#This Row],[CODIGO ]],entradas26[CAN BARRAS])</f>
        <v>0</v>
      </c>
      <c r="M30" s="26">
        <f>SUMIF(salidas26[[CODIGO ]],chino26[[#This Row],[CODIGO ]],salidas26[[CANT JUEGOS ]])</f>
        <v>7</v>
      </c>
      <c r="N30" s="26">
        <f>SUMIF(salidas26[[CODIGO ]],chino26[[#This Row],[CODIGO ]],salidas26[CANT BARRAS])</f>
        <v>0</v>
      </c>
      <c r="O30" s="26">
        <f>(chino26[[#This Row],["J"PRECIO COMPRA ]]*chino26[[#This Row],[STOCK JUEGOS]])</f>
        <v>0</v>
      </c>
      <c r="P30" s="26">
        <f>(chino26[[#This Row],["J" PRECIO VENTA ]]*chino26[[#This Row],[STOCK JUEGOS]])</f>
        <v>5760</v>
      </c>
      <c r="Q30" s="26" t="e">
        <f>(chino26[[#This Row],["B"PRECIO COMPRA]]*chino26[[#This Row],[STOCK BARRAS]])</f>
        <v>#DIV/0!</v>
      </c>
      <c r="R30" s="26" t="e">
        <f>(chino26[[#This Row],["B"PRECIO VENTA ]]*chino26[[#This Row],[STOCK BARRAS]])</f>
        <v>#DIV/0!</v>
      </c>
      <c r="S30" s="28"/>
      <c r="T30" s="28"/>
      <c r="U30">
        <v>3.2</v>
      </c>
    </row>
    <row r="31" spans="1:23">
      <c r="A31">
        <v>24</v>
      </c>
      <c r="B31" s="18">
        <v>8074</v>
      </c>
      <c r="C31" s="52" t="s">
        <v>424</v>
      </c>
      <c r="D31">
        <f>(chino26[[#This Row],[CANTIDAD INICIAL JUEGO ]]+chino26[[#This Row],[ENTRADAS JUEGOS ]]-chino26[[#This Row],[SALIDAS JUEGOS]])</f>
        <v>12</v>
      </c>
      <c r="E31">
        <f>(chino26[[#This Row],[CANTIDAD INICIAL BARRAS]]+chino26[[#This Row],[ENTRADAS BARRAS]]-chino26[[#This Row],[SALIDA BARRAS]])</f>
        <v>0</v>
      </c>
      <c r="F31" s="35">
        <v>280</v>
      </c>
      <c r="G31" s="18">
        <v>60.2</v>
      </c>
      <c r="H31" s="18">
        <v>8</v>
      </c>
      <c r="I31">
        <f>(chino26[[#This Row],["J" PRECIO VENTA ]]/chino26[[#This Row],[BARRAS]])</f>
        <v>35</v>
      </c>
      <c r="J31">
        <f>(chino26[[#This Row],["J"PRECIO COMPRA ]]/chino26[[#This Row],[BARRAS]])</f>
        <v>7.5250000000000004</v>
      </c>
      <c r="K31">
        <f>SUMIF(entradas26[CODIGO],chino26[[#This Row],[CODIGO ]],entradas26[[CAN JUEGOS ]])</f>
        <v>0</v>
      </c>
      <c r="L31">
        <f>SUMIF(entradas26[CODIGO],chino26[[#This Row],[CODIGO ]],entradas26[CAN BARRAS])</f>
        <v>0</v>
      </c>
      <c r="M31">
        <f>SUMIF(salidas26[[CODIGO ]],chino26[[#This Row],[CODIGO ]],salidas26[[CANT JUEGOS ]])</f>
        <v>1</v>
      </c>
      <c r="N31">
        <f>SUMIF(salidas26[[CODIGO ]],chino26[[#This Row],[CODIGO ]],salidas26[CANT BARRAS])</f>
        <v>0</v>
      </c>
      <c r="O31">
        <f>(chino26[[#This Row],["J"PRECIO COMPRA ]]*chino26[[#This Row],[STOCK JUEGOS]])</f>
        <v>722.40000000000009</v>
      </c>
      <c r="P31">
        <f>(chino26[[#This Row],["J" PRECIO VENTA ]]*chino26[[#This Row],[STOCK JUEGOS]])</f>
        <v>3360</v>
      </c>
      <c r="Q31">
        <f>(chino26[[#This Row],["B"PRECIO COMPRA]]*chino26[[#This Row],[STOCK BARRAS]])</f>
        <v>0</v>
      </c>
      <c r="R31">
        <f>(chino26[[#This Row],["B"PRECIO VENTA ]]*chino26[[#This Row],[STOCK BARRAS]])</f>
        <v>0</v>
      </c>
      <c r="S31" s="28">
        <v>13</v>
      </c>
      <c r="T31" s="28"/>
    </row>
    <row r="32" spans="1:23">
      <c r="A32">
        <v>25</v>
      </c>
      <c r="B32" s="18">
        <v>8090</v>
      </c>
      <c r="C32" s="57" t="s">
        <v>425</v>
      </c>
      <c r="D32">
        <f>(chino26[[#This Row],[CANTIDAD INICIAL JUEGO ]]+chino26[[#This Row],[ENTRADAS JUEGOS ]]-chino26[[#This Row],[SALIDAS JUEGOS]])</f>
        <v>11</v>
      </c>
      <c r="E32">
        <f>(chino26[[#This Row],[CANTIDAD INICIAL BARRAS]]+chino26[[#This Row],[ENTRADAS BARRAS]]-chino26[[#This Row],[SALIDA BARRAS]])</f>
        <v>4</v>
      </c>
      <c r="F32" s="35">
        <v>300</v>
      </c>
      <c r="G32" s="18">
        <v>74</v>
      </c>
      <c r="H32" s="18"/>
      <c r="I32" t="e">
        <f>(chino26[[#This Row],["J" PRECIO VENTA ]]/chino26[[#This Row],[BARRAS]])</f>
        <v>#DIV/0!</v>
      </c>
      <c r="J32" t="e">
        <f>(chino26[[#This Row],["J"PRECIO COMPRA ]]/chino26[[#This Row],[BARRAS]])</f>
        <v>#DIV/0!</v>
      </c>
      <c r="K32">
        <f>SUMIF(entradas26[CODIGO],chino26[[#This Row],[CODIGO ]],entradas26[[CAN JUEGOS ]])</f>
        <v>0</v>
      </c>
      <c r="L32">
        <f>SUMIF(entradas26[CODIGO],chino26[[#This Row],[CODIGO ]],entradas26[CAN BARRAS])</f>
        <v>0</v>
      </c>
      <c r="M32">
        <f>SUMIF(salidas26[[CODIGO ]],chino26[[#This Row],[CODIGO ]],salidas26[[CANT JUEGOS ]])</f>
        <v>4</v>
      </c>
      <c r="N32">
        <f>SUMIF(salidas26[[CODIGO ]],chino26[[#This Row],[CODIGO ]],salidas26[CANT BARRAS])</f>
        <v>0</v>
      </c>
      <c r="O32">
        <f>(chino26[[#This Row],["J"PRECIO COMPRA ]]*chino26[[#This Row],[STOCK JUEGOS]])</f>
        <v>814</v>
      </c>
      <c r="P32">
        <f>(chino26[[#This Row],["J" PRECIO VENTA ]]*chino26[[#This Row],[STOCK JUEGOS]])</f>
        <v>3300</v>
      </c>
      <c r="Q32" t="e">
        <f>(chino26[[#This Row],["B"PRECIO COMPRA]]*chino26[[#This Row],[STOCK BARRAS]])</f>
        <v>#DIV/0!</v>
      </c>
      <c r="R32" t="e">
        <f>(chino26[[#This Row],["B"PRECIO VENTA ]]*chino26[[#This Row],[STOCK BARRAS]])</f>
        <v>#DIV/0!</v>
      </c>
      <c r="S32" s="28">
        <v>15</v>
      </c>
      <c r="T32" s="28">
        <v>4</v>
      </c>
    </row>
    <row r="33" spans="1:24">
      <c r="B33" s="18">
        <v>8091</v>
      </c>
      <c r="C33" s="57" t="s">
        <v>426</v>
      </c>
      <c r="D33">
        <f>(chino26[[#This Row],[CANTIDAD INICIAL JUEGO ]]+chino26[[#This Row],[ENTRADAS JUEGOS ]]-chino26[[#This Row],[SALIDAS JUEGOS]])</f>
        <v>20</v>
      </c>
      <c r="E33">
        <f>(chino26[[#This Row],[CANTIDAD INICIAL BARRAS]]+chino26[[#This Row],[ENTRADAS BARRAS]]-chino26[[#This Row],[SALIDA BARRAS]])</f>
        <v>0</v>
      </c>
      <c r="F33" s="88">
        <v>300</v>
      </c>
      <c r="G33" s="18"/>
      <c r="H33" s="18"/>
      <c r="I33" t="e">
        <f>(chino26[[#This Row],["J" PRECIO VENTA ]]/chino26[[#This Row],[BARRAS]])</f>
        <v>#DIV/0!</v>
      </c>
      <c r="J33" t="e">
        <f>(chino26[[#This Row],["J"PRECIO COMPRA ]]/chino26[[#This Row],[BARRAS]])</f>
        <v>#DIV/0!</v>
      </c>
      <c r="K33">
        <f>SUMIF(entradas26[CODIGO],chino26[[#This Row],[CODIGO ]],entradas26[[CAN JUEGOS ]])</f>
        <v>20</v>
      </c>
      <c r="L33">
        <f>SUMIF(entradas26[CODIGO],chino26[[#This Row],[CODIGO ]],entradas26[CAN BARRAS])</f>
        <v>0</v>
      </c>
      <c r="M33">
        <f>SUMIF(salidas26[[CODIGO ]],chino26[[#This Row],[CODIGO ]],salidas26[[CANT JUEGOS ]])</f>
        <v>0</v>
      </c>
      <c r="N33">
        <f>SUMIF(salidas26[[CODIGO ]],chino26[[#This Row],[CODIGO ]],salidas26[CANT BARRAS])</f>
        <v>0</v>
      </c>
      <c r="O33">
        <f>(chino26[[#This Row],["J"PRECIO COMPRA ]]*chino26[[#This Row],[STOCK JUEGOS]])</f>
        <v>0</v>
      </c>
      <c r="P33">
        <f>(chino26[[#This Row],["J" PRECIO VENTA ]]*chino26[[#This Row],[STOCK JUEGOS]])</f>
        <v>6000</v>
      </c>
      <c r="Q33" t="e">
        <f>(chino26[[#This Row],["B"PRECIO COMPRA]]*chino26[[#This Row],[STOCK BARRAS]])</f>
        <v>#DIV/0!</v>
      </c>
      <c r="R33" t="e">
        <f>(chino26[[#This Row],["B"PRECIO VENTA ]]*chino26[[#This Row],[STOCK BARRAS]])</f>
        <v>#DIV/0!</v>
      </c>
      <c r="S33" s="28"/>
      <c r="T33" s="28"/>
      <c r="U33">
        <v>6.4</v>
      </c>
      <c r="W33" t="s">
        <v>427</v>
      </c>
    </row>
    <row r="34" spans="1:24">
      <c r="A34">
        <v>26</v>
      </c>
      <c r="B34" s="18">
        <v>8076</v>
      </c>
      <c r="C34" s="57" t="s">
        <v>428</v>
      </c>
      <c r="D34">
        <f>(chino26[[#This Row],[CANTIDAD INICIAL JUEGO ]]+chino26[[#This Row],[ENTRADAS JUEGOS ]]-chino26[[#This Row],[SALIDAS JUEGOS]])</f>
        <v>16</v>
      </c>
      <c r="E34">
        <f>(chino26[[#This Row],[CANTIDAD INICIAL BARRAS]]+chino26[[#This Row],[ENTRADAS BARRAS]]-chino26[[#This Row],[SALIDA BARRAS]])</f>
        <v>0</v>
      </c>
      <c r="F34" s="35">
        <v>300</v>
      </c>
      <c r="G34" s="18">
        <v>126</v>
      </c>
      <c r="H34" s="18">
        <v>8</v>
      </c>
      <c r="I34">
        <f>(chino26[[#This Row],["J" PRECIO VENTA ]]/chino26[[#This Row],[BARRAS]])</f>
        <v>37.5</v>
      </c>
      <c r="J34">
        <f>(chino26[[#This Row],["J"PRECIO COMPRA ]]/chino26[[#This Row],[BARRAS]])</f>
        <v>15.75</v>
      </c>
      <c r="K34">
        <f>SUMIF(entradas26[CODIGO],chino26[[#This Row],[CODIGO ]],entradas26[[CAN JUEGOS ]])</f>
        <v>0</v>
      </c>
      <c r="L34">
        <f>SUMIF(entradas26[CODIGO],chino26[[#This Row],[CODIGO ]],entradas26[CAN BARRAS])</f>
        <v>0</v>
      </c>
      <c r="M34">
        <f>SUMIF(salidas26[[CODIGO ]],chino26[[#This Row],[CODIGO ]],salidas26[[CANT JUEGOS ]])</f>
        <v>4</v>
      </c>
      <c r="N34">
        <f>SUMIF(salidas26[[CODIGO ]],chino26[[#This Row],[CODIGO ]],salidas26[CANT BARRAS])</f>
        <v>0</v>
      </c>
      <c r="O34">
        <f>(chino26[[#This Row],["J"PRECIO COMPRA ]]*chino26[[#This Row],[STOCK JUEGOS]])</f>
        <v>2016</v>
      </c>
      <c r="P34">
        <f>(chino26[[#This Row],["J" PRECIO VENTA ]]*chino26[[#This Row],[STOCK JUEGOS]])</f>
        <v>4800</v>
      </c>
      <c r="Q34">
        <f>(chino26[[#This Row],["B"PRECIO COMPRA]]*chino26[[#This Row],[STOCK BARRAS]])</f>
        <v>0</v>
      </c>
      <c r="R34">
        <f>(chino26[[#This Row],["B"PRECIO VENTA ]]*chino26[[#This Row],[STOCK BARRAS]])</f>
        <v>0</v>
      </c>
      <c r="S34" s="28">
        <v>20</v>
      </c>
      <c r="T34" s="28"/>
      <c r="U34">
        <v>6.3</v>
      </c>
      <c r="W34" t="s">
        <v>429</v>
      </c>
    </row>
    <row r="35" spans="1:24">
      <c r="A35">
        <v>27</v>
      </c>
      <c r="B35" s="61">
        <v>8078</v>
      </c>
      <c r="C35" s="52" t="s">
        <v>430</v>
      </c>
      <c r="D35">
        <f>(chino26[[#This Row],[CANTIDAD INICIAL JUEGO ]]+chino26[[#This Row],[ENTRADAS JUEGOS ]]-chino26[[#This Row],[SALIDAS JUEGOS]])</f>
        <v>4</v>
      </c>
      <c r="E35">
        <f>(chino26[[#This Row],[CANTIDAD INICIAL BARRAS]]+chino26[[#This Row],[ENTRADAS BARRAS]]-chino26[[#This Row],[SALIDA BARRAS]])</f>
        <v>6</v>
      </c>
      <c r="F35" s="45">
        <v>300</v>
      </c>
      <c r="G35" s="18">
        <v>50</v>
      </c>
      <c r="H35" s="18">
        <v>6</v>
      </c>
      <c r="I35">
        <f>(chino26[[#This Row],["J" PRECIO VENTA ]]/chino26[[#This Row],[BARRAS]])</f>
        <v>50</v>
      </c>
      <c r="J35">
        <f>(chino26[[#This Row],["J"PRECIO COMPRA ]]/chino26[[#This Row],[BARRAS]])</f>
        <v>8.3333333333333339</v>
      </c>
      <c r="K35">
        <f>SUMIF(entradas26[CODIGO],chino26[[#This Row],[CODIGO ]],entradas26[[CAN JUEGOS ]])</f>
        <v>0</v>
      </c>
      <c r="L35">
        <f>SUMIF(entradas26[CODIGO],chino26[[#This Row],[CODIGO ]],entradas26[CAN BARRAS])</f>
        <v>0</v>
      </c>
      <c r="M35">
        <f>SUMIF(salidas26[[CODIGO ]],chino26[[#This Row],[CODIGO ]],salidas26[[CANT JUEGOS ]])</f>
        <v>1</v>
      </c>
      <c r="N35">
        <f>SUMIF(salidas26[[CODIGO ]],chino26[[#This Row],[CODIGO ]],salidas26[CANT BARRAS])</f>
        <v>0</v>
      </c>
      <c r="O35">
        <f>(chino26[[#This Row],["J"PRECIO COMPRA ]]*chino26[[#This Row],[STOCK JUEGOS]])</f>
        <v>200</v>
      </c>
      <c r="P35">
        <f>(chino26[[#This Row],["J" PRECIO VENTA ]]*chino26[[#This Row],[STOCK JUEGOS]])</f>
        <v>1200</v>
      </c>
      <c r="Q35">
        <f>(chino26[[#This Row],["B"PRECIO COMPRA]]*chino26[[#This Row],[STOCK BARRAS]])</f>
        <v>50</v>
      </c>
      <c r="R35">
        <f>(chino26[[#This Row],["B"PRECIO VENTA ]]*chino26[[#This Row],[STOCK BARRAS]])</f>
        <v>300</v>
      </c>
      <c r="S35" s="31">
        <v>5</v>
      </c>
      <c r="T35" s="31">
        <v>6</v>
      </c>
    </row>
    <row r="36" spans="1:24">
      <c r="A36">
        <v>28</v>
      </c>
      <c r="B36" s="18">
        <v>8093</v>
      </c>
      <c r="C36" s="57" t="s">
        <v>431</v>
      </c>
      <c r="D36">
        <f>(chino26[[#This Row],[CANTIDAD INICIAL JUEGO ]]+chino26[[#This Row],[ENTRADAS JUEGOS ]]-chino26[[#This Row],[SALIDAS JUEGOS]])</f>
        <v>10</v>
      </c>
      <c r="E36">
        <f>(chino26[[#This Row],[CANTIDAD INICIAL BARRAS]]+chino26[[#This Row],[ENTRADAS BARRAS]]-chino26[[#This Row],[SALIDA BARRAS]])</f>
        <v>0</v>
      </c>
      <c r="F36" s="35">
        <v>300</v>
      </c>
      <c r="G36" s="18">
        <v>160</v>
      </c>
      <c r="H36" s="18"/>
      <c r="I36" t="e">
        <f>(chino26[[#This Row],["J" PRECIO VENTA ]]/chino26[[#This Row],[BARRAS]])</f>
        <v>#DIV/0!</v>
      </c>
      <c r="J36" t="e">
        <f>(chino26[[#This Row],["J"PRECIO COMPRA ]]/chino26[[#This Row],[BARRAS]])</f>
        <v>#DIV/0!</v>
      </c>
      <c r="K36">
        <f>SUMIF(entradas26[CODIGO],chino26[[#This Row],[CODIGO ]],entradas26[[CAN JUEGOS ]])</f>
        <v>0</v>
      </c>
      <c r="L36">
        <f>SUMIF(entradas26[CODIGO],chino26[[#This Row],[CODIGO ]],entradas26[CAN BARRAS])</f>
        <v>0</v>
      </c>
      <c r="M36">
        <f>SUMIF(salidas26[[CODIGO ]],chino26[[#This Row],[CODIGO ]],salidas26[[CANT JUEGOS ]])</f>
        <v>0</v>
      </c>
      <c r="N36">
        <f>SUMIF(salidas26[[CODIGO ]],chino26[[#This Row],[CODIGO ]],salidas26[CANT BARRAS])</f>
        <v>0</v>
      </c>
      <c r="O36">
        <f>(chino26[[#This Row],["J"PRECIO COMPRA ]]*chino26[[#This Row],[STOCK JUEGOS]])</f>
        <v>1600</v>
      </c>
      <c r="P36">
        <f>(chino26[[#This Row],["J" PRECIO VENTA ]]*chino26[[#This Row],[STOCK JUEGOS]])</f>
        <v>3000</v>
      </c>
      <c r="Q36" t="e">
        <f>(chino26[[#This Row],["B"PRECIO COMPRA]]*chino26[[#This Row],[STOCK BARRAS]])</f>
        <v>#DIV/0!</v>
      </c>
      <c r="R36" t="e">
        <f>(chino26[[#This Row],["B"PRECIO VENTA ]]*chino26[[#This Row],[STOCK BARRAS]])</f>
        <v>#DIV/0!</v>
      </c>
      <c r="S36" s="28">
        <v>10</v>
      </c>
      <c r="T36" s="28"/>
    </row>
    <row r="37" spans="1:24">
      <c r="B37">
        <v>6027</v>
      </c>
      <c r="C37" s="18" t="s">
        <v>734</v>
      </c>
      <c r="D37">
        <f>(chino26[[#This Row],[CANTIDAD INICIAL JUEGO ]]+chino26[[#This Row],[ENTRADAS JUEGOS ]]-chino26[[#This Row],[SALIDAS JUEGOS]])</f>
        <v>14</v>
      </c>
      <c r="E37">
        <f>(chino26[[#This Row],[CANTIDAD INICIAL BARRAS]]+chino26[[#This Row],[ENTRADAS BARRAS]]-chino26[[#This Row],[SALIDA BARRAS]])</f>
        <v>9</v>
      </c>
      <c r="F37" s="35">
        <v>280</v>
      </c>
      <c r="G37" s="38">
        <v>150</v>
      </c>
      <c r="H37" s="18">
        <v>10</v>
      </c>
      <c r="I37">
        <f>(chino26[[#This Row],["J" PRECIO VENTA ]]/chino26[[#This Row],[BARRAS]])</f>
        <v>28</v>
      </c>
      <c r="J37">
        <f>(chino26[[#This Row],["J"PRECIO COMPRA ]]/chino26[[#This Row],[BARRAS]])</f>
        <v>15</v>
      </c>
      <c r="K37">
        <f>SUMIF(entradas26[CODIGO],chino26[[#This Row],[CODIGO ]],entradas26[[CAN JUEGOS ]])</f>
        <v>0</v>
      </c>
      <c r="L37">
        <f>SUMIF(entradas26[CODIGO],chino26[[#This Row],[CODIGO ]],entradas26[CAN BARRAS])</f>
        <v>40</v>
      </c>
      <c r="M37">
        <f>SUMIF(salidas26[[CODIGO ]],chino26[[#This Row],[CODIGO ]],salidas26[[CANT JUEGOS ]])</f>
        <v>6</v>
      </c>
      <c r="N37">
        <f>SUMIF(salidas26[[CODIGO ]],chino26[[#This Row],[CODIGO ]],salidas26[CANT BARRAS])</f>
        <v>41</v>
      </c>
      <c r="O37">
        <f>(chino26[[#This Row],["J"PRECIO COMPRA ]]*chino26[[#This Row],[STOCK JUEGOS]])</f>
        <v>2100</v>
      </c>
      <c r="P37">
        <f>(chino26[[#This Row],["J" PRECIO VENTA ]]*chino26[[#This Row],[STOCK JUEGOS]])</f>
        <v>3920</v>
      </c>
      <c r="Q37">
        <f>(chino26[[#This Row],["B"PRECIO COMPRA]]*chino26[[#This Row],[STOCK BARRAS]])</f>
        <v>135</v>
      </c>
      <c r="R37">
        <f>(chino26[[#This Row],["B"PRECIO VENTA ]]*chino26[[#This Row],[STOCK BARRAS]])</f>
        <v>252</v>
      </c>
      <c r="S37" s="28">
        <v>20</v>
      </c>
      <c r="T37" s="28">
        <v>10</v>
      </c>
      <c r="U37">
        <v>6.5</v>
      </c>
      <c r="W37" t="s">
        <v>363</v>
      </c>
      <c r="X37" t="s">
        <v>364</v>
      </c>
    </row>
    <row r="38" spans="1:24">
      <c r="A38">
        <v>29</v>
      </c>
      <c r="B38" s="18">
        <v>8103</v>
      </c>
      <c r="C38" s="57" t="s">
        <v>432</v>
      </c>
      <c r="D38">
        <f>(chino26[[#This Row],[CANTIDAD INICIAL JUEGO ]]+chino26[[#This Row],[ENTRADAS JUEGOS ]]-chino26[[#This Row],[SALIDAS JUEGOS]])</f>
        <v>13</v>
      </c>
      <c r="E38">
        <f>(chino26[[#This Row],[CANTIDAD INICIAL BARRAS]]+chino26[[#This Row],[ENTRADAS BARRAS]]-chino26[[#This Row],[SALIDA BARRAS]])</f>
        <v>1</v>
      </c>
      <c r="F38" s="35">
        <v>320</v>
      </c>
      <c r="G38" s="18">
        <v>69</v>
      </c>
      <c r="H38" s="18"/>
      <c r="I38" t="e">
        <f>(chino26[[#This Row],["J" PRECIO VENTA ]]/chino26[[#This Row],[BARRAS]])</f>
        <v>#DIV/0!</v>
      </c>
      <c r="J38" t="e">
        <f>(chino26[[#This Row],["J"PRECIO COMPRA ]]/chino26[[#This Row],[BARRAS]])</f>
        <v>#DIV/0!</v>
      </c>
      <c r="K38">
        <f>SUMIF(entradas26[CODIGO],chino26[[#This Row],[CODIGO ]],entradas26[[CAN JUEGOS ]])</f>
        <v>0</v>
      </c>
      <c r="L38">
        <f>SUMIF(entradas26[CODIGO],chino26[[#This Row],[CODIGO ]],entradas26[CAN BARRAS])</f>
        <v>0</v>
      </c>
      <c r="M38">
        <f>SUMIF(salidas26[[CODIGO ]],chino26[[#This Row],[CODIGO ]],salidas26[[CANT JUEGOS ]])</f>
        <v>0</v>
      </c>
      <c r="N38">
        <f>SUMIF(salidas26[[CODIGO ]],chino26[[#This Row],[CODIGO ]],salidas26[CANT BARRAS])</f>
        <v>0</v>
      </c>
      <c r="O38">
        <f>(chino26[[#This Row],["J"PRECIO COMPRA ]]*chino26[[#This Row],[STOCK JUEGOS]])</f>
        <v>897</v>
      </c>
      <c r="P38">
        <f>(chino26[[#This Row],["J" PRECIO VENTA ]]*chino26[[#This Row],[STOCK JUEGOS]])</f>
        <v>4160</v>
      </c>
      <c r="Q38" t="e">
        <f>(chino26[[#This Row],["B"PRECIO COMPRA]]*chino26[[#This Row],[STOCK BARRAS]])</f>
        <v>#DIV/0!</v>
      </c>
      <c r="R38" t="e">
        <f>(chino26[[#This Row],["B"PRECIO VENTA ]]*chino26[[#This Row],[STOCK BARRAS]])</f>
        <v>#DIV/0!</v>
      </c>
      <c r="S38" s="28">
        <v>13</v>
      </c>
      <c r="T38" s="28">
        <v>1</v>
      </c>
    </row>
    <row r="39" spans="1:24">
      <c r="B39" s="18">
        <v>8064</v>
      </c>
      <c r="C39" s="57" t="s">
        <v>433</v>
      </c>
      <c r="D39">
        <f>(chino26[[#This Row],[CANTIDAD INICIAL JUEGO ]]+chino26[[#This Row],[ENTRADAS JUEGOS ]]-chino26[[#This Row],[SALIDAS JUEGOS]])</f>
        <v>20</v>
      </c>
      <c r="E39">
        <f>(chino26[[#This Row],[CANTIDAD INICIAL BARRAS]]+chino26[[#This Row],[ENTRADAS BARRAS]]-chino26[[#This Row],[SALIDA BARRAS]])</f>
        <v>0</v>
      </c>
      <c r="F39" s="88">
        <v>320</v>
      </c>
      <c r="G39" s="18"/>
      <c r="H39" s="18"/>
      <c r="I39" t="e">
        <f>(chino26[[#This Row],["J" PRECIO VENTA ]]/chino26[[#This Row],[BARRAS]])</f>
        <v>#DIV/0!</v>
      </c>
      <c r="J39" t="e">
        <f>(chino26[[#This Row],["J"PRECIO COMPRA ]]/chino26[[#This Row],[BARRAS]])</f>
        <v>#DIV/0!</v>
      </c>
      <c r="K39">
        <f>SUMIF(entradas26[CODIGO],chino26[[#This Row],[CODIGO ]],entradas26[[CAN JUEGOS ]])</f>
        <v>20</v>
      </c>
      <c r="L39">
        <f>SUMIF(entradas26[CODIGO],chino26[[#This Row],[CODIGO ]],entradas26[CAN BARRAS])</f>
        <v>0</v>
      </c>
      <c r="M39">
        <f>SUMIF(salidas26[[CODIGO ]],chino26[[#This Row],[CODIGO ]],salidas26[[CANT JUEGOS ]])</f>
        <v>0</v>
      </c>
      <c r="N39">
        <f>SUMIF(salidas26[[CODIGO ]],chino26[[#This Row],[CODIGO ]],salidas26[CANT BARRAS])</f>
        <v>0</v>
      </c>
      <c r="O39">
        <f>(chino26[[#This Row],["J"PRECIO COMPRA ]]*chino26[[#This Row],[STOCK JUEGOS]])</f>
        <v>0</v>
      </c>
      <c r="P39">
        <f>(chino26[[#This Row],["J" PRECIO VENTA ]]*chino26[[#This Row],[STOCK JUEGOS]])</f>
        <v>6400</v>
      </c>
      <c r="Q39" t="e">
        <f>(chino26[[#This Row],["B"PRECIO COMPRA]]*chino26[[#This Row],[STOCK BARRAS]])</f>
        <v>#DIV/0!</v>
      </c>
      <c r="R39" t="e">
        <f>(chino26[[#This Row],["B"PRECIO VENTA ]]*chino26[[#This Row],[STOCK BARRAS]])</f>
        <v>#DIV/0!</v>
      </c>
      <c r="U39">
        <v>3.8</v>
      </c>
      <c r="W39" t="s">
        <v>427</v>
      </c>
    </row>
    <row r="40" spans="1:24">
      <c r="A40">
        <v>37</v>
      </c>
      <c r="B40" s="18">
        <v>8120</v>
      </c>
      <c r="C40" s="18" t="s">
        <v>434</v>
      </c>
      <c r="D40">
        <f>(chino26[[#This Row],[CANTIDAD INICIAL JUEGO ]]+chino26[[#This Row],[ENTRADAS JUEGOS ]]-chino26[[#This Row],[SALIDAS JUEGOS]])</f>
        <v>0</v>
      </c>
      <c r="E40">
        <f>(chino26[[#This Row],[CANTIDAD INICIAL BARRAS]]+chino26[[#This Row],[ENTRADAS BARRAS]]-chino26[[#This Row],[SALIDA BARRAS]])</f>
        <v>0</v>
      </c>
      <c r="F40" s="35">
        <v>3.5</v>
      </c>
      <c r="G40" s="18">
        <v>1.96</v>
      </c>
      <c r="H40" s="18">
        <v>1</v>
      </c>
      <c r="I40">
        <f>(chino26[[#This Row],["J" PRECIO VENTA ]]/chino26[[#This Row],[BARRAS]])</f>
        <v>3.5</v>
      </c>
      <c r="J40">
        <f>(chino26[[#This Row],["J"PRECIO COMPRA ]]/chino26[[#This Row],[BARRAS]])</f>
        <v>1.96</v>
      </c>
      <c r="K40">
        <f>SUMIF(entradas26[CODIGO],chino26[[#This Row],[CODIGO ]],entradas26[[CAN JUEGOS ]])</f>
        <v>0</v>
      </c>
      <c r="L40">
        <f>SUMIF(entradas26[CODIGO],chino26[[#This Row],[CODIGO ]],entradas26[CAN BARRAS])</f>
        <v>0</v>
      </c>
      <c r="M40">
        <f>SUMIF(salidas26[[CODIGO ]],chino26[[#This Row],[CODIGO ]],salidas26[[CANT JUEGOS ]])</f>
        <v>0</v>
      </c>
      <c r="N40">
        <f>SUMIF(salidas26[[CODIGO ]],chino26[[#This Row],[CODIGO ]],salidas26[CANT BARRAS])</f>
        <v>0</v>
      </c>
      <c r="O40">
        <f>(chino26[[#This Row],["J"PRECIO COMPRA ]]*chino26[[#This Row],[STOCK JUEGOS]])</f>
        <v>0</v>
      </c>
      <c r="P40">
        <f>(chino26[[#This Row],["J" PRECIO VENTA ]]*chino26[[#This Row],[STOCK JUEGOS]])</f>
        <v>0</v>
      </c>
      <c r="Q40">
        <f>(chino26[[#This Row],["B"PRECIO COMPRA]]*chino26[[#This Row],[STOCK BARRAS]])</f>
        <v>0</v>
      </c>
      <c r="R40">
        <f>(chino26[[#This Row],["B"PRECIO VENTA ]]*chino26[[#This Row],[STOCK BARRAS]])</f>
        <v>0</v>
      </c>
      <c r="S40">
        <v>0</v>
      </c>
      <c r="T40">
        <v>0</v>
      </c>
    </row>
    <row r="41" spans="1:24">
      <c r="A41">
        <v>38</v>
      </c>
      <c r="B41" s="61">
        <v>8123</v>
      </c>
      <c r="C41" s="18" t="s">
        <v>435</v>
      </c>
      <c r="D41">
        <f>(chino26[[#This Row],[CANTIDAD INICIAL JUEGO ]]+chino26[[#This Row],[ENTRADAS JUEGOS ]]-chino26[[#This Row],[SALIDAS JUEGOS]])</f>
        <v>0</v>
      </c>
      <c r="E41">
        <f>(chino26[[#This Row],[CANTIDAD INICIAL BARRAS]]+chino26[[#This Row],[ENTRADAS BARRAS]]-chino26[[#This Row],[SALIDA BARRAS]])</f>
        <v>1105</v>
      </c>
      <c r="F41" s="35">
        <v>3.5</v>
      </c>
      <c r="G41" s="18">
        <v>1.8</v>
      </c>
      <c r="H41" s="18">
        <v>1</v>
      </c>
      <c r="I41">
        <f>(chino26[[#This Row],["J" PRECIO VENTA ]]/chino26[[#This Row],[BARRAS]])</f>
        <v>3.5</v>
      </c>
      <c r="J41">
        <f>(chino26[[#This Row],["J"PRECIO COMPRA ]]/chino26[[#This Row],[BARRAS]])</f>
        <v>1.8</v>
      </c>
      <c r="K41">
        <f>SUMIF(entradas26[CODIGO],chino26[[#This Row],[CODIGO ]],entradas26[[CAN JUEGOS ]])</f>
        <v>0</v>
      </c>
      <c r="L41">
        <f>SUMIF(entradas26[CODIGO],chino26[[#This Row],[CODIGO ]],entradas26[CAN BARRAS])</f>
        <v>0</v>
      </c>
      <c r="M41">
        <f>SUMIF(salidas26[[CODIGO ]],chino26[[#This Row],[CODIGO ]],salidas26[[CANT JUEGOS ]])</f>
        <v>0</v>
      </c>
      <c r="N41">
        <f>SUMIF(salidas26[[CODIGO ]],chino26[[#This Row],[CODIGO ]],salidas26[CANT BARRAS])</f>
        <v>744</v>
      </c>
      <c r="O41">
        <f>(chino26[[#This Row],["J"PRECIO COMPRA ]]*chino26[[#This Row],[STOCK JUEGOS]])</f>
        <v>0</v>
      </c>
      <c r="P41">
        <f>(chino26[[#This Row],["J" PRECIO VENTA ]]*chino26[[#This Row],[STOCK JUEGOS]])</f>
        <v>0</v>
      </c>
      <c r="Q41">
        <f>(chino26[[#This Row],["B"PRECIO COMPRA]]*chino26[[#This Row],[STOCK BARRAS]])</f>
        <v>1989</v>
      </c>
      <c r="R41">
        <f>(chino26[[#This Row],["B"PRECIO VENTA ]]*chino26[[#This Row],[STOCK BARRAS]])</f>
        <v>3867.5</v>
      </c>
      <c r="S41">
        <v>0</v>
      </c>
      <c r="T41">
        <v>1849</v>
      </c>
    </row>
    <row r="42" spans="1:24">
      <c r="A42">
        <v>39</v>
      </c>
      <c r="B42" s="18">
        <v>8126</v>
      </c>
      <c r="C42" s="18" t="s">
        <v>436</v>
      </c>
      <c r="D42">
        <f>(chino26[[#This Row],[CANTIDAD INICIAL JUEGO ]]+chino26[[#This Row],[ENTRADAS JUEGOS ]]-chino26[[#This Row],[SALIDAS JUEGOS]])</f>
        <v>0</v>
      </c>
      <c r="E42">
        <f>(chino26[[#This Row],[CANTIDAD INICIAL BARRAS]]+chino26[[#This Row],[ENTRADAS BARRAS]]-chino26[[#This Row],[SALIDA BARRAS]])</f>
        <v>21</v>
      </c>
      <c r="F42" s="35">
        <v>3.5</v>
      </c>
      <c r="G42">
        <v>2.1</v>
      </c>
      <c r="H42" s="18">
        <v>1</v>
      </c>
      <c r="I42">
        <f>(chino26[[#This Row],["J" PRECIO VENTA ]]/chino26[[#This Row],[BARRAS]])</f>
        <v>3.5</v>
      </c>
      <c r="J42">
        <f>(chino26[[#This Row],["J"PRECIO COMPRA ]]/chino26[[#This Row],[BARRAS]])</f>
        <v>2.1</v>
      </c>
      <c r="K42">
        <f>SUMIF(entradas26[CODIGO],chino26[[#This Row],[CODIGO ]],entradas26[[CAN JUEGOS ]])</f>
        <v>0</v>
      </c>
      <c r="L42">
        <f>SUMIF(entradas26[CODIGO],chino26[[#This Row],[CODIGO ]],entradas26[CAN BARRAS])</f>
        <v>0</v>
      </c>
      <c r="M42">
        <f>SUMIF(salidas26[[CODIGO ]],chino26[[#This Row],[CODIGO ]],salidas26[[CANT JUEGOS ]])</f>
        <v>0</v>
      </c>
      <c r="N42">
        <f>SUMIF(salidas26[[CODIGO ]],chino26[[#This Row],[CODIGO ]],salidas26[CANT BARRAS])</f>
        <v>12</v>
      </c>
      <c r="O42">
        <f>(chino26[[#This Row],["J"PRECIO COMPRA ]]*chino26[[#This Row],[STOCK JUEGOS]])</f>
        <v>0</v>
      </c>
      <c r="P42">
        <f>(chino26[[#This Row],["J" PRECIO VENTA ]]*chino26[[#This Row],[STOCK JUEGOS]])</f>
        <v>0</v>
      </c>
      <c r="Q42">
        <f>(chino26[[#This Row],["B"PRECIO COMPRA]]*chino26[[#This Row],[STOCK BARRAS]])</f>
        <v>44.1</v>
      </c>
      <c r="R42">
        <f>(chino26[[#This Row],["B"PRECIO VENTA ]]*chino26[[#This Row],[STOCK BARRAS]])</f>
        <v>73.5</v>
      </c>
      <c r="S42" s="28">
        <v>0</v>
      </c>
      <c r="T42" s="28">
        <v>33</v>
      </c>
    </row>
    <row r="43" spans="1:24">
      <c r="A43">
        <v>40</v>
      </c>
      <c r="B43" s="18">
        <v>8129</v>
      </c>
      <c r="C43" s="50" t="s">
        <v>437</v>
      </c>
      <c r="D43">
        <f>(chino26[[#This Row],[CANTIDAD INICIAL JUEGO ]]+chino26[[#This Row],[ENTRADAS JUEGOS ]]-chino26[[#This Row],[SALIDAS JUEGOS]])</f>
        <v>0</v>
      </c>
      <c r="E43">
        <f>(chino26[[#This Row],[CANTIDAD INICIAL BARRAS]]+chino26[[#This Row],[ENTRADAS BARRAS]]-chino26[[#This Row],[SALIDA BARRAS]])</f>
        <v>4</v>
      </c>
      <c r="F43" s="35">
        <v>3.5</v>
      </c>
      <c r="G43">
        <v>2.2000000000000002</v>
      </c>
      <c r="H43" s="18">
        <v>1</v>
      </c>
      <c r="I43">
        <f>(chino26[[#This Row],["J" PRECIO VENTA ]]/chino26[[#This Row],[BARRAS]])</f>
        <v>3.5</v>
      </c>
      <c r="J43">
        <f>(chino26[[#This Row],["J"PRECIO COMPRA ]]/chino26[[#This Row],[BARRAS]])</f>
        <v>2.2000000000000002</v>
      </c>
      <c r="K43">
        <f>SUMIF(entradas26[CODIGO],chino26[[#This Row],[CODIGO ]],entradas26[[CAN JUEGOS ]])</f>
        <v>0</v>
      </c>
      <c r="L43">
        <f>SUMIF(entradas26[CODIGO],chino26[[#This Row],[CODIGO ]],entradas26[CAN BARRAS])</f>
        <v>0</v>
      </c>
      <c r="M43">
        <f>SUMIF(salidas26[[CODIGO ]],chino26[[#This Row],[CODIGO ]],salidas26[[CANT JUEGOS ]])</f>
        <v>0</v>
      </c>
      <c r="N43">
        <f>SUMIF(salidas26[[CODIGO ]],chino26[[#This Row],[CODIGO ]],salidas26[CANT BARRAS])</f>
        <v>5</v>
      </c>
      <c r="O43">
        <f>(chino26[[#This Row],["J"PRECIO COMPRA ]]*chino26[[#This Row],[STOCK JUEGOS]])</f>
        <v>0</v>
      </c>
      <c r="P43">
        <f>(chino26[[#This Row],["J" PRECIO VENTA ]]*chino26[[#This Row],[STOCK JUEGOS]])</f>
        <v>0</v>
      </c>
      <c r="Q43">
        <f>(chino26[[#This Row],["B"PRECIO COMPRA]]*chino26[[#This Row],[STOCK BARRAS]])</f>
        <v>8.8000000000000007</v>
      </c>
      <c r="R43">
        <f>(chino26[[#This Row],["B"PRECIO VENTA ]]*chino26[[#This Row],[STOCK BARRAS]])</f>
        <v>14</v>
      </c>
      <c r="S43">
        <v>0</v>
      </c>
      <c r="T43">
        <v>9</v>
      </c>
    </row>
    <row r="44" spans="1:24">
      <c r="A44">
        <v>41</v>
      </c>
      <c r="B44" s="61">
        <v>8124</v>
      </c>
      <c r="C44" s="63" t="s">
        <v>438</v>
      </c>
      <c r="D44">
        <f>(chino26[[#This Row],[CANTIDAD INICIAL JUEGO ]]+chino26[[#This Row],[ENTRADAS JUEGOS ]]-chino26[[#This Row],[SALIDAS JUEGOS]])</f>
        <v>-20</v>
      </c>
      <c r="E44">
        <f>(chino26[[#This Row],[CANTIDAD INICIAL BARRAS]]+chino26[[#This Row],[ENTRADAS BARRAS]]-chino26[[#This Row],[SALIDA BARRAS]])</f>
        <v>544</v>
      </c>
      <c r="F44" s="35">
        <v>3.5</v>
      </c>
      <c r="G44">
        <v>2</v>
      </c>
      <c r="H44" s="18">
        <v>1</v>
      </c>
      <c r="I44">
        <f>(chino26[[#This Row],["J" PRECIO VENTA ]]/chino26[[#This Row],[BARRAS]])</f>
        <v>3.5</v>
      </c>
      <c r="J44">
        <f>(chino26[[#This Row],["J"PRECIO COMPRA ]]/chino26[[#This Row],[BARRAS]])</f>
        <v>2</v>
      </c>
      <c r="K44">
        <f>SUMIF(entradas26[CODIGO],chino26[[#This Row],[CODIGO ]],entradas26[[CAN JUEGOS ]])</f>
        <v>0</v>
      </c>
      <c r="L44">
        <f>SUMIF(entradas26[CODIGO],chino26[[#This Row],[CODIGO ]],entradas26[CAN BARRAS])</f>
        <v>0</v>
      </c>
      <c r="M44">
        <f>SUMIF(salidas26[[CODIGO ]],chino26[[#This Row],[CODIGO ]],salidas26[[CANT JUEGOS ]])</f>
        <v>20</v>
      </c>
      <c r="N44">
        <f>SUMIF(salidas26[[CODIGO ]],chino26[[#This Row],[CODIGO ]],salidas26[CANT BARRAS])</f>
        <v>321</v>
      </c>
      <c r="O44">
        <f>(chino26[[#This Row],["J"PRECIO COMPRA ]]*chino26[[#This Row],[STOCK JUEGOS]])</f>
        <v>-40</v>
      </c>
      <c r="P44">
        <f>(chino26[[#This Row],["J" PRECIO VENTA ]]*chino26[[#This Row],[STOCK JUEGOS]])</f>
        <v>-70</v>
      </c>
      <c r="Q44">
        <f>(chino26[[#This Row],["B"PRECIO COMPRA]]*chino26[[#This Row],[STOCK BARRAS]])</f>
        <v>1088</v>
      </c>
      <c r="R44">
        <f>(chino26[[#This Row],["B"PRECIO VENTA ]]*chino26[[#This Row],[STOCK BARRAS]])</f>
        <v>1904</v>
      </c>
      <c r="S44" s="28">
        <v>0</v>
      </c>
      <c r="T44" s="28">
        <v>865</v>
      </c>
    </row>
    <row r="45" spans="1:24">
      <c r="A45">
        <v>42</v>
      </c>
      <c r="B45" s="18">
        <v>8130</v>
      </c>
      <c r="C45" s="63" t="s">
        <v>439</v>
      </c>
      <c r="D45">
        <f>(chino26[[#This Row],[CANTIDAD INICIAL JUEGO ]]+chino26[[#This Row],[ENTRADAS JUEGOS ]]-chino26[[#This Row],[SALIDAS JUEGOS]])</f>
        <v>0</v>
      </c>
      <c r="E45">
        <f>(chino26[[#This Row],[CANTIDAD INICIAL BARRAS]]+chino26[[#This Row],[ENTRADAS BARRAS]]-chino26[[#This Row],[SALIDA BARRAS]])</f>
        <v>1435</v>
      </c>
      <c r="F45" s="35">
        <v>3.5</v>
      </c>
      <c r="G45">
        <v>2.2000000000000002</v>
      </c>
      <c r="H45" s="18">
        <v>1</v>
      </c>
      <c r="I45">
        <f>(chino26[[#This Row],["J" PRECIO VENTA ]]/chino26[[#This Row],[BARRAS]])</f>
        <v>3.5</v>
      </c>
      <c r="J45">
        <f>(chino26[[#This Row],["J"PRECIO COMPRA ]]/chino26[[#This Row],[BARRAS]])</f>
        <v>2.2000000000000002</v>
      </c>
      <c r="K45">
        <f>SUMIF(entradas26[CODIGO],chino26[[#This Row],[CODIGO ]],entradas26[[CAN JUEGOS ]])</f>
        <v>0</v>
      </c>
      <c r="L45">
        <f>SUMIF(entradas26[CODIGO],chino26[[#This Row],[CODIGO ]],entradas26[CAN BARRAS])</f>
        <v>0</v>
      </c>
      <c r="M45">
        <f>SUMIF(salidas26[[CODIGO ]],chino26[[#This Row],[CODIGO ]],salidas26[[CANT JUEGOS ]])</f>
        <v>0</v>
      </c>
      <c r="N45">
        <f>SUMIF(salidas26[[CODIGO ]],chino26[[#This Row],[CODIGO ]],salidas26[CANT BARRAS])</f>
        <v>210</v>
      </c>
      <c r="O45">
        <f>(chino26[[#This Row],["J"PRECIO COMPRA ]]*chino26[[#This Row],[STOCK JUEGOS]])</f>
        <v>0</v>
      </c>
      <c r="P45">
        <f>(chino26[[#This Row],["J" PRECIO VENTA ]]*chino26[[#This Row],[STOCK JUEGOS]])</f>
        <v>0</v>
      </c>
      <c r="Q45">
        <f>(chino26[[#This Row],["B"PRECIO COMPRA]]*chino26[[#This Row],[STOCK BARRAS]])</f>
        <v>3157.0000000000005</v>
      </c>
      <c r="R45">
        <f>(chino26[[#This Row],["B"PRECIO VENTA ]]*chino26[[#This Row],[STOCK BARRAS]])</f>
        <v>5022.5</v>
      </c>
      <c r="S45" s="28">
        <v>0</v>
      </c>
      <c r="T45" s="28">
        <v>1645</v>
      </c>
    </row>
  </sheetData>
  <mergeCells count="1">
    <mergeCell ref="B2:V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3"/>
  <sheetViews>
    <sheetView zoomScaleNormal="100" workbookViewId="0">
      <selection activeCell="U5" sqref="U5:U13"/>
    </sheetView>
  </sheetViews>
  <sheetFormatPr baseColWidth="10" defaultColWidth="11.42578125" defaultRowHeight="15"/>
  <cols>
    <col min="1" max="1" width="5.5703125" customWidth="1"/>
    <col min="2" max="2" width="8.7109375" customWidth="1"/>
    <col min="3" max="3" width="30" customWidth="1"/>
    <col min="4" max="10" width="8.85546875" customWidth="1"/>
    <col min="11" max="18" width="8.85546875" hidden="1" customWidth="1"/>
    <col min="19" max="20" width="8.85546875" customWidth="1"/>
    <col min="21" max="21" width="12" customWidth="1"/>
    <col min="22" max="22" width="10.28515625" customWidth="1"/>
  </cols>
  <sheetData>
    <row r="2" spans="1:23">
      <c r="B2" s="242" t="s">
        <v>440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 spans="1:2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</row>
    <row r="4" spans="1:23" ht="38.25" customHeight="1">
      <c r="B4" s="5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1" t="s">
        <v>8</v>
      </c>
      <c r="J4" s="11" t="s">
        <v>9</v>
      </c>
      <c r="K4" s="10" t="s">
        <v>10</v>
      </c>
      <c r="L4" s="10" t="s">
        <v>11</v>
      </c>
      <c r="M4" s="10" t="s">
        <v>12</v>
      </c>
      <c r="N4" s="12" t="s">
        <v>13</v>
      </c>
      <c r="O4" s="10" t="s">
        <v>14</v>
      </c>
      <c r="P4" s="13" t="s">
        <v>15</v>
      </c>
      <c r="Q4" s="10" t="s">
        <v>16</v>
      </c>
      <c r="R4" s="10" t="s">
        <v>17</v>
      </c>
      <c r="S4" s="13" t="s">
        <v>18</v>
      </c>
      <c r="T4" s="14" t="s">
        <v>19</v>
      </c>
      <c r="U4" s="15" t="s">
        <v>20</v>
      </c>
      <c r="V4" s="16" t="s">
        <v>21</v>
      </c>
      <c r="W4" t="s">
        <v>22</v>
      </c>
    </row>
    <row r="5" spans="1:23">
      <c r="A5">
        <v>1</v>
      </c>
      <c r="B5">
        <v>8021</v>
      </c>
      <c r="C5" s="52" t="s">
        <v>441</v>
      </c>
      <c r="D5">
        <f>(aocyjvc26[[#This Row],[CANTIDAD INICIAL JUEGO ]]+aocyjvc26[[#This Row],[ENTRADAS JUEGOS ]]-aocyjvc26[[#This Row],[SALIDAS JUEGOS]])</f>
        <v>17</v>
      </c>
      <c r="E5">
        <f>(aocyjvc26[[#This Row],[CANTIDAD INICIAL BARRAS]]+aocyjvc26[[#This Row],[ENTRADAS BARRAS]]-aocyjvc26[[#This Row],[SALIDA BARRAS]])</f>
        <v>1</v>
      </c>
      <c r="F5" s="35">
        <v>60</v>
      </c>
      <c r="G5" s="18">
        <v>21</v>
      </c>
      <c r="H5" s="18">
        <v>2</v>
      </c>
      <c r="I5">
        <f>(aocyjvc26[[#This Row],["J" PRECIO VENTA ]]/aocyjvc26[[#This Row],[BARRAS]])</f>
        <v>30</v>
      </c>
      <c r="J5">
        <f>(aocyjvc26[[#This Row],["J"PRECIO COMPRA ]]/aocyjvc26[[#This Row],[BARRAS]])</f>
        <v>10.5</v>
      </c>
      <c r="K5">
        <f>SUMIF(entradas26[CODIGO],aocyjvc26[[#This Row],[CODIGO ]],entradas26[[CAN JUEGOS ]])</f>
        <v>30</v>
      </c>
      <c r="L5">
        <f>SUMIF(entradas26[CODIGO],aocyjvc26[[#This Row],[CODIGO ]],entradas26[CAN BARRAS])</f>
        <v>2</v>
      </c>
      <c r="M5">
        <f>SUMIF(salidas26[[CODIGO ]],aocyjvc26[[#This Row],[CODIGO ]],salidas26[[CANT JUEGOS ]])</f>
        <v>40</v>
      </c>
      <c r="N5">
        <f>SUMIF(salidas26[[CODIGO ]],aocyjvc26[[#This Row],[CODIGO ]],salidas26[CANT BARRAS])</f>
        <v>1</v>
      </c>
      <c r="O5">
        <f>(aocyjvc26[[#This Row],["J"PRECIO COMPRA ]]*aocyjvc26[[#This Row],[STOCK JUEGOS]])</f>
        <v>357</v>
      </c>
      <c r="P5">
        <f>(aocyjvc26[[#This Row],["J" PRECIO VENTA ]]*aocyjvc26[[#This Row],[STOCK JUEGOS]])</f>
        <v>1020</v>
      </c>
      <c r="Q5">
        <f>(aocyjvc26[[#This Row],["B"PRECIO COMPRA]]*aocyjvc26[[#This Row],[STOCK BARRAS]])</f>
        <v>10.5</v>
      </c>
      <c r="R5">
        <f>(aocyjvc26[[#This Row],["B"PRECIO VENTA ]]*aocyjvc26[[#This Row],[STOCK BARRAS]])</f>
        <v>30</v>
      </c>
      <c r="S5" s="28">
        <v>27</v>
      </c>
      <c r="T5" s="28"/>
      <c r="U5">
        <v>1.1000000000000001</v>
      </c>
      <c r="V5" t="s">
        <v>838</v>
      </c>
    </row>
    <row r="6" spans="1:23">
      <c r="A6">
        <v>3</v>
      </c>
      <c r="B6">
        <v>8060</v>
      </c>
      <c r="C6" s="57" t="s">
        <v>442</v>
      </c>
      <c r="D6">
        <f>(aocyjvc26[[#This Row],[CANTIDAD INICIAL JUEGO ]]+aocyjvc26[[#This Row],[ENTRADAS JUEGOS ]]-aocyjvc26[[#This Row],[SALIDAS JUEGOS]])</f>
        <v>2</v>
      </c>
      <c r="E6">
        <f>(aocyjvc26[[#This Row],[CANTIDAD INICIAL BARRAS]]+aocyjvc26[[#This Row],[ENTRADAS BARRAS]]-aocyjvc26[[#This Row],[SALIDA BARRAS]])</f>
        <v>0</v>
      </c>
      <c r="F6" s="35">
        <v>200</v>
      </c>
      <c r="G6" s="38">
        <v>100</v>
      </c>
      <c r="H6">
        <v>2</v>
      </c>
      <c r="I6">
        <f>(aocyjvc26[[#This Row],["J" PRECIO VENTA ]]/aocyjvc26[[#This Row],[BARRAS]])</f>
        <v>100</v>
      </c>
      <c r="J6">
        <f>(aocyjvc26[[#This Row],["J"PRECIO COMPRA ]]/aocyjvc26[[#This Row],[BARRAS]])</f>
        <v>50</v>
      </c>
      <c r="K6">
        <f>SUMIF(entradas26[CODIGO],aocyjvc26[[#This Row],[CODIGO ]],entradas26[[CAN JUEGOS ]])</f>
        <v>0</v>
      </c>
      <c r="L6">
        <f>SUMIF(entradas26[CODIGO],aocyjvc26[[#This Row],[CODIGO ]],entradas26[CAN BARRAS])</f>
        <v>0</v>
      </c>
      <c r="M6">
        <f>SUMIF(salidas26[[CODIGO ]],aocyjvc26[[#This Row],[CODIGO ]],salidas26[[CANT JUEGOS ]])</f>
        <v>0</v>
      </c>
      <c r="N6">
        <f>SUMIF(salidas26[[CODIGO ]],aocyjvc26[[#This Row],[CODIGO ]],salidas26[CANT BARRAS])</f>
        <v>0</v>
      </c>
      <c r="O6">
        <f>(aocyjvc26[[#This Row],["J"PRECIO COMPRA ]]*aocyjvc26[[#This Row],[STOCK JUEGOS]])</f>
        <v>200</v>
      </c>
      <c r="P6">
        <f>(aocyjvc26[[#This Row],["J" PRECIO VENTA ]]*aocyjvc26[[#This Row],[STOCK JUEGOS]])</f>
        <v>400</v>
      </c>
      <c r="Q6">
        <f>(aocyjvc26[[#This Row],["B"PRECIO COMPRA]]*aocyjvc26[[#This Row],[STOCK BARRAS]])</f>
        <v>0</v>
      </c>
      <c r="R6">
        <f>(aocyjvc26[[#This Row],["B"PRECIO VENTA ]]*aocyjvc26[[#This Row],[STOCK BARRAS]])</f>
        <v>0</v>
      </c>
      <c r="S6" s="28">
        <v>2</v>
      </c>
      <c r="T6" s="28"/>
    </row>
    <row r="7" spans="1:23">
      <c r="A7">
        <v>4</v>
      </c>
      <c r="B7">
        <v>8070</v>
      </c>
      <c r="C7" s="69" t="s">
        <v>443</v>
      </c>
      <c r="D7">
        <f>(aocyjvc26[[#This Row],[CANTIDAD INICIAL JUEGO ]]+aocyjvc26[[#This Row],[ENTRADAS JUEGOS ]]-aocyjvc26[[#This Row],[SALIDAS JUEGOS]])</f>
        <v>15</v>
      </c>
      <c r="E7">
        <f>(aocyjvc26[[#This Row],[CANTIDAD INICIAL BARRAS]]+aocyjvc26[[#This Row],[ENTRADAS BARRAS]]-aocyjvc26[[#This Row],[SALIDA BARRAS]])</f>
        <v>0</v>
      </c>
      <c r="F7" s="35">
        <v>250</v>
      </c>
      <c r="G7">
        <v>150</v>
      </c>
      <c r="H7">
        <v>4</v>
      </c>
      <c r="I7">
        <f>(aocyjvc26[[#This Row],["J" PRECIO VENTA ]]/aocyjvc26[[#This Row],[BARRAS]])</f>
        <v>62.5</v>
      </c>
      <c r="J7">
        <f>(aocyjvc26[[#This Row],["J"PRECIO COMPRA ]]/aocyjvc26[[#This Row],[BARRAS]])</f>
        <v>37.5</v>
      </c>
      <c r="K7">
        <f>SUMIF(entradas26[CODIGO],aocyjvc26[[#This Row],[CODIGO ]],entradas26[[CAN JUEGOS ]])</f>
        <v>0</v>
      </c>
      <c r="L7">
        <f>SUMIF(entradas26[CODIGO],aocyjvc26[[#This Row],[CODIGO ]],entradas26[CAN BARRAS])</f>
        <v>0</v>
      </c>
      <c r="M7">
        <f>SUMIF(salidas26[[CODIGO ]],aocyjvc26[[#This Row],[CODIGO ]],salidas26[[CANT JUEGOS ]])</f>
        <v>5</v>
      </c>
      <c r="N7">
        <f>SUMIF(salidas26[[CODIGO ]],aocyjvc26[[#This Row],[CODIGO ]],salidas26[CANT BARRAS])</f>
        <v>0</v>
      </c>
      <c r="O7">
        <f>(aocyjvc26[[#This Row],["J"PRECIO COMPRA ]]*aocyjvc26[[#This Row],[STOCK JUEGOS]])</f>
        <v>2250</v>
      </c>
      <c r="P7">
        <f>(aocyjvc26[[#This Row],["J" PRECIO VENTA ]]*aocyjvc26[[#This Row],[STOCK JUEGOS]])</f>
        <v>3750</v>
      </c>
      <c r="Q7">
        <f>(aocyjvc26[[#This Row],["B"PRECIO COMPRA]]*aocyjvc26[[#This Row],[STOCK BARRAS]])</f>
        <v>0</v>
      </c>
      <c r="R7">
        <f>(aocyjvc26[[#This Row],["B"PRECIO VENTA ]]*aocyjvc26[[#This Row],[STOCK BARRAS]])</f>
        <v>0</v>
      </c>
      <c r="S7" s="28">
        <v>20</v>
      </c>
      <c r="T7" s="28"/>
      <c r="U7">
        <v>7.5</v>
      </c>
      <c r="W7" t="s">
        <v>444</v>
      </c>
    </row>
    <row r="8" spans="1:23">
      <c r="A8">
        <v>6</v>
      </c>
      <c r="B8">
        <v>8099</v>
      </c>
      <c r="C8" s="58" t="s">
        <v>445</v>
      </c>
      <c r="D8">
        <f>(aocyjvc26[[#This Row],[CANTIDAD INICIAL JUEGO ]]+aocyjvc26[[#This Row],[ENTRADAS JUEGOS ]]-aocyjvc26[[#This Row],[SALIDAS JUEGOS]])</f>
        <v>4</v>
      </c>
      <c r="E8">
        <f>(aocyjvc26[[#This Row],[CANTIDAD INICIAL BARRAS]]+aocyjvc26[[#This Row],[ENTRADAS BARRAS]]-aocyjvc26[[#This Row],[SALIDA BARRAS]])</f>
        <v>0</v>
      </c>
      <c r="F8" s="35">
        <v>350</v>
      </c>
      <c r="G8">
        <v>76.3</v>
      </c>
      <c r="H8">
        <v>4</v>
      </c>
      <c r="I8">
        <f>(aocyjvc26[[#This Row],["J" PRECIO VENTA ]]/aocyjvc26[[#This Row],[BARRAS]])</f>
        <v>87.5</v>
      </c>
      <c r="J8">
        <f>(aocyjvc26[[#This Row],["J"PRECIO COMPRA ]]/aocyjvc26[[#This Row],[BARRAS]])</f>
        <v>19.074999999999999</v>
      </c>
      <c r="K8">
        <f>SUMIF(entradas26[CODIGO],aocyjvc26[[#This Row],[CODIGO ]],entradas26[[CAN JUEGOS ]])</f>
        <v>0</v>
      </c>
      <c r="L8">
        <f>SUMIF(entradas26[CODIGO],aocyjvc26[[#This Row],[CODIGO ]],entradas26[CAN BARRAS])</f>
        <v>0</v>
      </c>
      <c r="M8">
        <f>SUMIF(salidas26[[CODIGO ]],aocyjvc26[[#This Row],[CODIGO ]],salidas26[[CANT JUEGOS ]])</f>
        <v>2</v>
      </c>
      <c r="N8">
        <f>SUMIF(salidas26[[CODIGO ]],aocyjvc26[[#This Row],[CODIGO ]],salidas26[CANT BARRAS])</f>
        <v>0</v>
      </c>
      <c r="O8">
        <f>(aocyjvc26[[#This Row],["J"PRECIO COMPRA ]]*aocyjvc26[[#This Row],[STOCK JUEGOS]])</f>
        <v>305.2</v>
      </c>
      <c r="P8">
        <f>(aocyjvc26[[#This Row],["J" PRECIO VENTA ]]*aocyjvc26[[#This Row],[STOCK JUEGOS]])</f>
        <v>1400</v>
      </c>
      <c r="Q8">
        <f>(aocyjvc26[[#This Row],["B"PRECIO COMPRA]]*aocyjvc26[[#This Row],[STOCK BARRAS]])</f>
        <v>0</v>
      </c>
      <c r="R8">
        <f>(aocyjvc26[[#This Row],["B"PRECIO VENTA ]]*aocyjvc26[[#This Row],[STOCK BARRAS]])</f>
        <v>0</v>
      </c>
      <c r="S8" s="28">
        <v>6</v>
      </c>
      <c r="T8" s="28"/>
    </row>
    <row r="9" spans="1:23">
      <c r="A9">
        <v>7</v>
      </c>
      <c r="B9">
        <v>8100</v>
      </c>
      <c r="C9" s="69" t="s">
        <v>944</v>
      </c>
      <c r="D9">
        <f>(aocyjvc26[[#This Row],[CANTIDAD INICIAL JUEGO ]]+aocyjvc26[[#This Row],[ENTRADAS JUEGOS ]]-aocyjvc26[[#This Row],[SALIDAS JUEGOS]])</f>
        <v>3</v>
      </c>
      <c r="E9">
        <f>(aocyjvc26[[#This Row],[CANTIDAD INICIAL BARRAS]]+aocyjvc26[[#This Row],[ENTRADAS BARRAS]]-aocyjvc26[[#This Row],[SALIDA BARRAS]])</f>
        <v>0</v>
      </c>
      <c r="F9" s="35">
        <v>300</v>
      </c>
      <c r="G9">
        <v>80</v>
      </c>
      <c r="H9">
        <v>5</v>
      </c>
      <c r="I9">
        <f>(aocyjvc26[[#This Row],["J" PRECIO VENTA ]]/aocyjvc26[[#This Row],[BARRAS]])</f>
        <v>60</v>
      </c>
      <c r="J9">
        <f>(aocyjvc26[[#This Row],["J"PRECIO COMPRA ]]/aocyjvc26[[#This Row],[BARRAS]])</f>
        <v>16</v>
      </c>
      <c r="K9">
        <f>SUMIF(entradas26[CODIGO],aocyjvc26[[#This Row],[CODIGO ]],entradas26[[CAN JUEGOS ]])</f>
        <v>0</v>
      </c>
      <c r="L9">
        <f>SUMIF(entradas26[CODIGO],aocyjvc26[[#This Row],[CODIGO ]],entradas26[CAN BARRAS])</f>
        <v>0</v>
      </c>
      <c r="M9">
        <f>SUMIF(salidas26[[CODIGO ]],aocyjvc26[[#This Row],[CODIGO ]],salidas26[[CANT JUEGOS ]])</f>
        <v>17</v>
      </c>
      <c r="N9">
        <f>SUMIF(salidas26[[CODIGO ]],aocyjvc26[[#This Row],[CODIGO ]],salidas26[CANT BARRAS])</f>
        <v>0</v>
      </c>
      <c r="O9">
        <f>(aocyjvc26[[#This Row],["J"PRECIO COMPRA ]]*aocyjvc26[[#This Row],[STOCK JUEGOS]])</f>
        <v>240</v>
      </c>
      <c r="P9">
        <f>(aocyjvc26[[#This Row],["J" PRECIO VENTA ]]*aocyjvc26[[#This Row],[STOCK JUEGOS]])</f>
        <v>900</v>
      </c>
      <c r="Q9">
        <f>(aocyjvc26[[#This Row],["B"PRECIO COMPRA]]*aocyjvc26[[#This Row],[STOCK BARRAS]])</f>
        <v>0</v>
      </c>
      <c r="R9">
        <f>(aocyjvc26[[#This Row],["B"PRECIO VENTA ]]*aocyjvc26[[#This Row],[STOCK BARRAS]])</f>
        <v>0</v>
      </c>
      <c r="S9" s="28">
        <v>20</v>
      </c>
      <c r="T9" s="28"/>
      <c r="U9">
        <v>4</v>
      </c>
      <c r="W9" t="s">
        <v>446</v>
      </c>
    </row>
    <row r="10" spans="1:23">
      <c r="A10">
        <v>8</v>
      </c>
      <c r="B10">
        <v>8101</v>
      </c>
      <c r="C10" s="57" t="s">
        <v>447</v>
      </c>
      <c r="D10">
        <f>(aocyjvc26[[#This Row],[CANTIDAD INICIAL JUEGO ]]+aocyjvc26[[#This Row],[ENTRADAS JUEGOS ]]-aocyjvc26[[#This Row],[SALIDAS JUEGOS]])</f>
        <v>17</v>
      </c>
      <c r="E10">
        <f>(aocyjvc26[[#This Row],[CANTIDAD INICIAL BARRAS]]+aocyjvc26[[#This Row],[ENTRADAS BARRAS]]-aocyjvc26[[#This Row],[SALIDA BARRAS]])</f>
        <v>11</v>
      </c>
      <c r="F10" s="35">
        <v>400</v>
      </c>
      <c r="G10">
        <v>155</v>
      </c>
      <c r="H10">
        <v>12</v>
      </c>
      <c r="I10">
        <f>(aocyjvc26[[#This Row],["J" PRECIO VENTA ]]/aocyjvc26[[#This Row],[BARRAS]])</f>
        <v>33.333333333333336</v>
      </c>
      <c r="J10">
        <f>(aocyjvc26[[#This Row],["J"PRECIO COMPRA ]]/aocyjvc26[[#This Row],[BARRAS]])</f>
        <v>12.916666666666666</v>
      </c>
      <c r="K10">
        <f>SUMIF(entradas26[CODIGO],aocyjvc26[[#This Row],[CODIGO ]],entradas26[[CAN JUEGOS ]])</f>
        <v>0</v>
      </c>
      <c r="L10">
        <f>SUMIF(entradas26[CODIGO],aocyjvc26[[#This Row],[CODIGO ]],entradas26[CAN BARRAS])</f>
        <v>0</v>
      </c>
      <c r="M10">
        <f>SUMIF(salidas26[[CODIGO ]],aocyjvc26[[#This Row],[CODIGO ]],salidas26[[CANT JUEGOS ]])</f>
        <v>4</v>
      </c>
      <c r="N10">
        <f>SUMIF(salidas26[[CODIGO ]],aocyjvc26[[#This Row],[CODIGO ]],salidas26[CANT BARRAS])</f>
        <v>0</v>
      </c>
      <c r="O10">
        <f>(aocyjvc26[[#This Row],["J"PRECIO COMPRA ]]*aocyjvc26[[#This Row],[STOCK JUEGOS]])</f>
        <v>2635</v>
      </c>
      <c r="P10">
        <f>(aocyjvc26[[#This Row],["J" PRECIO VENTA ]]*aocyjvc26[[#This Row],[STOCK JUEGOS]])</f>
        <v>6800</v>
      </c>
      <c r="Q10">
        <f>(aocyjvc26[[#This Row],["B"PRECIO COMPRA]]*aocyjvc26[[#This Row],[STOCK BARRAS]])</f>
        <v>142.08333333333331</v>
      </c>
      <c r="R10">
        <f>(aocyjvc26[[#This Row],["B"PRECIO VENTA ]]*aocyjvc26[[#This Row],[STOCK BARRAS]])</f>
        <v>366.66666666666669</v>
      </c>
      <c r="S10">
        <v>21</v>
      </c>
      <c r="T10">
        <v>11</v>
      </c>
    </row>
    <row r="11" spans="1:23">
      <c r="A11">
        <v>9</v>
      </c>
      <c r="B11">
        <v>8104</v>
      </c>
      <c r="C11" s="53" t="s">
        <v>448</v>
      </c>
      <c r="D11">
        <f>(aocyjvc26[[#This Row],[CANTIDAD INICIAL JUEGO ]]+aocyjvc26[[#This Row],[ENTRADAS JUEGOS ]]-aocyjvc26[[#This Row],[SALIDAS JUEGOS]])</f>
        <v>9</v>
      </c>
      <c r="E11">
        <f>(aocyjvc26[[#This Row],[CANTIDAD INICIAL BARRAS]]+aocyjvc26[[#This Row],[ENTRADAS BARRAS]]-aocyjvc26[[#This Row],[SALIDA BARRAS]])</f>
        <v>0</v>
      </c>
      <c r="F11" s="35">
        <v>400</v>
      </c>
      <c r="G11" s="18">
        <v>125</v>
      </c>
      <c r="H11">
        <v>10</v>
      </c>
      <c r="I11">
        <f>(aocyjvc26[[#This Row],["J" PRECIO VENTA ]]/aocyjvc26[[#This Row],[BARRAS]])</f>
        <v>40</v>
      </c>
      <c r="J11">
        <f>(aocyjvc26[[#This Row],["J"PRECIO COMPRA ]]/aocyjvc26[[#This Row],[BARRAS]])</f>
        <v>12.5</v>
      </c>
      <c r="K11">
        <f>SUMIF(entradas26[CODIGO],aocyjvc26[[#This Row],[CODIGO ]],entradas26[[CAN JUEGOS ]])</f>
        <v>0</v>
      </c>
      <c r="L11">
        <f>SUMIF(entradas26[CODIGO],aocyjvc26[[#This Row],[CODIGO ]],entradas26[CAN BARRAS])</f>
        <v>0</v>
      </c>
      <c r="M11">
        <f>SUMIF(salidas26[[CODIGO ]],aocyjvc26[[#This Row],[CODIGO ]],salidas26[[CANT JUEGOS ]])</f>
        <v>5</v>
      </c>
      <c r="N11">
        <f>SUMIF(salidas26[[CODIGO ]],aocyjvc26[[#This Row],[CODIGO ]],salidas26[CANT BARRAS])</f>
        <v>0</v>
      </c>
      <c r="O11">
        <f>(aocyjvc26[[#This Row],["J"PRECIO COMPRA ]]*aocyjvc26[[#This Row],[STOCK JUEGOS]])</f>
        <v>1125</v>
      </c>
      <c r="P11">
        <f>(aocyjvc26[[#This Row],["J" PRECIO VENTA ]]*aocyjvc26[[#This Row],[STOCK JUEGOS]])</f>
        <v>3600</v>
      </c>
      <c r="Q11">
        <f>(aocyjvc26[[#This Row],["B"PRECIO COMPRA]]*aocyjvc26[[#This Row],[STOCK BARRAS]])</f>
        <v>0</v>
      </c>
      <c r="R11">
        <f>(aocyjvc26[[#This Row],["B"PRECIO VENTA ]]*aocyjvc26[[#This Row],[STOCK BARRAS]])</f>
        <v>0</v>
      </c>
      <c r="S11" s="28">
        <v>14</v>
      </c>
      <c r="T11" s="28"/>
    </row>
    <row r="12" spans="1:23">
      <c r="A12">
        <v>11</v>
      </c>
      <c r="B12" s="64">
        <v>9001</v>
      </c>
      <c r="C12" s="69" t="s">
        <v>945</v>
      </c>
      <c r="D12">
        <f>(aocyjvc26[[#This Row],[CANTIDAD INICIAL JUEGO ]]+aocyjvc26[[#This Row],[ENTRADAS JUEGOS ]]-aocyjvc26[[#This Row],[SALIDAS JUEGOS]])</f>
        <v>8</v>
      </c>
      <c r="E12">
        <f>(aocyjvc26[[#This Row],[CANTIDAD INICIAL BARRAS]]+aocyjvc26[[#This Row],[ENTRADAS BARRAS]]-aocyjvc26[[#This Row],[SALIDA BARRAS]])</f>
        <v>6</v>
      </c>
      <c r="F12" s="35">
        <v>450</v>
      </c>
      <c r="G12">
        <v>157</v>
      </c>
      <c r="H12">
        <v>12</v>
      </c>
      <c r="I12">
        <f>(aocyjvc26[[#This Row],["J" PRECIO VENTA ]]/aocyjvc26[[#This Row],[BARRAS]])</f>
        <v>37.5</v>
      </c>
      <c r="J12">
        <f>(aocyjvc26[[#This Row],["J"PRECIO COMPRA ]]/aocyjvc26[[#This Row],[BARRAS]])</f>
        <v>13.083333333333334</v>
      </c>
      <c r="K12">
        <f>SUMIF(entradas26[CODIGO],aocyjvc26[[#This Row],[CODIGO ]],entradas26[[CAN JUEGOS ]])</f>
        <v>0</v>
      </c>
      <c r="L12">
        <f>SUMIF(entradas26[CODIGO],aocyjvc26[[#This Row],[CODIGO ]],entradas26[CAN BARRAS])</f>
        <v>12</v>
      </c>
      <c r="M12">
        <f>SUMIF(salidas26[[CODIGO ]],aocyjvc26[[#This Row],[CODIGO ]],salidas26[[CANT JUEGOS ]])</f>
        <v>2</v>
      </c>
      <c r="N12">
        <f>SUMIF(salidas26[[CODIGO ]],aocyjvc26[[#This Row],[CODIGO ]],salidas26[CANT BARRAS])</f>
        <v>6</v>
      </c>
      <c r="O12">
        <f>(aocyjvc26[[#This Row],["J"PRECIO COMPRA ]]*aocyjvc26[[#This Row],[STOCK JUEGOS]])</f>
        <v>1256</v>
      </c>
      <c r="P12">
        <f>(aocyjvc26[[#This Row],["J" PRECIO VENTA ]]*aocyjvc26[[#This Row],[STOCK JUEGOS]])</f>
        <v>3600</v>
      </c>
      <c r="Q12">
        <f>(aocyjvc26[[#This Row],["B"PRECIO COMPRA]]*aocyjvc26[[#This Row],[STOCK BARRAS]])</f>
        <v>78.5</v>
      </c>
      <c r="R12">
        <f>(aocyjvc26[[#This Row],["B"PRECIO VENTA ]]*aocyjvc26[[#This Row],[STOCK BARRAS]])</f>
        <v>225</v>
      </c>
      <c r="S12" s="28">
        <v>10</v>
      </c>
      <c r="T12" s="28"/>
      <c r="U12">
        <v>7.85</v>
      </c>
      <c r="W12" t="s">
        <v>449</v>
      </c>
    </row>
    <row r="13" spans="1:23" s="18" customFormat="1">
      <c r="A13" s="18">
        <v>12</v>
      </c>
      <c r="B13" s="18">
        <v>9002</v>
      </c>
      <c r="C13" s="69" t="s">
        <v>450</v>
      </c>
      <c r="D13" s="18">
        <f>(aocyjvc26[[#This Row],[CANTIDAD INICIAL JUEGO ]]+aocyjvc26[[#This Row],[ENTRADAS JUEGOS ]]-aocyjvc26[[#This Row],[SALIDAS JUEGOS]])</f>
        <v>6</v>
      </c>
      <c r="E13" s="18">
        <f>(aocyjvc26[[#This Row],[CANTIDAD INICIAL BARRAS]]+aocyjvc26[[#This Row],[ENTRADAS BARRAS]]-aocyjvc26[[#This Row],[SALIDA BARRAS]])</f>
        <v>11</v>
      </c>
      <c r="F13" s="45">
        <v>450</v>
      </c>
      <c r="G13" s="18">
        <v>237</v>
      </c>
      <c r="H13" s="18">
        <v>14</v>
      </c>
      <c r="I13" s="18">
        <f>(aocyjvc26[[#This Row],["J" PRECIO VENTA ]]/aocyjvc26[[#This Row],[BARRAS]])</f>
        <v>32.142857142857146</v>
      </c>
      <c r="J13" s="18">
        <f>(aocyjvc26[[#This Row],["J"PRECIO COMPRA ]]/aocyjvc26[[#This Row],[BARRAS]])</f>
        <v>16.928571428571427</v>
      </c>
      <c r="K13" s="18">
        <f>SUMIF(entradas26[CODIGO],aocyjvc26[[#This Row],[CODIGO ]],entradas26[[CAN JUEGOS ]])</f>
        <v>10</v>
      </c>
      <c r="L13" s="18">
        <f>SUMIF(entradas26[CODIGO],aocyjvc26[[#This Row],[CODIGO ]],entradas26[CAN BARRAS])</f>
        <v>14</v>
      </c>
      <c r="M13" s="18">
        <f>SUMIF(salidas26[[CODIGO ]],aocyjvc26[[#This Row],[CODIGO ]],salidas26[[CANT JUEGOS ]])</f>
        <v>4</v>
      </c>
      <c r="N13" s="18">
        <f>SUMIF(salidas26[[CODIGO ]],aocyjvc26[[#This Row],[CODIGO ]],salidas26[CANT BARRAS])</f>
        <v>3</v>
      </c>
      <c r="O13" s="18">
        <f>(aocyjvc26[[#This Row],["J"PRECIO COMPRA ]]*aocyjvc26[[#This Row],[STOCK JUEGOS]])</f>
        <v>1422</v>
      </c>
      <c r="P13" s="18">
        <f>(aocyjvc26[[#This Row],["J" PRECIO VENTA ]]*aocyjvc26[[#This Row],[STOCK JUEGOS]])</f>
        <v>2700</v>
      </c>
      <c r="Q13" s="18">
        <f>(aocyjvc26[[#This Row],["B"PRECIO COMPRA]]*aocyjvc26[[#This Row],[STOCK BARRAS]])</f>
        <v>186.21428571428569</v>
      </c>
      <c r="R13" s="18">
        <f>(aocyjvc26[[#This Row],["B"PRECIO VENTA ]]*aocyjvc26[[#This Row],[STOCK BARRAS]])</f>
        <v>353.57142857142861</v>
      </c>
      <c r="U13" s="18">
        <v>11.5</v>
      </c>
      <c r="W13" s="18" t="s">
        <v>451</v>
      </c>
    </row>
  </sheetData>
  <mergeCells count="1">
    <mergeCell ref="B2:V3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051"/>
  <sheetViews>
    <sheetView topLeftCell="A1853" zoomScaleNormal="100" workbookViewId="0">
      <selection activeCell="B1864" sqref="B1864"/>
    </sheetView>
  </sheetViews>
  <sheetFormatPr baseColWidth="10" defaultColWidth="11.42578125" defaultRowHeight="15"/>
  <cols>
    <col min="1" max="1" width="10.28515625" customWidth="1"/>
    <col min="2" max="2" width="9.28515625" customWidth="1"/>
    <col min="3" max="3" width="30.5703125" customWidth="1"/>
    <col min="6" max="6" width="7.85546875" customWidth="1"/>
    <col min="7" max="7" width="8.28515625" customWidth="1"/>
    <col min="8" max="8" width="15.42578125" customWidth="1"/>
    <col min="9" max="10" width="12.42578125" customWidth="1"/>
    <col min="11" max="11" width="14.5703125" customWidth="1"/>
    <col min="12" max="12" width="7.85546875" customWidth="1"/>
    <col min="13" max="13" width="29.7109375" customWidth="1"/>
  </cols>
  <sheetData>
    <row r="2" spans="1:13" ht="15" customHeight="1">
      <c r="A2" s="247" t="s">
        <v>452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</row>
    <row r="3" spans="1:13" ht="15" customHeight="1">
      <c r="A3" s="247"/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</row>
    <row r="4" spans="1:13" ht="15" customHeight="1">
      <c r="A4" s="247"/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</row>
    <row r="5" spans="1:13" ht="15" customHeight="1">
      <c r="A5" s="247"/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</row>
    <row r="6" spans="1:13" ht="30">
      <c r="A6" s="17" t="s">
        <v>453</v>
      </c>
      <c r="B6" s="3" t="s">
        <v>1</v>
      </c>
      <c r="C6" s="2" t="s">
        <v>454</v>
      </c>
      <c r="D6" s="1" t="s">
        <v>455</v>
      </c>
      <c r="E6" s="1" t="s">
        <v>456</v>
      </c>
      <c r="F6" s="1" t="s">
        <v>457</v>
      </c>
      <c r="G6" s="3" t="s">
        <v>458</v>
      </c>
      <c r="H6" s="3" t="s">
        <v>459</v>
      </c>
      <c r="I6" s="4" t="s">
        <v>460</v>
      </c>
      <c r="J6" s="4" t="s">
        <v>461</v>
      </c>
      <c r="K6" s="4" t="s">
        <v>462</v>
      </c>
      <c r="L6" s="1" t="s">
        <v>463</v>
      </c>
      <c r="M6" s="1" t="s">
        <v>464</v>
      </c>
    </row>
    <row r="7" spans="1:13">
      <c r="A7">
        <v>3824</v>
      </c>
      <c r="B7">
        <v>1012</v>
      </c>
      <c r="C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7" s="32">
        <v>46024</v>
      </c>
      <c r="E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">
        <v>1</v>
      </c>
      <c r="I7">
        <f>(salidas26[[#This Row],[CANT JUEGOS ]]*salidas26[[#This Row],[PRECIO JUEGO]])</f>
        <v>90</v>
      </c>
      <c r="J7">
        <f>(salidas26[[#This Row],[CANT BARRAS]]*salidas26[[#This Row],[PRECIO BARRA]])</f>
        <v>0</v>
      </c>
      <c r="K7">
        <v>100</v>
      </c>
      <c r="L7" t="s">
        <v>465</v>
      </c>
      <c r="M7" t="s">
        <v>466</v>
      </c>
    </row>
    <row r="8" spans="1:13">
      <c r="A8">
        <v>3825</v>
      </c>
      <c r="B8">
        <v>1117</v>
      </c>
      <c r="C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8" s="32">
        <v>46024</v>
      </c>
      <c r="E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8">
        <v>1</v>
      </c>
      <c r="I8">
        <f>(salidas26[[#This Row],[CANT JUEGOS ]]*salidas26[[#This Row],[PRECIO JUEGO]])</f>
        <v>350</v>
      </c>
      <c r="J8">
        <f>(salidas26[[#This Row],[CANT BARRAS]]*salidas26[[#This Row],[PRECIO BARRA]])</f>
        <v>0</v>
      </c>
      <c r="K8">
        <v>350</v>
      </c>
      <c r="L8" t="s">
        <v>465</v>
      </c>
      <c r="M8" t="s">
        <v>466</v>
      </c>
    </row>
    <row r="9" spans="1:13">
      <c r="A9">
        <v>3826</v>
      </c>
      <c r="B9">
        <v>8021</v>
      </c>
      <c r="C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9" s="32">
        <v>46024</v>
      </c>
      <c r="E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">
        <v>1</v>
      </c>
      <c r="I9">
        <f>(salidas26[[#This Row],[CANT JUEGOS ]]*salidas26[[#This Row],[PRECIO JUEGO]])</f>
        <v>60</v>
      </c>
      <c r="J9">
        <f>(salidas26[[#This Row],[CANT BARRAS]]*salidas26[[#This Row],[PRECIO BARRA]])</f>
        <v>0</v>
      </c>
      <c r="K9">
        <v>60</v>
      </c>
      <c r="L9" t="s">
        <v>465</v>
      </c>
      <c r="M9" t="s">
        <v>467</v>
      </c>
    </row>
    <row r="10" spans="1:13">
      <c r="A10">
        <v>3827</v>
      </c>
      <c r="B10">
        <v>2078</v>
      </c>
      <c r="C1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10" s="32">
        <v>46025</v>
      </c>
      <c r="E1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0">
        <v>1</v>
      </c>
      <c r="I10">
        <f>(salidas26[[#This Row],[CANT JUEGOS ]]*salidas26[[#This Row],[PRECIO JUEGO]])</f>
        <v>250</v>
      </c>
      <c r="J10">
        <f>(salidas26[[#This Row],[CANT BARRAS]]*salidas26[[#This Row],[PRECIO BARRA]])</f>
        <v>0</v>
      </c>
      <c r="K10">
        <v>280</v>
      </c>
      <c r="L10" t="s">
        <v>465</v>
      </c>
      <c r="M10" t="s">
        <v>468</v>
      </c>
    </row>
    <row r="11" spans="1:13">
      <c r="A11">
        <v>3828</v>
      </c>
      <c r="B11">
        <v>2095</v>
      </c>
      <c r="C1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11" s="32">
        <v>46025</v>
      </c>
      <c r="E1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1">
        <v>1</v>
      </c>
      <c r="I11">
        <f>(salidas26[[#This Row],[CANT JUEGOS ]]*salidas26[[#This Row],[PRECIO JUEGO]])</f>
        <v>250</v>
      </c>
      <c r="J11">
        <f>(salidas26[[#This Row],[CANT BARRAS]]*salidas26[[#This Row],[PRECIO BARRA]])</f>
        <v>0</v>
      </c>
      <c r="K11">
        <v>320</v>
      </c>
      <c r="L11" t="s">
        <v>465</v>
      </c>
      <c r="M11" t="s">
        <v>469</v>
      </c>
    </row>
    <row r="12" spans="1:13">
      <c r="A12">
        <v>3830</v>
      </c>
      <c r="B12">
        <v>8056</v>
      </c>
      <c r="C1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2" s="32">
        <v>46025</v>
      </c>
      <c r="E1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">
        <v>1</v>
      </c>
      <c r="I12">
        <f>(salidas26[[#This Row],[CANT JUEGOS ]]*salidas26[[#This Row],[PRECIO JUEGO]])</f>
        <v>180</v>
      </c>
      <c r="J12">
        <f>(salidas26[[#This Row],[CANT BARRAS]]*salidas26[[#This Row],[PRECIO BARRA]])</f>
        <v>0</v>
      </c>
      <c r="K12">
        <v>170</v>
      </c>
      <c r="L12" t="s">
        <v>465</v>
      </c>
      <c r="M12" t="s">
        <v>470</v>
      </c>
    </row>
    <row r="13" spans="1:13">
      <c r="A13">
        <v>3832</v>
      </c>
      <c r="B13">
        <v>7004</v>
      </c>
      <c r="C13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3" s="32">
        <v>46025</v>
      </c>
      <c r="E13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">
        <v>1</v>
      </c>
      <c r="I13">
        <f>(salidas26[[#This Row],[CANT JUEGOS ]]*salidas26[[#This Row],[PRECIO JUEGO]])</f>
        <v>150</v>
      </c>
      <c r="J13">
        <f>(salidas26[[#This Row],[CANT BARRAS]]*salidas26[[#This Row],[PRECIO BARRA]])</f>
        <v>0</v>
      </c>
      <c r="K13">
        <v>140</v>
      </c>
      <c r="L13" t="s">
        <v>465</v>
      </c>
      <c r="M13" t="s">
        <v>471</v>
      </c>
    </row>
    <row r="14" spans="1:13">
      <c r="A14">
        <v>3833</v>
      </c>
      <c r="B14">
        <v>1027</v>
      </c>
      <c r="C1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32LM3400-4B/3V/9L</v>
      </c>
      <c r="D14" s="32">
        <v>46025</v>
      </c>
      <c r="E1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120</v>
      </c>
      <c r="F1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">
        <v>1</v>
      </c>
      <c r="I14">
        <f>(salidas26[[#This Row],[CANT JUEGOS ]]*salidas26[[#This Row],[PRECIO JUEGO]])</f>
        <v>120</v>
      </c>
      <c r="J14">
        <f>(salidas26[[#This Row],[CANT BARRAS]]*salidas26[[#This Row],[PRECIO BARRA]])</f>
        <v>0</v>
      </c>
      <c r="K14">
        <v>130</v>
      </c>
      <c r="L14" t="s">
        <v>465</v>
      </c>
      <c r="M14" t="s">
        <v>472</v>
      </c>
    </row>
    <row r="15" spans="1:13">
      <c r="A15">
        <v>3834</v>
      </c>
      <c r="B15">
        <v>7000</v>
      </c>
      <c r="C15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5" s="32">
        <v>46025</v>
      </c>
      <c r="E15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">
        <v>1</v>
      </c>
      <c r="I15">
        <f>(salidas26[[#This Row],[CANT JUEGOS ]]*salidas26[[#This Row],[PRECIO JUEGO]])</f>
        <v>60</v>
      </c>
      <c r="J15">
        <f>(salidas26[[#This Row],[CANT BARRAS]]*salidas26[[#This Row],[PRECIO BARRA]])</f>
        <v>0</v>
      </c>
      <c r="K15">
        <v>50</v>
      </c>
      <c r="L15" t="s">
        <v>465</v>
      </c>
      <c r="M15" t="s">
        <v>473</v>
      </c>
    </row>
    <row r="16" spans="1:13">
      <c r="A16">
        <v>3835</v>
      </c>
      <c r="B16">
        <v>2090</v>
      </c>
      <c r="C1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16" s="32">
        <v>46025</v>
      </c>
      <c r="E1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16">
        <v>1</v>
      </c>
      <c r="I16">
        <f>(salidas26[[#This Row],[CANT JUEGOS ]]*salidas26[[#This Row],[PRECIO JUEGO]])</f>
        <v>350</v>
      </c>
      <c r="J16">
        <f>(salidas26[[#This Row],[CANT BARRAS]]*salidas26[[#This Row],[PRECIO BARRA]])</f>
        <v>0</v>
      </c>
      <c r="K16">
        <v>350</v>
      </c>
      <c r="L16" t="s">
        <v>465</v>
      </c>
      <c r="M16" t="s">
        <v>473</v>
      </c>
    </row>
    <row r="17" spans="1:13">
      <c r="A17">
        <v>3836</v>
      </c>
      <c r="B17">
        <v>6022</v>
      </c>
      <c r="C1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7" s="32">
        <v>46025</v>
      </c>
      <c r="E1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7">
        <v>1</v>
      </c>
      <c r="I17">
        <f>(salidas26[[#This Row],[CANT JUEGOS ]]*salidas26[[#This Row],[PRECIO JUEGO]])</f>
        <v>350</v>
      </c>
      <c r="J17">
        <f>(salidas26[[#This Row],[CANT BARRAS]]*salidas26[[#This Row],[PRECIO BARRA]])</f>
        <v>0</v>
      </c>
      <c r="K17">
        <v>340</v>
      </c>
      <c r="L17" t="s">
        <v>465</v>
      </c>
      <c r="M17" t="s">
        <v>474</v>
      </c>
    </row>
    <row r="18" spans="1:13">
      <c r="A18">
        <v>3837</v>
      </c>
      <c r="B18">
        <v>8015</v>
      </c>
      <c r="C1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8" s="32">
        <v>46025</v>
      </c>
      <c r="E1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">
        <v>2</v>
      </c>
      <c r="I18">
        <f>(salidas26[[#This Row],[CANT JUEGOS ]]*salidas26[[#This Row],[PRECIO JUEGO]])</f>
        <v>120</v>
      </c>
      <c r="J18">
        <f>(salidas26[[#This Row],[CANT BARRAS]]*salidas26[[#This Row],[PRECIO BARRA]])</f>
        <v>0</v>
      </c>
      <c r="K18">
        <v>140</v>
      </c>
      <c r="L18" t="s">
        <v>465</v>
      </c>
      <c r="M18" t="s">
        <v>474</v>
      </c>
    </row>
    <row r="19" spans="1:13">
      <c r="A19">
        <v>3838</v>
      </c>
      <c r="B19">
        <v>1069</v>
      </c>
      <c r="C1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9" s="32">
        <v>46025</v>
      </c>
      <c r="E1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I19">
        <f>(salidas26[[#This Row],[CANT JUEGOS ]]*salidas26[[#This Row],[PRECIO JUEGO]])</f>
        <v>0</v>
      </c>
      <c r="J19">
        <f>(salidas26[[#This Row],[CANT BARRAS]]*salidas26[[#This Row],[PRECIO BARRA]])</f>
        <v>0</v>
      </c>
      <c r="K19">
        <v>230</v>
      </c>
      <c r="L19" t="s">
        <v>465</v>
      </c>
      <c r="M19" t="s">
        <v>475</v>
      </c>
    </row>
    <row r="20" spans="1:13">
      <c r="A20">
        <v>3839</v>
      </c>
      <c r="B20">
        <v>8015</v>
      </c>
      <c r="C2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20" s="32">
        <v>46025</v>
      </c>
      <c r="E2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0">
        <v>1</v>
      </c>
      <c r="I20">
        <f>(salidas26[[#This Row],[CANT JUEGOS ]]*salidas26[[#This Row],[PRECIO JUEGO]])</f>
        <v>60</v>
      </c>
      <c r="J20">
        <f>(salidas26[[#This Row],[CANT BARRAS]]*salidas26[[#This Row],[PRECIO BARRA]])</f>
        <v>0</v>
      </c>
      <c r="K20">
        <v>60</v>
      </c>
      <c r="L20" t="s">
        <v>465</v>
      </c>
      <c r="M20" t="s">
        <v>476</v>
      </c>
    </row>
    <row r="21" spans="1:13">
      <c r="A21">
        <v>3841</v>
      </c>
      <c r="B21">
        <v>2003</v>
      </c>
      <c r="C2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21" s="32">
        <v>46025</v>
      </c>
      <c r="E2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2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21">
        <v>2</v>
      </c>
      <c r="I21">
        <f>(salidas26[[#This Row],[CANT JUEGOS ]]*salidas26[[#This Row],[PRECIO JUEGO]])</f>
        <v>0</v>
      </c>
      <c r="J21">
        <f>(salidas26[[#This Row],[CANT BARRAS]]*salidas26[[#This Row],[PRECIO BARRA]])</f>
        <v>52</v>
      </c>
      <c r="K21">
        <v>72</v>
      </c>
      <c r="L21" t="s">
        <v>465</v>
      </c>
      <c r="M21" t="s">
        <v>466</v>
      </c>
    </row>
    <row r="22" spans="1:13">
      <c r="A22">
        <v>3840</v>
      </c>
      <c r="B22">
        <v>1012</v>
      </c>
      <c r="C2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22" s="32">
        <v>46025</v>
      </c>
      <c r="E2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2">
        <v>1</v>
      </c>
      <c r="I22">
        <f>(salidas26[[#This Row],[CANT JUEGOS ]]*salidas26[[#This Row],[PRECIO JUEGO]])</f>
        <v>90</v>
      </c>
      <c r="J22">
        <f>(salidas26[[#This Row],[CANT BARRAS]]*salidas26[[#This Row],[PRECIO BARRA]])</f>
        <v>0</v>
      </c>
      <c r="K22">
        <v>100</v>
      </c>
      <c r="L22" t="s">
        <v>465</v>
      </c>
      <c r="M22" t="s">
        <v>466</v>
      </c>
    </row>
    <row r="23" spans="1:13">
      <c r="A23">
        <v>3842</v>
      </c>
      <c r="B23">
        <v>1015</v>
      </c>
      <c r="C23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23" s="32">
        <v>46025</v>
      </c>
      <c r="E23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23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23">
        <v>1</v>
      </c>
      <c r="I23">
        <f>(salidas26[[#This Row],[CANT JUEGOS ]]*salidas26[[#This Row],[PRECIO JUEGO]])</f>
        <v>80</v>
      </c>
      <c r="J23">
        <f>(salidas26[[#This Row],[CANT BARRAS]]*salidas26[[#This Row],[PRECIO BARRA]])</f>
        <v>0</v>
      </c>
      <c r="K23">
        <v>100</v>
      </c>
      <c r="L23" t="s">
        <v>465</v>
      </c>
      <c r="M23" t="s">
        <v>477</v>
      </c>
    </row>
    <row r="24" spans="1:13">
      <c r="A24">
        <v>3843</v>
      </c>
      <c r="B24">
        <v>8030</v>
      </c>
      <c r="C2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TCL 10L/6V/2B DIF 180º</v>
      </c>
      <c r="D24" s="32">
        <v>46025</v>
      </c>
      <c r="E2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2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4">
        <v>4</v>
      </c>
      <c r="I24">
        <f>(salidas26[[#This Row],[CANT JUEGOS ]]*salidas26[[#This Row],[PRECIO JUEGO]])</f>
        <v>600</v>
      </c>
      <c r="J24">
        <f>(salidas26[[#This Row],[CANT BARRAS]]*salidas26[[#This Row],[PRECIO BARRA]])</f>
        <v>0</v>
      </c>
      <c r="L24" t="s">
        <v>478</v>
      </c>
      <c r="M24" t="s">
        <v>479</v>
      </c>
    </row>
    <row r="25" spans="1:13">
      <c r="A25">
        <v>3844</v>
      </c>
      <c r="B25">
        <v>8015</v>
      </c>
      <c r="C25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25" s="32">
        <v>46025</v>
      </c>
      <c r="E25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5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5">
        <v>2</v>
      </c>
      <c r="I25">
        <f>(salidas26[[#This Row],[CANT JUEGOS ]]*salidas26[[#This Row],[PRECIO JUEGO]])</f>
        <v>120</v>
      </c>
      <c r="J25">
        <f>(salidas26[[#This Row],[CANT BARRAS]]*salidas26[[#This Row],[PRECIO BARRA]])</f>
        <v>0</v>
      </c>
      <c r="K25">
        <v>100</v>
      </c>
      <c r="L25" t="s">
        <v>465</v>
      </c>
      <c r="M25" t="s">
        <v>474</v>
      </c>
    </row>
    <row r="26" spans="1:13">
      <c r="A26">
        <v>3845</v>
      </c>
      <c r="B26">
        <v>6000</v>
      </c>
      <c r="C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26" s="32">
        <v>46025</v>
      </c>
      <c r="E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6">
        <v>1</v>
      </c>
      <c r="I26">
        <f>(salidas26[[#This Row],[CANT JUEGOS ]]*salidas26[[#This Row],[PRECIO JUEGO]])</f>
        <v>60</v>
      </c>
      <c r="J26">
        <f>(salidas26[[#This Row],[CANT BARRAS]]*salidas26[[#This Row],[PRECIO BARRA]])</f>
        <v>0</v>
      </c>
      <c r="K26">
        <v>60</v>
      </c>
      <c r="L26" t="s">
        <v>465</v>
      </c>
      <c r="M26" t="s">
        <v>474</v>
      </c>
    </row>
    <row r="27" spans="1:13">
      <c r="A27">
        <v>3846</v>
      </c>
      <c r="B27">
        <v>1105</v>
      </c>
      <c r="C2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50LB6500/10B</v>
      </c>
      <c r="D27" s="32">
        <v>46025</v>
      </c>
      <c r="E2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2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7">
        <v>1</v>
      </c>
      <c r="I27">
        <f>(salidas26[[#This Row],[CANT JUEGOS ]]*salidas26[[#This Row],[PRECIO JUEGO]])</f>
        <v>300</v>
      </c>
      <c r="J27">
        <f>(salidas26[[#This Row],[CANT BARRAS]]*salidas26[[#This Row],[PRECIO BARRA]])</f>
        <v>0</v>
      </c>
      <c r="K27">
        <v>280</v>
      </c>
      <c r="L27" t="s">
        <v>465</v>
      </c>
      <c r="M27" t="s">
        <v>474</v>
      </c>
    </row>
    <row r="28" spans="1:13">
      <c r="A28">
        <v>3849</v>
      </c>
      <c r="B28">
        <v>6009</v>
      </c>
      <c r="C2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28" s="32">
        <v>46027</v>
      </c>
      <c r="E2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28">
        <v>6</v>
      </c>
      <c r="I28">
        <f>(salidas26[[#This Row],[CANT JUEGOS ]]*salidas26[[#This Row],[PRECIO JUEGO]])</f>
        <v>0</v>
      </c>
      <c r="J28">
        <f>(salidas26[[#This Row],[CANT BARRAS]]*salidas26[[#This Row],[PRECIO BARRA]])</f>
        <v>135</v>
      </c>
      <c r="K28">
        <v>160</v>
      </c>
      <c r="L28" t="s">
        <v>465</v>
      </c>
      <c r="M28" t="s">
        <v>480</v>
      </c>
    </row>
    <row r="29" spans="1:13">
      <c r="A29">
        <v>3850</v>
      </c>
      <c r="B29">
        <v>5001</v>
      </c>
      <c r="C2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KDL-32R405 SONY/4B</v>
      </c>
      <c r="D29" s="32">
        <v>46027</v>
      </c>
      <c r="E2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2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29">
        <v>1</v>
      </c>
      <c r="I29">
        <f>(salidas26[[#This Row],[CANT JUEGOS ]]*salidas26[[#This Row],[PRECIO JUEGO]])</f>
        <v>100</v>
      </c>
      <c r="J29">
        <f>(salidas26[[#This Row],[CANT BARRAS]]*salidas26[[#This Row],[PRECIO BARRA]])</f>
        <v>0</v>
      </c>
      <c r="K29">
        <v>100</v>
      </c>
      <c r="L29" t="s">
        <v>465</v>
      </c>
      <c r="M29" t="s">
        <v>480</v>
      </c>
    </row>
    <row r="30" spans="1:13">
      <c r="A30">
        <v>3851</v>
      </c>
      <c r="B30">
        <v>4000</v>
      </c>
      <c r="C3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30" s="32">
        <v>46027</v>
      </c>
      <c r="E3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0">
        <v>1</v>
      </c>
      <c r="I30">
        <f>(salidas26[[#This Row],[CANT JUEGOS ]]*salidas26[[#This Row],[PRECIO JUEGO]])</f>
        <v>60</v>
      </c>
      <c r="J30">
        <f>(salidas26[[#This Row],[CANT BARRAS]]*salidas26[[#This Row],[PRECIO BARRA]])</f>
        <v>0</v>
      </c>
      <c r="K30">
        <v>60</v>
      </c>
      <c r="L30" t="s">
        <v>465</v>
      </c>
      <c r="M30" t="s">
        <v>481</v>
      </c>
    </row>
    <row r="31" spans="1:13">
      <c r="A31">
        <v>3852</v>
      </c>
      <c r="B31">
        <v>8015</v>
      </c>
      <c r="C3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31" s="32">
        <v>46027</v>
      </c>
      <c r="E3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1">
        <v>1</v>
      </c>
      <c r="I31">
        <f>(salidas26[[#This Row],[CANT JUEGOS ]]*salidas26[[#This Row],[PRECIO JUEGO]])</f>
        <v>60</v>
      </c>
      <c r="J31">
        <f>(salidas26[[#This Row],[CANT BARRAS]]*salidas26[[#This Row],[PRECIO BARRA]])</f>
        <v>0</v>
      </c>
      <c r="K31">
        <v>60</v>
      </c>
      <c r="L31" t="s">
        <v>465</v>
      </c>
      <c r="M31" t="s">
        <v>482</v>
      </c>
    </row>
    <row r="32" spans="1:13">
      <c r="A32">
        <v>3853</v>
      </c>
      <c r="B32">
        <v>1069</v>
      </c>
      <c r="C3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32" s="32">
        <v>46027</v>
      </c>
      <c r="E3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3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32">
        <v>1</v>
      </c>
      <c r="I32">
        <f>(salidas26[[#This Row],[CANT JUEGOS ]]*salidas26[[#This Row],[PRECIO JUEGO]])</f>
        <v>250</v>
      </c>
      <c r="J32">
        <f>(salidas26[[#This Row],[CANT BARRAS]]*salidas26[[#This Row],[PRECIO BARRA]])</f>
        <v>0</v>
      </c>
      <c r="K32">
        <v>200</v>
      </c>
      <c r="L32" t="s">
        <v>465</v>
      </c>
      <c r="M32" t="s">
        <v>471</v>
      </c>
    </row>
    <row r="33" spans="1:13">
      <c r="A33">
        <v>3854</v>
      </c>
      <c r="B33">
        <v>7002</v>
      </c>
      <c r="C33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33" s="32">
        <v>46027</v>
      </c>
      <c r="E33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33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33">
        <v>1</v>
      </c>
      <c r="I33">
        <f>(salidas26[[#This Row],[CANT JUEGOS ]]*salidas26[[#This Row],[PRECIO JUEGO]])</f>
        <v>70</v>
      </c>
      <c r="J33">
        <f>(salidas26[[#This Row],[CANT BARRAS]]*salidas26[[#This Row],[PRECIO BARRA]])</f>
        <v>0</v>
      </c>
      <c r="K33">
        <v>60</v>
      </c>
      <c r="L33" t="s">
        <v>465</v>
      </c>
      <c r="M33" t="s">
        <v>483</v>
      </c>
    </row>
    <row r="34" spans="1:13">
      <c r="A34">
        <v>3855</v>
      </c>
      <c r="B34">
        <v>1033</v>
      </c>
      <c r="C3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34" s="32">
        <v>46027</v>
      </c>
      <c r="E3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34">
        <v>1</v>
      </c>
      <c r="I34">
        <f>(salidas26[[#This Row],[CANT JUEGOS ]]*salidas26[[#This Row],[PRECIO JUEGO]])</f>
        <v>180</v>
      </c>
      <c r="J34">
        <f>(salidas26[[#This Row],[CANT BARRAS]]*salidas26[[#This Row],[PRECIO BARRA]])</f>
        <v>0</v>
      </c>
      <c r="K34">
        <v>200</v>
      </c>
      <c r="L34" t="s">
        <v>465</v>
      </c>
      <c r="M34" t="s">
        <v>484</v>
      </c>
    </row>
    <row r="35" spans="1:13">
      <c r="A35">
        <v>3856</v>
      </c>
      <c r="B35">
        <v>7004</v>
      </c>
      <c r="C35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35" s="32">
        <v>46027</v>
      </c>
      <c r="E35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35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35">
        <v>1</v>
      </c>
      <c r="I35">
        <f>(salidas26[[#This Row],[CANT JUEGOS ]]*salidas26[[#This Row],[PRECIO JUEGO]])</f>
        <v>150</v>
      </c>
      <c r="J35">
        <f>(salidas26[[#This Row],[CANT BARRAS]]*salidas26[[#This Row],[PRECIO BARRA]])</f>
        <v>0</v>
      </c>
      <c r="K35">
        <v>150</v>
      </c>
      <c r="L35" t="s">
        <v>465</v>
      </c>
      <c r="M35" t="s">
        <v>477</v>
      </c>
    </row>
    <row r="36" spans="1:13">
      <c r="A36">
        <v>3857</v>
      </c>
      <c r="B36">
        <v>1141</v>
      </c>
      <c r="C3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60LB6500/12B/6V</v>
      </c>
      <c r="D36" s="32">
        <v>46027</v>
      </c>
      <c r="E3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3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36">
        <v>1</v>
      </c>
      <c r="I36">
        <f>(salidas26[[#This Row],[CANT JUEGOS ]]*salidas26[[#This Row],[PRECIO JUEGO]])</f>
        <v>450</v>
      </c>
      <c r="J36">
        <f>(salidas26[[#This Row],[CANT BARRAS]]*salidas26[[#This Row],[PRECIO BARRA]])</f>
        <v>0</v>
      </c>
      <c r="K36">
        <v>513</v>
      </c>
      <c r="L36" t="s">
        <v>465</v>
      </c>
      <c r="M36" t="s">
        <v>485</v>
      </c>
    </row>
    <row r="37" spans="1:13">
      <c r="A37">
        <v>3858</v>
      </c>
      <c r="B37">
        <v>2063</v>
      </c>
      <c r="C3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37" s="32">
        <v>46027</v>
      </c>
      <c r="E3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37">
        <v>1</v>
      </c>
      <c r="I37">
        <f>(salidas26[[#This Row],[CANT JUEGOS ]]*salidas26[[#This Row],[PRECIO JUEGO]])</f>
        <v>180</v>
      </c>
      <c r="J37">
        <f>(salidas26[[#This Row],[CANT BARRAS]]*salidas26[[#This Row],[PRECIO BARRA]])</f>
        <v>0</v>
      </c>
      <c r="K37">
        <v>180</v>
      </c>
      <c r="L37" t="s">
        <v>465</v>
      </c>
      <c r="M37" t="s">
        <v>485</v>
      </c>
    </row>
    <row r="38" spans="1:13">
      <c r="A38">
        <v>3859</v>
      </c>
      <c r="B38">
        <v>8124</v>
      </c>
      <c r="C3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38" s="32">
        <v>46027</v>
      </c>
      <c r="E3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8">
        <v>12</v>
      </c>
      <c r="I38">
        <f>(salidas26[[#This Row],[CANT JUEGOS ]]*salidas26[[#This Row],[PRECIO JUEGO]])</f>
        <v>0</v>
      </c>
      <c r="J38">
        <f>(salidas26[[#This Row],[CANT BARRAS]]*salidas26[[#This Row],[PRECIO BARRA]])</f>
        <v>42</v>
      </c>
      <c r="K38">
        <v>40</v>
      </c>
      <c r="L38" t="s">
        <v>465</v>
      </c>
      <c r="M38" t="s">
        <v>470</v>
      </c>
    </row>
    <row r="39" spans="1:13">
      <c r="A39">
        <v>3860</v>
      </c>
      <c r="B39">
        <v>8101</v>
      </c>
      <c r="C3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LT-65 KB608 JVC /12B</v>
      </c>
      <c r="D39" s="32">
        <v>46027</v>
      </c>
      <c r="E3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3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39">
        <v>1</v>
      </c>
      <c r="I39">
        <f>(salidas26[[#This Row],[CANT JUEGOS ]]*salidas26[[#This Row],[PRECIO JUEGO]])</f>
        <v>400</v>
      </c>
      <c r="J39">
        <f>(salidas26[[#This Row],[CANT BARRAS]]*salidas26[[#This Row],[PRECIO BARRA]])</f>
        <v>0</v>
      </c>
      <c r="K39">
        <v>400</v>
      </c>
      <c r="L39" t="s">
        <v>465</v>
      </c>
      <c r="M39" t="s">
        <v>467</v>
      </c>
    </row>
    <row r="40" spans="1:13">
      <c r="A40">
        <v>3861</v>
      </c>
      <c r="B40">
        <v>4011</v>
      </c>
      <c r="C4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40" s="32">
        <v>46027</v>
      </c>
      <c r="E4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4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40">
        <v>1</v>
      </c>
      <c r="I40">
        <f>(salidas26[[#This Row],[CANT JUEGOS ]]*salidas26[[#This Row],[PRECIO JUEGO]])</f>
        <v>160</v>
      </c>
      <c r="J40">
        <f>(salidas26[[#This Row],[CANT BARRAS]]*salidas26[[#This Row],[PRECIO BARRA]])</f>
        <v>0</v>
      </c>
      <c r="K40">
        <v>150</v>
      </c>
      <c r="L40" t="s">
        <v>465</v>
      </c>
      <c r="M40" t="s">
        <v>486</v>
      </c>
    </row>
    <row r="41" spans="1:13">
      <c r="A41">
        <v>3862</v>
      </c>
      <c r="B41">
        <v>3000</v>
      </c>
      <c r="C4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41" s="32">
        <v>46027</v>
      </c>
      <c r="E4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4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1">
        <v>1</v>
      </c>
      <c r="I41">
        <f>(salidas26[[#This Row],[CANT JUEGOS ]]*salidas26[[#This Row],[PRECIO JUEGO]])</f>
        <v>90</v>
      </c>
      <c r="J41">
        <f>(salidas26[[#This Row],[CANT BARRAS]]*salidas26[[#This Row],[PRECIO BARRA]])</f>
        <v>0</v>
      </c>
      <c r="K41">
        <v>100</v>
      </c>
      <c r="L41" t="s">
        <v>465</v>
      </c>
      <c r="M41" t="s">
        <v>487</v>
      </c>
    </row>
    <row r="42" spans="1:13">
      <c r="A42">
        <v>3863</v>
      </c>
      <c r="B42">
        <v>8000</v>
      </c>
      <c r="C4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42" s="32">
        <v>46027</v>
      </c>
      <c r="E4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42">
        <v>1</v>
      </c>
      <c r="I42">
        <f>(salidas26[[#This Row],[CANT JUEGOS ]]*salidas26[[#This Row],[PRECIO JUEGO]])</f>
        <v>0</v>
      </c>
      <c r="J42">
        <f>(salidas26[[#This Row],[CANT BARRAS]]*salidas26[[#This Row],[PRECIO BARRA]])</f>
        <v>30</v>
      </c>
      <c r="K42">
        <v>50</v>
      </c>
      <c r="L42" t="s">
        <v>465</v>
      </c>
      <c r="M42" t="s">
        <v>487</v>
      </c>
    </row>
    <row r="43" spans="1:13">
      <c r="A43">
        <v>3864</v>
      </c>
      <c r="B43">
        <v>2021</v>
      </c>
      <c r="C43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43" s="32">
        <v>46027</v>
      </c>
      <c r="E43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43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43">
        <v>1</v>
      </c>
      <c r="I43">
        <f>(salidas26[[#This Row],[CANT JUEGOS ]]*salidas26[[#This Row],[PRECIO JUEGO]])</f>
        <v>260</v>
      </c>
      <c r="J43">
        <f>(salidas26[[#This Row],[CANT BARRAS]]*salidas26[[#This Row],[PRECIO BARRA]])</f>
        <v>0</v>
      </c>
      <c r="K43">
        <v>250</v>
      </c>
      <c r="L43" t="s">
        <v>465</v>
      </c>
      <c r="M43" t="s">
        <v>488</v>
      </c>
    </row>
    <row r="44" spans="1:13">
      <c r="A44">
        <v>3865</v>
      </c>
      <c r="B44">
        <v>6007</v>
      </c>
      <c r="C4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TB70000 SKYWORTH 3B</v>
      </c>
      <c r="D44" s="32">
        <v>46028</v>
      </c>
      <c r="E4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44">
        <v>1</v>
      </c>
      <c r="I44">
        <f>(salidas26[[#This Row],[CANT JUEGOS ]]*salidas26[[#This Row],[PRECIO JUEGO]])</f>
        <v>180</v>
      </c>
      <c r="J44">
        <f>(salidas26[[#This Row],[CANT BARRAS]]*salidas26[[#This Row],[PRECIO BARRA]])</f>
        <v>0</v>
      </c>
      <c r="K44">
        <v>180</v>
      </c>
      <c r="M44" t="s">
        <v>489</v>
      </c>
    </row>
    <row r="45" spans="1:13">
      <c r="A45">
        <v>3866</v>
      </c>
      <c r="B45">
        <v>5002</v>
      </c>
      <c r="C45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45" s="32">
        <v>46028</v>
      </c>
      <c r="E45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45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5">
        <v>1</v>
      </c>
      <c r="I45">
        <f>(salidas26[[#This Row],[CANT JUEGOS ]]*salidas26[[#This Row],[PRECIO JUEGO]])</f>
        <v>90</v>
      </c>
      <c r="J45">
        <f>(salidas26[[#This Row],[CANT BARRAS]]*salidas26[[#This Row],[PRECIO BARRA]])</f>
        <v>0</v>
      </c>
      <c r="K45">
        <v>90</v>
      </c>
      <c r="L45" t="s">
        <v>465</v>
      </c>
      <c r="M45" t="s">
        <v>481</v>
      </c>
    </row>
    <row r="46" spans="1:13">
      <c r="A46">
        <v>3867</v>
      </c>
      <c r="B46" s="80">
        <v>8097</v>
      </c>
      <c r="C4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 PREMIER 10B/6L/3V</v>
      </c>
      <c r="D46" s="32">
        <v>46028</v>
      </c>
      <c r="E4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4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38</v>
      </c>
      <c r="G46">
        <v>1</v>
      </c>
      <c r="I46">
        <f>(salidas26[[#This Row],[CANT JUEGOS ]]*salidas26[[#This Row],[PRECIO JUEGO]])</f>
        <v>380</v>
      </c>
      <c r="J46">
        <f>(salidas26[[#This Row],[CANT BARRAS]]*salidas26[[#This Row],[PRECIO BARRA]])</f>
        <v>0</v>
      </c>
      <c r="K46">
        <v>300</v>
      </c>
      <c r="L46" t="s">
        <v>465</v>
      </c>
      <c r="M46" t="s">
        <v>490</v>
      </c>
    </row>
    <row r="47" spans="1:13">
      <c r="A47">
        <v>3868</v>
      </c>
      <c r="B47">
        <v>6009</v>
      </c>
      <c r="C4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47" s="32">
        <v>46028</v>
      </c>
      <c r="E4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47">
        <v>6</v>
      </c>
      <c r="I47">
        <f>(salidas26[[#This Row],[CANT JUEGOS ]]*salidas26[[#This Row],[PRECIO JUEGO]])</f>
        <v>0</v>
      </c>
      <c r="J47">
        <f>(salidas26[[#This Row],[CANT BARRAS]]*salidas26[[#This Row],[PRECIO BARRA]])</f>
        <v>135</v>
      </c>
      <c r="K47">
        <v>160</v>
      </c>
      <c r="L47" t="s">
        <v>465</v>
      </c>
      <c r="M47" t="s">
        <v>481</v>
      </c>
    </row>
    <row r="48" spans="1:13">
      <c r="A48">
        <v>3869</v>
      </c>
      <c r="B48" s="19">
        <v>1039</v>
      </c>
      <c r="C4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42LN5200/10B/3V</v>
      </c>
      <c r="D48" s="32">
        <v>46028</v>
      </c>
      <c r="E4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4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48">
        <v>1</v>
      </c>
      <c r="I48">
        <f>(salidas26[[#This Row],[CANT JUEGOS ]]*salidas26[[#This Row],[PRECIO JUEGO]])</f>
        <v>200</v>
      </c>
      <c r="J48">
        <f>(salidas26[[#This Row],[CANT BARRAS]]*salidas26[[#This Row],[PRECIO BARRA]])</f>
        <v>0</v>
      </c>
      <c r="K48">
        <v>200</v>
      </c>
      <c r="L48" t="s">
        <v>465</v>
      </c>
      <c r="M48" t="s">
        <v>490</v>
      </c>
    </row>
    <row r="49" spans="1:13">
      <c r="A49">
        <v>3872</v>
      </c>
      <c r="B49">
        <v>4000</v>
      </c>
      <c r="C4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49" s="32">
        <v>46028</v>
      </c>
      <c r="E4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9">
        <v>1</v>
      </c>
      <c r="I49">
        <f>(salidas26[[#This Row],[CANT JUEGOS ]]*salidas26[[#This Row],[PRECIO JUEGO]])</f>
        <v>60</v>
      </c>
      <c r="J49">
        <f>(salidas26[[#This Row],[CANT BARRAS]]*salidas26[[#This Row],[PRECIO BARRA]])</f>
        <v>0</v>
      </c>
      <c r="K49">
        <v>50</v>
      </c>
      <c r="L49" t="s">
        <v>465</v>
      </c>
      <c r="M49" t="s">
        <v>470</v>
      </c>
    </row>
    <row r="50" spans="1:13">
      <c r="A50">
        <v>3873</v>
      </c>
      <c r="B50" s="77">
        <v>8067</v>
      </c>
      <c r="C5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50" s="32">
        <v>46029</v>
      </c>
      <c r="E5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50">
        <v>1</v>
      </c>
      <c r="I50">
        <f>(salidas26[[#This Row],[CANT JUEGOS ]]*salidas26[[#This Row],[PRECIO JUEGO]])</f>
        <v>220</v>
      </c>
      <c r="J50">
        <f>(salidas26[[#This Row],[CANT BARRAS]]*salidas26[[#This Row],[PRECIO BARRA]])</f>
        <v>0</v>
      </c>
      <c r="K50">
        <v>220</v>
      </c>
      <c r="L50" t="s">
        <v>465</v>
      </c>
      <c r="M50" t="s">
        <v>491</v>
      </c>
    </row>
    <row r="51" spans="1:13">
      <c r="A51">
        <v>3874</v>
      </c>
      <c r="B51" s="19">
        <v>1024</v>
      </c>
      <c r="C5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51" s="32">
        <v>46029</v>
      </c>
      <c r="E5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5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51">
        <v>1</v>
      </c>
      <c r="I51">
        <f>(salidas26[[#This Row],[CANT JUEGOS ]]*salidas26[[#This Row],[PRECIO JUEGO]])</f>
        <v>100</v>
      </c>
      <c r="J51">
        <f>(salidas26[[#This Row],[CANT BARRAS]]*salidas26[[#This Row],[PRECIO BARRA]])</f>
        <v>0</v>
      </c>
      <c r="K51">
        <v>100</v>
      </c>
      <c r="L51" t="s">
        <v>465</v>
      </c>
      <c r="M51" t="s">
        <v>486</v>
      </c>
    </row>
    <row r="52" spans="1:13">
      <c r="A52">
        <v>3875</v>
      </c>
      <c r="B52" s="64">
        <v>8069</v>
      </c>
      <c r="C5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52" s="32">
        <v>46029</v>
      </c>
      <c r="E5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52">
        <v>1</v>
      </c>
      <c r="I52">
        <f>(salidas26[[#This Row],[CANT JUEGOS ]]*salidas26[[#This Row],[PRECIO JUEGO]])</f>
        <v>220</v>
      </c>
      <c r="J52">
        <f>(salidas26[[#This Row],[CANT BARRAS]]*salidas26[[#This Row],[PRECIO BARRA]])</f>
        <v>0</v>
      </c>
      <c r="K52">
        <v>220</v>
      </c>
      <c r="L52" t="s">
        <v>465</v>
      </c>
      <c r="M52" t="s">
        <v>492</v>
      </c>
    </row>
    <row r="53" spans="1:13">
      <c r="A53">
        <v>3876</v>
      </c>
      <c r="B53" s="64">
        <v>8033</v>
      </c>
      <c r="C53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53" s="32">
        <v>46029</v>
      </c>
      <c r="E53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53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3">
        <v>3</v>
      </c>
      <c r="I53">
        <f>(salidas26[[#This Row],[CANT JUEGOS ]]*salidas26[[#This Row],[PRECIO JUEGO]])</f>
        <v>450</v>
      </c>
      <c r="J53">
        <f>(salidas26[[#This Row],[CANT BARRAS]]*salidas26[[#This Row],[PRECIO BARRA]])</f>
        <v>0</v>
      </c>
      <c r="K53">
        <v>390</v>
      </c>
      <c r="L53" t="s">
        <v>465</v>
      </c>
      <c r="M53" t="s">
        <v>493</v>
      </c>
    </row>
    <row r="54" spans="1:13">
      <c r="A54">
        <v>3878</v>
      </c>
      <c r="B54">
        <v>5000</v>
      </c>
      <c r="C5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KDL-32R425A SONY/3B</v>
      </c>
      <c r="D54" s="32">
        <v>46029</v>
      </c>
      <c r="E5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5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4">
        <v>1</v>
      </c>
      <c r="I54">
        <f>(salidas26[[#This Row],[CANT JUEGOS ]]*salidas26[[#This Row],[PRECIO JUEGO]])</f>
        <v>90</v>
      </c>
      <c r="J54">
        <f>(salidas26[[#This Row],[CANT BARRAS]]*salidas26[[#This Row],[PRECIO BARRA]])</f>
        <v>0</v>
      </c>
      <c r="K54">
        <v>100</v>
      </c>
      <c r="L54" t="s">
        <v>465</v>
      </c>
      <c r="M54" t="s">
        <v>494</v>
      </c>
    </row>
    <row r="55" spans="1:13" s="91" customFormat="1">
      <c r="A55" s="91">
        <v>3879</v>
      </c>
      <c r="B55" s="91">
        <v>6000</v>
      </c>
      <c r="C55" s="9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55" s="92">
        <v>46029</v>
      </c>
      <c r="E55" s="9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5" s="9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5" s="91">
        <v>1</v>
      </c>
      <c r="I55" s="91">
        <f>(salidas26[[#This Row],[CANT JUEGOS ]]*salidas26[[#This Row],[PRECIO JUEGO]])</f>
        <v>60</v>
      </c>
      <c r="J55" s="91">
        <f>(salidas26[[#This Row],[CANT BARRAS]]*salidas26[[#This Row],[PRECIO BARRA]])</f>
        <v>0</v>
      </c>
      <c r="K55" s="91">
        <v>60</v>
      </c>
      <c r="L55" s="93" t="s">
        <v>465</v>
      </c>
      <c r="M55" s="91" t="s">
        <v>495</v>
      </c>
    </row>
    <row r="56" spans="1:13" s="94" customFormat="1">
      <c r="A56" s="94">
        <v>3880</v>
      </c>
      <c r="B56" s="95">
        <v>8123</v>
      </c>
      <c r="C56" s="9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56" s="96">
        <v>46029</v>
      </c>
      <c r="E56" s="9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56" s="9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56" s="94">
        <v>10</v>
      </c>
      <c r="I56" s="94">
        <f>(salidas26[[#This Row],[CANT JUEGOS ]]*salidas26[[#This Row],[PRECIO JUEGO]])</f>
        <v>0</v>
      </c>
      <c r="J56" s="94">
        <f>(salidas26[[#This Row],[CANT BARRAS]]*salidas26[[#This Row],[PRECIO BARRA]])</f>
        <v>35</v>
      </c>
      <c r="K56" s="94">
        <v>35</v>
      </c>
      <c r="L56" s="94" t="s">
        <v>465</v>
      </c>
      <c r="M56" s="94" t="s">
        <v>495</v>
      </c>
    </row>
    <row r="57" spans="1:13">
      <c r="A57">
        <v>3881</v>
      </c>
      <c r="B57">
        <v>2064</v>
      </c>
      <c r="C5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57" s="32">
        <v>46029</v>
      </c>
      <c r="E5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5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57">
        <v>1</v>
      </c>
      <c r="I57">
        <f>(salidas26[[#This Row],[CANT JUEGOS ]]*salidas26[[#This Row],[PRECIO JUEGO]])</f>
        <v>250</v>
      </c>
      <c r="J57">
        <f>(salidas26[[#This Row],[CANT BARRAS]]*salidas26[[#This Row],[PRECIO BARRA]])</f>
        <v>0</v>
      </c>
      <c r="K57">
        <v>240</v>
      </c>
      <c r="L57" t="s">
        <v>465</v>
      </c>
      <c r="M57" t="s">
        <v>491</v>
      </c>
    </row>
    <row r="58" spans="1:13">
      <c r="A58">
        <v>3882</v>
      </c>
      <c r="B58">
        <v>6006</v>
      </c>
      <c r="C5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58" s="32">
        <v>46029</v>
      </c>
      <c r="E5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5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58">
        <v>1</v>
      </c>
      <c r="I58">
        <f>(salidas26[[#This Row],[CANT JUEGOS ]]*salidas26[[#This Row],[PRECIO JUEGO]])</f>
        <v>140</v>
      </c>
      <c r="J58">
        <f>(salidas26[[#This Row],[CANT BARRAS]]*salidas26[[#This Row],[PRECIO BARRA]])</f>
        <v>0</v>
      </c>
      <c r="K58">
        <v>150</v>
      </c>
      <c r="L58" t="s">
        <v>465</v>
      </c>
      <c r="M58" t="s">
        <v>491</v>
      </c>
    </row>
    <row r="59" spans="1:13">
      <c r="A59">
        <v>3883</v>
      </c>
      <c r="B59" s="19">
        <v>1015</v>
      </c>
      <c r="C5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59" s="32">
        <v>46029</v>
      </c>
      <c r="E5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59">
        <v>1</v>
      </c>
      <c r="I59">
        <f>(salidas26[[#This Row],[CANT JUEGOS ]]*salidas26[[#This Row],[PRECIO JUEGO]])</f>
        <v>80</v>
      </c>
      <c r="J59">
        <f>(salidas26[[#This Row],[CANT BARRAS]]*salidas26[[#This Row],[PRECIO BARRA]])</f>
        <v>0</v>
      </c>
      <c r="K59">
        <v>90</v>
      </c>
      <c r="L59" t="s">
        <v>496</v>
      </c>
      <c r="M59" t="s">
        <v>485</v>
      </c>
    </row>
    <row r="60" spans="1:13">
      <c r="A60">
        <v>3884</v>
      </c>
      <c r="B60" s="19">
        <v>1078</v>
      </c>
      <c r="C6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60" s="32">
        <v>46029</v>
      </c>
      <c r="E6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6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60">
        <v>1</v>
      </c>
      <c r="I60">
        <f>(salidas26[[#This Row],[CANT JUEGOS ]]*salidas26[[#This Row],[PRECIO JUEGO]])</f>
        <v>280</v>
      </c>
      <c r="J60">
        <f>(salidas26[[#This Row],[CANT BARRAS]]*salidas26[[#This Row],[PRECIO BARRA]])</f>
        <v>0</v>
      </c>
      <c r="K60">
        <v>252</v>
      </c>
      <c r="L60" t="s">
        <v>496</v>
      </c>
      <c r="M60" t="s">
        <v>485</v>
      </c>
    </row>
    <row r="61" spans="1:13">
      <c r="A61">
        <v>3885</v>
      </c>
      <c r="B61" s="77">
        <v>8056</v>
      </c>
      <c r="C6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61" s="32">
        <v>46029</v>
      </c>
      <c r="E6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1">
        <v>1</v>
      </c>
      <c r="I61">
        <f>(salidas26[[#This Row],[CANT JUEGOS ]]*salidas26[[#This Row],[PRECIO JUEGO]])</f>
        <v>180</v>
      </c>
      <c r="J61">
        <f>(salidas26[[#This Row],[CANT BARRAS]]*salidas26[[#This Row],[PRECIO BARRA]])</f>
        <v>0</v>
      </c>
      <c r="K61">
        <v>160</v>
      </c>
      <c r="L61" t="s">
        <v>465</v>
      </c>
      <c r="M61" t="s">
        <v>497</v>
      </c>
    </row>
    <row r="62" spans="1:13">
      <c r="A62">
        <v>3886</v>
      </c>
      <c r="B62">
        <v>6001</v>
      </c>
      <c r="C6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D62" s="32">
        <v>46029</v>
      </c>
      <c r="E6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62">
        <v>1</v>
      </c>
      <c r="I62">
        <f>(salidas26[[#This Row],[CANT JUEGOS ]]*salidas26[[#This Row],[PRECIO JUEGO]])</f>
        <v>80</v>
      </c>
      <c r="J62">
        <f>(salidas26[[#This Row],[CANT BARRAS]]*salidas26[[#This Row],[PRECIO BARRA]])</f>
        <v>0</v>
      </c>
      <c r="K62">
        <v>64</v>
      </c>
      <c r="L62" t="s">
        <v>465</v>
      </c>
      <c r="M62" t="s">
        <v>497</v>
      </c>
    </row>
    <row r="63" spans="1:13">
      <c r="A63">
        <v>3887</v>
      </c>
      <c r="B63" s="19">
        <v>1117</v>
      </c>
      <c r="C63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63" s="32">
        <v>46029</v>
      </c>
      <c r="E63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63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63">
        <v>1</v>
      </c>
      <c r="I63">
        <f>(salidas26[[#This Row],[CANT JUEGOS ]]*salidas26[[#This Row],[PRECIO JUEGO]])</f>
        <v>350</v>
      </c>
      <c r="J63">
        <f>(salidas26[[#This Row],[CANT BARRAS]]*salidas26[[#This Row],[PRECIO BARRA]])</f>
        <v>0</v>
      </c>
      <c r="K63">
        <v>320</v>
      </c>
      <c r="L63" t="s">
        <v>465</v>
      </c>
      <c r="M63" t="s">
        <v>497</v>
      </c>
    </row>
    <row r="64" spans="1:13">
      <c r="A64">
        <v>3888</v>
      </c>
      <c r="B64">
        <v>7000</v>
      </c>
      <c r="C64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64" s="32">
        <v>46029</v>
      </c>
      <c r="E64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4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4">
        <v>2</v>
      </c>
      <c r="I64">
        <f>(salidas26[[#This Row],[CANT JUEGOS ]]*salidas26[[#This Row],[PRECIO JUEGO]])</f>
        <v>120</v>
      </c>
      <c r="J64">
        <f>(salidas26[[#This Row],[CANT BARRAS]]*salidas26[[#This Row],[PRECIO BARRA]])</f>
        <v>0</v>
      </c>
      <c r="K64">
        <v>112</v>
      </c>
      <c r="L64" t="s">
        <v>465</v>
      </c>
      <c r="M64" t="s">
        <v>497</v>
      </c>
    </row>
    <row r="65" spans="1:13">
      <c r="A65">
        <v>3889</v>
      </c>
      <c r="B65">
        <v>2067</v>
      </c>
      <c r="C65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UN50J5300-50J5500 12B</v>
      </c>
      <c r="D65" s="32">
        <v>46029</v>
      </c>
      <c r="E65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65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65">
        <v>1</v>
      </c>
      <c r="I65">
        <f>(salidas26[[#This Row],[CANT JUEGOS ]]*salidas26[[#This Row],[PRECIO JUEGO]])</f>
        <v>400</v>
      </c>
      <c r="J65">
        <f>(salidas26[[#This Row],[CANT BARRAS]]*salidas26[[#This Row],[PRECIO BARRA]])</f>
        <v>0</v>
      </c>
      <c r="K65">
        <v>320</v>
      </c>
      <c r="L65" t="s">
        <v>465</v>
      </c>
      <c r="M65" t="s">
        <v>497</v>
      </c>
    </row>
    <row r="66" spans="1:13">
      <c r="A66">
        <v>3890</v>
      </c>
      <c r="B66" s="64">
        <v>8033</v>
      </c>
      <c r="C6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66" s="32">
        <v>46029</v>
      </c>
      <c r="E6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6">
        <v>1</v>
      </c>
      <c r="I66">
        <f>(salidas26[[#This Row],[CANT JUEGOS ]]*salidas26[[#This Row],[PRECIO JUEGO]])</f>
        <v>150</v>
      </c>
      <c r="J66">
        <f>(salidas26[[#This Row],[CANT BARRAS]]*salidas26[[#This Row],[PRECIO BARRA]])</f>
        <v>0</v>
      </c>
      <c r="K66">
        <v>140</v>
      </c>
      <c r="L66" t="s">
        <v>465</v>
      </c>
      <c r="M66" t="s">
        <v>476</v>
      </c>
    </row>
    <row r="67" spans="1:13">
      <c r="A67">
        <v>3891</v>
      </c>
      <c r="B67">
        <v>2087</v>
      </c>
      <c r="C6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67" s="32">
        <v>46029</v>
      </c>
      <c r="E6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6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67">
        <v>1</v>
      </c>
      <c r="I67">
        <f>(salidas26[[#This Row],[CANT JUEGOS ]]*salidas26[[#This Row],[PRECIO JUEGO]])</f>
        <v>240</v>
      </c>
      <c r="J67">
        <f>(salidas26[[#This Row],[CANT BARRAS]]*salidas26[[#This Row],[PRECIO BARRA]])</f>
        <v>0</v>
      </c>
      <c r="K67">
        <v>264</v>
      </c>
      <c r="L67" t="s">
        <v>498</v>
      </c>
      <c r="M67" t="s">
        <v>499</v>
      </c>
    </row>
    <row r="68" spans="1:13">
      <c r="A68">
        <v>3892</v>
      </c>
      <c r="B68">
        <v>4002</v>
      </c>
      <c r="C68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S780 6L/6V -2B</v>
      </c>
      <c r="D68" s="32">
        <v>46029</v>
      </c>
      <c r="E68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8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8">
        <v>1</v>
      </c>
      <c r="I68">
        <f>(salidas26[[#This Row],[CANT JUEGOS ]]*salidas26[[#This Row],[PRECIO JUEGO]])</f>
        <v>60</v>
      </c>
      <c r="J68">
        <f>(salidas26[[#This Row],[CANT BARRAS]]*salidas26[[#This Row],[PRECIO BARRA]])</f>
        <v>0</v>
      </c>
      <c r="K68">
        <v>66</v>
      </c>
      <c r="L68" t="s">
        <v>498</v>
      </c>
      <c r="M68" t="s">
        <v>499</v>
      </c>
    </row>
    <row r="69" spans="1:13">
      <c r="A69">
        <v>3893</v>
      </c>
      <c r="B69" s="77">
        <v>8095</v>
      </c>
      <c r="C69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69" s="32">
        <v>46029</v>
      </c>
      <c r="E69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9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9">
        <v>1</v>
      </c>
      <c r="I69">
        <f>(salidas26[[#This Row],[CANT JUEGOS ]]*salidas26[[#This Row],[PRECIO JUEGO]])</f>
        <v>300</v>
      </c>
      <c r="J69">
        <f>(salidas26[[#This Row],[CANT BARRAS]]*salidas26[[#This Row],[PRECIO BARRA]])</f>
        <v>0</v>
      </c>
      <c r="K69">
        <v>295</v>
      </c>
      <c r="L69" t="s">
        <v>465</v>
      </c>
      <c r="M69" t="s">
        <v>500</v>
      </c>
    </row>
    <row r="70" spans="1:13">
      <c r="A70">
        <v>3894</v>
      </c>
      <c r="B70">
        <v>2087</v>
      </c>
      <c r="C70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70" s="32">
        <v>46029</v>
      </c>
      <c r="E70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70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70">
        <v>1</v>
      </c>
      <c r="I70">
        <f>(salidas26[[#This Row],[CANT JUEGOS ]]*salidas26[[#This Row],[PRECIO JUEGO]])</f>
        <v>240</v>
      </c>
      <c r="J70">
        <f>(salidas26[[#This Row],[CANT BARRAS]]*salidas26[[#This Row],[PRECIO BARRA]])</f>
        <v>0</v>
      </c>
      <c r="K70">
        <v>200</v>
      </c>
      <c r="L70" t="s">
        <v>465</v>
      </c>
      <c r="M70" t="s">
        <v>501</v>
      </c>
    </row>
    <row r="71" spans="1:13">
      <c r="A71">
        <v>3895</v>
      </c>
      <c r="B71">
        <v>2048</v>
      </c>
      <c r="C7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 NU7100/2B EDGE</v>
      </c>
      <c r="D71" s="32">
        <v>46029</v>
      </c>
      <c r="E7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71">
        <v>1</v>
      </c>
      <c r="I71">
        <f>(salidas26[[#This Row],[CANT JUEGOS ]]*salidas26[[#This Row],[PRECIO JUEGO]])</f>
        <v>180</v>
      </c>
      <c r="J71">
        <f>(salidas26[[#This Row],[CANT BARRAS]]*salidas26[[#This Row],[PRECIO BARRA]])</f>
        <v>0</v>
      </c>
      <c r="K71">
        <v>220</v>
      </c>
      <c r="L71" t="s">
        <v>465</v>
      </c>
      <c r="M71" t="s">
        <v>501</v>
      </c>
    </row>
    <row r="72" spans="1:13">
      <c r="A72">
        <v>3896</v>
      </c>
      <c r="B72">
        <v>6000</v>
      </c>
      <c r="C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72" s="32">
        <v>46029</v>
      </c>
      <c r="E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2">
        <v>1</v>
      </c>
      <c r="I72">
        <f>(salidas26[[#This Row],[CANT JUEGOS ]]*salidas26[[#This Row],[PRECIO JUEGO]])</f>
        <v>60</v>
      </c>
      <c r="J72">
        <f>(salidas26[[#This Row],[CANT BARRAS]]*salidas26[[#This Row],[PRECIO BARRA]])</f>
        <v>0</v>
      </c>
      <c r="K72">
        <v>60</v>
      </c>
      <c r="L72" t="s">
        <v>465</v>
      </c>
      <c r="M72" t="s">
        <v>502</v>
      </c>
    </row>
    <row r="73" spans="1:13">
      <c r="A73">
        <v>3897</v>
      </c>
      <c r="B73">
        <v>3000</v>
      </c>
      <c r="C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73" s="32">
        <v>46030</v>
      </c>
      <c r="E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3">
        <v>1</v>
      </c>
      <c r="I73">
        <f>(salidas26[[#This Row],[CANT JUEGOS ]]*salidas26[[#This Row],[PRECIO JUEGO]])</f>
        <v>90</v>
      </c>
      <c r="J73">
        <f>(salidas26[[#This Row],[CANT BARRAS]]*salidas26[[#This Row],[PRECIO BARRA]])</f>
        <v>0</v>
      </c>
      <c r="K73">
        <v>100</v>
      </c>
      <c r="L73" t="s">
        <v>465</v>
      </c>
      <c r="M73" t="s">
        <v>477</v>
      </c>
    </row>
    <row r="74" spans="1:13">
      <c r="A74">
        <v>3898</v>
      </c>
      <c r="B74">
        <v>1027</v>
      </c>
      <c r="C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32LM3400-4B/3V/9L</v>
      </c>
      <c r="D74" s="32">
        <v>46030</v>
      </c>
      <c r="E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120</v>
      </c>
      <c r="F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4">
        <v>1</v>
      </c>
      <c r="I74">
        <f>(salidas26[[#This Row],[CANT JUEGOS ]]*salidas26[[#This Row],[PRECIO JUEGO]])</f>
        <v>120</v>
      </c>
      <c r="J74">
        <f>(salidas26[[#This Row],[CANT BARRAS]]*salidas26[[#This Row],[PRECIO BARRA]])</f>
        <v>0</v>
      </c>
      <c r="K74">
        <v>150</v>
      </c>
      <c r="L74" t="s">
        <v>465</v>
      </c>
      <c r="M74" t="s">
        <v>503</v>
      </c>
    </row>
    <row r="75" spans="1:13">
      <c r="A75">
        <v>3899</v>
      </c>
      <c r="B75">
        <v>3000</v>
      </c>
      <c r="C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75" s="32">
        <v>46030</v>
      </c>
      <c r="E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5">
        <v>1</v>
      </c>
      <c r="I75">
        <f>(salidas26[[#This Row],[CANT JUEGOS ]]*salidas26[[#This Row],[PRECIO JUEGO]])</f>
        <v>90</v>
      </c>
      <c r="J75">
        <f>(salidas26[[#This Row],[CANT BARRAS]]*salidas26[[#This Row],[PRECIO BARRA]])</f>
        <v>0</v>
      </c>
      <c r="K75">
        <v>100</v>
      </c>
      <c r="L75" t="s">
        <v>465</v>
      </c>
      <c r="M75" t="s">
        <v>503</v>
      </c>
    </row>
    <row r="76" spans="1:13">
      <c r="A76">
        <v>3900</v>
      </c>
      <c r="B76">
        <v>2075</v>
      </c>
      <c r="C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76" s="32">
        <v>46030</v>
      </c>
      <c r="E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76">
        <v>1</v>
      </c>
      <c r="I76">
        <f>(salidas26[[#This Row],[CANT JUEGOS ]]*salidas26[[#This Row],[PRECIO JUEGO]])</f>
        <v>200</v>
      </c>
      <c r="J76">
        <f>(salidas26[[#This Row],[CANT BARRAS]]*salidas26[[#This Row],[PRECIO BARRA]])</f>
        <v>0</v>
      </c>
      <c r="K76">
        <v>200</v>
      </c>
      <c r="L76" t="s">
        <v>465</v>
      </c>
      <c r="M76" t="s">
        <v>503</v>
      </c>
    </row>
    <row r="77" spans="1:13">
      <c r="B77">
        <v>2003</v>
      </c>
      <c r="C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77" s="32">
        <v>46030</v>
      </c>
      <c r="E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77">
        <v>1</v>
      </c>
      <c r="I77">
        <f>(salidas26[[#This Row],[CANT JUEGOS ]]*salidas26[[#This Row],[PRECIO JUEGO]])</f>
        <v>130</v>
      </c>
      <c r="J77">
        <f>(salidas26[[#This Row],[CANT BARRAS]]*salidas26[[#This Row],[PRECIO BARRA]])</f>
        <v>0</v>
      </c>
      <c r="M77" t="s">
        <v>504</v>
      </c>
    </row>
    <row r="78" spans="1:13">
      <c r="A78">
        <v>3901</v>
      </c>
      <c r="B78">
        <v>2003</v>
      </c>
      <c r="C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78" s="32">
        <v>46030</v>
      </c>
      <c r="E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78">
        <v>2</v>
      </c>
      <c r="I78">
        <f>(salidas26[[#This Row],[CANT JUEGOS ]]*salidas26[[#This Row],[PRECIO JUEGO]])</f>
        <v>0</v>
      </c>
      <c r="J78">
        <f>(salidas26[[#This Row],[CANT BARRAS]]*salidas26[[#This Row],[PRECIO BARRA]])</f>
        <v>52</v>
      </c>
      <c r="K78">
        <v>72</v>
      </c>
      <c r="L78" t="s">
        <v>465</v>
      </c>
      <c r="M78" t="s">
        <v>466</v>
      </c>
    </row>
    <row r="79" spans="1:13">
      <c r="A79">
        <v>3903</v>
      </c>
      <c r="B79">
        <v>8055</v>
      </c>
      <c r="C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79" s="32">
        <v>46030</v>
      </c>
      <c r="E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79">
        <v>1</v>
      </c>
      <c r="I79">
        <f>(salidas26[[#This Row],[CANT JUEGOS ]]*salidas26[[#This Row],[PRECIO JUEGO]])</f>
        <v>180</v>
      </c>
      <c r="J79">
        <f>(salidas26[[#This Row],[CANT BARRAS]]*salidas26[[#This Row],[PRECIO BARRA]])</f>
        <v>0</v>
      </c>
      <c r="K79">
        <v>190</v>
      </c>
      <c r="L79" t="s">
        <v>465</v>
      </c>
      <c r="M79" t="s">
        <v>477</v>
      </c>
    </row>
    <row r="80" spans="1:13">
      <c r="A80">
        <v>3904</v>
      </c>
      <c r="B80">
        <v>3000</v>
      </c>
      <c r="C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80" s="32">
        <v>46030</v>
      </c>
      <c r="E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0">
        <v>1</v>
      </c>
      <c r="I80">
        <f>(salidas26[[#This Row],[CANT JUEGOS ]]*salidas26[[#This Row],[PRECIO JUEGO]])</f>
        <v>90</v>
      </c>
      <c r="J80">
        <f>(salidas26[[#This Row],[CANT BARRAS]]*salidas26[[#This Row],[PRECIO BARRA]])</f>
        <v>0</v>
      </c>
      <c r="K80">
        <v>100</v>
      </c>
      <c r="L80" t="s">
        <v>465</v>
      </c>
      <c r="M80" t="s">
        <v>487</v>
      </c>
    </row>
    <row r="81" spans="1:13">
      <c r="A81">
        <v>3905</v>
      </c>
      <c r="B81">
        <v>2006</v>
      </c>
      <c r="C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UN32J/ 2B </v>
      </c>
      <c r="D81" s="32">
        <v>46030</v>
      </c>
      <c r="E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81">
        <v>1</v>
      </c>
      <c r="I81">
        <f>(salidas26[[#This Row],[CANT JUEGOS ]]*salidas26[[#This Row],[PRECIO JUEGO]])</f>
        <v>90</v>
      </c>
      <c r="J81">
        <f>(salidas26[[#This Row],[CANT BARRAS]]*salidas26[[#This Row],[PRECIO BARRA]])</f>
        <v>0</v>
      </c>
      <c r="K81">
        <v>70</v>
      </c>
      <c r="L81" t="s">
        <v>465</v>
      </c>
      <c r="M81" t="s">
        <v>487</v>
      </c>
    </row>
    <row r="82" spans="1:13" s="18" customFormat="1">
      <c r="A82" s="18">
        <v>3906</v>
      </c>
      <c r="B82" s="18">
        <v>8055</v>
      </c>
      <c r="C82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82" s="75">
        <v>46030</v>
      </c>
      <c r="E82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2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2" s="18">
        <v>1</v>
      </c>
      <c r="I82" s="18">
        <f>(salidas26[[#This Row],[CANT JUEGOS ]]*salidas26[[#This Row],[PRECIO JUEGO]])</f>
        <v>180</v>
      </c>
      <c r="J82" s="18">
        <f>(salidas26[[#This Row],[CANT BARRAS]]*salidas26[[#This Row],[PRECIO BARRA]])</f>
        <v>0</v>
      </c>
      <c r="K82" s="18">
        <v>180</v>
      </c>
      <c r="L82" s="18" t="s">
        <v>465</v>
      </c>
      <c r="M82" s="18" t="s">
        <v>505</v>
      </c>
    </row>
    <row r="83" spans="1:13">
      <c r="A83">
        <v>3907</v>
      </c>
      <c r="B83">
        <v>8067</v>
      </c>
      <c r="C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83" s="32">
        <v>46030</v>
      </c>
      <c r="E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83">
        <v>3</v>
      </c>
      <c r="I83">
        <f>(salidas26[[#This Row],[CANT JUEGOS ]]*salidas26[[#This Row],[PRECIO JUEGO]])</f>
        <v>660</v>
      </c>
      <c r="J83">
        <f>(salidas26[[#This Row],[CANT BARRAS]]*salidas26[[#This Row],[PRECIO BARRA]])</f>
        <v>0</v>
      </c>
      <c r="K83">
        <v>600</v>
      </c>
      <c r="L83" t="s">
        <v>496</v>
      </c>
      <c r="M83" t="s">
        <v>492</v>
      </c>
    </row>
    <row r="84" spans="1:13">
      <c r="A84">
        <v>3908</v>
      </c>
      <c r="B84">
        <v>8033</v>
      </c>
      <c r="C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84" s="32">
        <v>46030</v>
      </c>
      <c r="E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4">
        <v>3</v>
      </c>
      <c r="I84">
        <f>(salidas26[[#This Row],[CANT JUEGOS ]]*salidas26[[#This Row],[PRECIO JUEGO]])</f>
        <v>450</v>
      </c>
      <c r="J84">
        <f>(salidas26[[#This Row],[CANT BARRAS]]*salidas26[[#This Row],[PRECIO BARRA]])</f>
        <v>0</v>
      </c>
      <c r="K84">
        <v>340</v>
      </c>
      <c r="L84" t="s">
        <v>496</v>
      </c>
      <c r="M84" t="s">
        <v>492</v>
      </c>
    </row>
    <row r="85" spans="1:13">
      <c r="A85">
        <v>3909</v>
      </c>
      <c r="B85">
        <v>8056</v>
      </c>
      <c r="C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85" s="32">
        <v>46030</v>
      </c>
      <c r="E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5">
        <v>1</v>
      </c>
      <c r="I85">
        <f>(salidas26[[#This Row],[CANT JUEGOS ]]*salidas26[[#This Row],[PRECIO JUEGO]])</f>
        <v>180</v>
      </c>
      <c r="J85">
        <f>(salidas26[[#This Row],[CANT BARRAS]]*salidas26[[#This Row],[PRECIO BARRA]])</f>
        <v>0</v>
      </c>
      <c r="K85">
        <v>160</v>
      </c>
      <c r="L85" t="s">
        <v>496</v>
      </c>
      <c r="M85" t="s">
        <v>492</v>
      </c>
    </row>
    <row r="86" spans="1:13">
      <c r="A86">
        <v>3910</v>
      </c>
      <c r="B86">
        <v>6022</v>
      </c>
      <c r="C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86" s="32">
        <v>46030</v>
      </c>
      <c r="E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86">
        <v>1</v>
      </c>
      <c r="I86">
        <f>(salidas26[[#This Row],[CANT JUEGOS ]]*salidas26[[#This Row],[PRECIO JUEGO]])</f>
        <v>350</v>
      </c>
      <c r="J86">
        <f>(salidas26[[#This Row],[CANT BARRAS]]*salidas26[[#This Row],[PRECIO BARRA]])</f>
        <v>0</v>
      </c>
      <c r="K86">
        <v>350</v>
      </c>
      <c r="L86" t="s">
        <v>465</v>
      </c>
      <c r="M86" t="s">
        <v>492</v>
      </c>
    </row>
    <row r="87" spans="1:13">
      <c r="A87">
        <v>3911</v>
      </c>
      <c r="B87">
        <v>2024</v>
      </c>
      <c r="C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87" s="32">
        <v>46030</v>
      </c>
      <c r="E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7">
        <v>1</v>
      </c>
      <c r="I87">
        <f>(salidas26[[#This Row],[CANT JUEGOS ]]*salidas26[[#This Row],[PRECIO JUEGO]])</f>
        <v>180</v>
      </c>
      <c r="J87">
        <f>(salidas26[[#This Row],[CANT BARRAS]]*salidas26[[#This Row],[PRECIO BARRA]])</f>
        <v>0</v>
      </c>
      <c r="K87">
        <v>180</v>
      </c>
      <c r="L87" t="s">
        <v>465</v>
      </c>
      <c r="M87" t="s">
        <v>506</v>
      </c>
    </row>
    <row r="88" spans="1:13">
      <c r="A88">
        <v>3912</v>
      </c>
      <c r="B88">
        <v>6034</v>
      </c>
      <c r="C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HISENSE A6GSA 6B/8L/3V</v>
      </c>
      <c r="D88" s="32">
        <v>46030</v>
      </c>
      <c r="E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63.333333333333336</v>
      </c>
      <c r="G88">
        <v>1</v>
      </c>
      <c r="I88">
        <f>(salidas26[[#This Row],[CANT JUEGOS ]]*salidas26[[#This Row],[PRECIO JUEGO]])</f>
        <v>380</v>
      </c>
      <c r="J88">
        <f>(salidas26[[#This Row],[CANT BARRAS]]*salidas26[[#This Row],[PRECIO BARRA]])</f>
        <v>0</v>
      </c>
      <c r="K88">
        <v>350</v>
      </c>
      <c r="L88" t="s">
        <v>496</v>
      </c>
      <c r="M88" t="s">
        <v>507</v>
      </c>
    </row>
    <row r="89" spans="1:13">
      <c r="A89">
        <v>3913</v>
      </c>
      <c r="B89">
        <v>3018</v>
      </c>
      <c r="C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HAIER 9B/5L</v>
      </c>
      <c r="D89" s="32">
        <v>46030</v>
      </c>
      <c r="E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89">
        <v>1</v>
      </c>
      <c r="I89">
        <f>(salidas26[[#This Row],[CANT JUEGOS ]]*salidas26[[#This Row],[PRECIO JUEGO]])</f>
        <v>250</v>
      </c>
      <c r="J89">
        <f>(salidas26[[#This Row],[CANT BARRAS]]*salidas26[[#This Row],[PRECIO BARRA]])</f>
        <v>0</v>
      </c>
      <c r="K89">
        <v>220</v>
      </c>
      <c r="L89" t="s">
        <v>496</v>
      </c>
      <c r="M89" t="s">
        <v>507</v>
      </c>
    </row>
    <row r="90" spans="1:13">
      <c r="B90">
        <v>5018</v>
      </c>
      <c r="C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90" s="32">
        <v>46030</v>
      </c>
      <c r="E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90">
        <v>1</v>
      </c>
      <c r="I90">
        <f>(salidas26[[#This Row],[CANT JUEGOS ]]*salidas26[[#This Row],[PRECIO JUEGO]])</f>
        <v>200</v>
      </c>
      <c r="J90">
        <f>(salidas26[[#This Row],[CANT BARRAS]]*salidas26[[#This Row],[PRECIO BARRA]])</f>
        <v>0</v>
      </c>
      <c r="M90" t="s">
        <v>504</v>
      </c>
    </row>
    <row r="91" spans="1:13">
      <c r="A91">
        <v>3914</v>
      </c>
      <c r="B91">
        <v>5018</v>
      </c>
      <c r="C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91" s="32">
        <v>46030</v>
      </c>
      <c r="E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H91">
        <v>8</v>
      </c>
      <c r="I91">
        <f>(salidas26[[#This Row],[CANT JUEGOS ]]*salidas26[[#This Row],[PRECIO JUEGO]])</f>
        <v>0</v>
      </c>
      <c r="J91">
        <f>(salidas26[[#This Row],[CANT BARRAS]]*salidas26[[#This Row],[PRECIO BARRA]])</f>
        <v>160</v>
      </c>
      <c r="K91">
        <v>150</v>
      </c>
      <c r="L91" t="s">
        <v>496</v>
      </c>
      <c r="M91" t="s">
        <v>469</v>
      </c>
    </row>
    <row r="92" spans="1:13">
      <c r="A92">
        <v>3915</v>
      </c>
      <c r="B92">
        <v>6016</v>
      </c>
      <c r="C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92" s="32">
        <v>46030</v>
      </c>
      <c r="E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2">
        <v>1</v>
      </c>
      <c r="I92">
        <f>(salidas26[[#This Row],[CANT JUEGOS ]]*salidas26[[#This Row],[PRECIO JUEGO]])</f>
        <v>240</v>
      </c>
      <c r="J92">
        <f>(salidas26[[#This Row],[CANT BARRAS]]*salidas26[[#This Row],[PRECIO BARRA]])</f>
        <v>0</v>
      </c>
      <c r="K92">
        <v>220</v>
      </c>
      <c r="L92" t="s">
        <v>496</v>
      </c>
      <c r="M92" t="s">
        <v>469</v>
      </c>
    </row>
    <row r="93" spans="1:13">
      <c r="A93">
        <v>3916</v>
      </c>
      <c r="B93">
        <v>1078</v>
      </c>
      <c r="C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93" s="32">
        <v>46030</v>
      </c>
      <c r="E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93">
        <v>1</v>
      </c>
      <c r="I93">
        <f>(salidas26[[#This Row],[CANT JUEGOS ]]*salidas26[[#This Row],[PRECIO JUEGO]])</f>
        <v>280</v>
      </c>
      <c r="J93">
        <f>(salidas26[[#This Row],[CANT BARRAS]]*salidas26[[#This Row],[PRECIO BARRA]])</f>
        <v>0</v>
      </c>
      <c r="K93">
        <v>270</v>
      </c>
      <c r="L93" t="s">
        <v>465</v>
      </c>
      <c r="M93" t="s">
        <v>466</v>
      </c>
    </row>
    <row r="94" spans="1:13">
      <c r="A94">
        <v>3917</v>
      </c>
      <c r="B94">
        <v>5006</v>
      </c>
      <c r="C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94" s="32">
        <v>46030</v>
      </c>
      <c r="E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4">
        <v>1</v>
      </c>
      <c r="I94">
        <f>(salidas26[[#This Row],[CANT JUEGOS ]]*salidas26[[#This Row],[PRECIO JUEGO]])</f>
        <v>90</v>
      </c>
      <c r="J94">
        <f>(salidas26[[#This Row],[CANT BARRAS]]*salidas26[[#This Row],[PRECIO BARRA]])</f>
        <v>0</v>
      </c>
      <c r="K94">
        <v>100</v>
      </c>
      <c r="L94" t="s">
        <v>465</v>
      </c>
      <c r="M94" t="s">
        <v>508</v>
      </c>
    </row>
    <row r="95" spans="1:13">
      <c r="A95">
        <v>3918</v>
      </c>
      <c r="B95">
        <v>1094</v>
      </c>
      <c r="C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UH6100-LH5100 /8B</v>
      </c>
      <c r="D95" s="32">
        <v>46030</v>
      </c>
      <c r="E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95">
        <v>1</v>
      </c>
      <c r="I95">
        <f>(salidas26[[#This Row],[CANT JUEGOS ]]*salidas26[[#This Row],[PRECIO JUEGO]])</f>
        <v>250</v>
      </c>
      <c r="J95">
        <f>(salidas26[[#This Row],[CANT BARRAS]]*salidas26[[#This Row],[PRECIO BARRA]])</f>
        <v>0</v>
      </c>
      <c r="K95">
        <v>225</v>
      </c>
      <c r="L95" t="s">
        <v>496</v>
      </c>
      <c r="M95" t="s">
        <v>509</v>
      </c>
    </row>
    <row r="96" spans="1:13" s="18" customFormat="1">
      <c r="A96" s="18">
        <v>3919</v>
      </c>
      <c r="B96" s="18">
        <v>8033</v>
      </c>
      <c r="C96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6" s="32">
        <v>46030</v>
      </c>
      <c r="E96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6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6" s="18">
        <v>1</v>
      </c>
      <c r="I96" s="18">
        <f>(salidas26[[#This Row],[CANT JUEGOS ]]*salidas26[[#This Row],[PRECIO JUEGO]])</f>
        <v>150</v>
      </c>
      <c r="J96" s="18">
        <f>(salidas26[[#This Row],[CANT BARRAS]]*salidas26[[#This Row],[PRECIO BARRA]])</f>
        <v>0</v>
      </c>
      <c r="K96" s="18">
        <v>135</v>
      </c>
      <c r="L96" s="18" t="s">
        <v>496</v>
      </c>
      <c r="M96" s="18" t="s">
        <v>485</v>
      </c>
    </row>
    <row r="97" spans="1:13">
      <c r="A97">
        <v>3921</v>
      </c>
      <c r="B97">
        <v>2000</v>
      </c>
      <c r="C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97" s="32">
        <v>46030</v>
      </c>
      <c r="E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97">
        <v>1</v>
      </c>
      <c r="I97">
        <f>(salidas26[[#This Row],[CANT JUEGOS ]]*salidas26[[#This Row],[PRECIO JUEGO]])</f>
        <v>80</v>
      </c>
      <c r="J97">
        <f>(salidas26[[#This Row],[CANT BARRAS]]*salidas26[[#This Row],[PRECIO BARRA]])</f>
        <v>0</v>
      </c>
      <c r="K97">
        <v>81</v>
      </c>
      <c r="L97" t="s">
        <v>496</v>
      </c>
      <c r="M97" t="s">
        <v>485</v>
      </c>
    </row>
    <row r="98" spans="1:13">
      <c r="A98">
        <v>3922</v>
      </c>
      <c r="B98">
        <v>8033</v>
      </c>
      <c r="C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8" s="32">
        <v>46030</v>
      </c>
      <c r="E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8">
        <v>1</v>
      </c>
      <c r="I98">
        <f>(salidas26[[#This Row],[CANT JUEGOS ]]*salidas26[[#This Row],[PRECIO JUEGO]])</f>
        <v>150</v>
      </c>
      <c r="J98">
        <f>(salidas26[[#This Row],[CANT BARRAS]]*salidas26[[#This Row],[PRECIO BARRA]])</f>
        <v>0</v>
      </c>
      <c r="K98">
        <v>150</v>
      </c>
      <c r="L98" t="s">
        <v>465</v>
      </c>
      <c r="M98" t="s">
        <v>468</v>
      </c>
    </row>
    <row r="99" spans="1:13">
      <c r="A99">
        <v>3923</v>
      </c>
      <c r="B99">
        <v>1066</v>
      </c>
      <c r="C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47LA6130-12B/3V</v>
      </c>
      <c r="D99" s="32">
        <v>46031</v>
      </c>
      <c r="E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99">
        <v>1</v>
      </c>
      <c r="I99">
        <f>(salidas26[[#This Row],[CANT JUEGOS ]]*salidas26[[#This Row],[PRECIO JUEGO]])</f>
        <v>240</v>
      </c>
      <c r="J99">
        <f>(salidas26[[#This Row],[CANT BARRAS]]*salidas26[[#This Row],[PRECIO BARRA]])</f>
        <v>0</v>
      </c>
      <c r="K99">
        <v>220</v>
      </c>
      <c r="L99" t="s">
        <v>465</v>
      </c>
      <c r="M99" t="s">
        <v>466</v>
      </c>
    </row>
    <row r="100" spans="1:13">
      <c r="A100">
        <v>3924</v>
      </c>
      <c r="B100">
        <v>8057</v>
      </c>
      <c r="C1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00" s="32">
        <v>46031</v>
      </c>
      <c r="E1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0">
        <v>1</v>
      </c>
      <c r="I100">
        <f>(salidas26[[#This Row],[CANT JUEGOS ]]*salidas26[[#This Row],[PRECIO JUEGO]])</f>
        <v>200</v>
      </c>
      <c r="J100">
        <f>(salidas26[[#This Row],[CANT BARRAS]]*salidas26[[#This Row],[PRECIO BARRA]])</f>
        <v>0</v>
      </c>
      <c r="K100">
        <v>220</v>
      </c>
      <c r="L100" t="s">
        <v>465</v>
      </c>
      <c r="M100" t="s">
        <v>466</v>
      </c>
    </row>
    <row r="101" spans="1:13">
      <c r="A101">
        <v>3926</v>
      </c>
      <c r="B101">
        <v>8100</v>
      </c>
      <c r="C1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01" s="32">
        <v>46031</v>
      </c>
      <c r="E1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01">
        <v>1</v>
      </c>
      <c r="I101">
        <f>(salidas26[[#This Row],[CANT JUEGOS ]]*salidas26[[#This Row],[PRECIO JUEGO]])</f>
        <v>300</v>
      </c>
      <c r="J101">
        <f>(salidas26[[#This Row],[CANT BARRAS]]*salidas26[[#This Row],[PRECIO BARRA]])</f>
        <v>0</v>
      </c>
      <c r="K101">
        <v>300</v>
      </c>
      <c r="L101" t="s">
        <v>496</v>
      </c>
      <c r="M101" t="s">
        <v>510</v>
      </c>
    </row>
    <row r="102" spans="1:13" s="27" customFormat="1">
      <c r="A102" s="27">
        <v>3928</v>
      </c>
      <c r="B102" s="27">
        <v>8104</v>
      </c>
      <c r="C102" s="7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LT65KB527 10 B</v>
      </c>
      <c r="D102" s="32">
        <v>46031</v>
      </c>
      <c r="E102" s="7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2" s="7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2" s="27">
        <v>1</v>
      </c>
      <c r="I102" s="27">
        <f>(salidas26[[#This Row],[CANT JUEGOS ]]*salidas26[[#This Row],[PRECIO JUEGO]])</f>
        <v>400</v>
      </c>
      <c r="J102" s="27">
        <f>(salidas26[[#This Row],[CANT BARRAS]]*salidas26[[#This Row],[PRECIO BARRA]])</f>
        <v>0</v>
      </c>
      <c r="L102" s="27" t="s">
        <v>511</v>
      </c>
      <c r="M102" s="27" t="s">
        <v>490</v>
      </c>
    </row>
    <row r="103" spans="1:13">
      <c r="A103">
        <v>3929</v>
      </c>
      <c r="C103" s="26" t="s">
        <v>512</v>
      </c>
      <c r="D103" s="32">
        <v>46031</v>
      </c>
      <c r="E10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0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03" t="e">
        <f>(salidas26[[#This Row],[CANT JUEGOS ]]*salidas26[[#This Row],[PRECIO JUEGO]])</f>
        <v>#VALUE!</v>
      </c>
      <c r="J103" t="e">
        <f>(salidas26[[#This Row],[CANT BARRAS]]*salidas26[[#This Row],[PRECIO BARRA]])</f>
        <v>#VALUE!</v>
      </c>
      <c r="K103">
        <v>180</v>
      </c>
      <c r="L103" t="s">
        <v>496</v>
      </c>
      <c r="M103" t="s">
        <v>513</v>
      </c>
    </row>
    <row r="104" spans="1:13">
      <c r="A104">
        <v>3930</v>
      </c>
      <c r="B104">
        <v>1049</v>
      </c>
      <c r="C1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04" s="32">
        <v>46031</v>
      </c>
      <c r="E1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04">
        <v>1</v>
      </c>
      <c r="I104">
        <f>(salidas26[[#This Row],[CANT JUEGOS ]]*salidas26[[#This Row],[PRECIO JUEGO]])</f>
        <v>180</v>
      </c>
      <c r="J104">
        <f>(salidas26[[#This Row],[CANT BARRAS]]*salidas26[[#This Row],[PRECIO BARRA]])</f>
        <v>0</v>
      </c>
      <c r="K104">
        <v>189</v>
      </c>
      <c r="L104" t="s">
        <v>496</v>
      </c>
      <c r="M104" t="s">
        <v>509</v>
      </c>
    </row>
    <row r="105" spans="1:13">
      <c r="A105">
        <v>3931</v>
      </c>
      <c r="B105">
        <v>2064</v>
      </c>
      <c r="C1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105" s="32">
        <v>46031</v>
      </c>
      <c r="E1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105">
        <v>1</v>
      </c>
      <c r="I105">
        <f>(salidas26[[#This Row],[CANT JUEGOS ]]*salidas26[[#This Row],[PRECIO JUEGO]])</f>
        <v>250</v>
      </c>
      <c r="J105">
        <f>(salidas26[[#This Row],[CANT BARRAS]]*salidas26[[#This Row],[PRECIO BARRA]])</f>
        <v>0</v>
      </c>
      <c r="K105">
        <v>250</v>
      </c>
      <c r="L105" t="s">
        <v>465</v>
      </c>
      <c r="M105" t="s">
        <v>514</v>
      </c>
    </row>
    <row r="106" spans="1:13" s="18" customFormat="1">
      <c r="A106" s="18">
        <v>3932</v>
      </c>
      <c r="B106" s="18">
        <v>3003</v>
      </c>
      <c r="C106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06" s="75">
        <v>46031</v>
      </c>
      <c r="E106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06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6" s="18">
        <v>1</v>
      </c>
      <c r="I106" s="18">
        <f>(salidas26[[#This Row],[CANT JUEGOS ]]*salidas26[[#This Row],[PRECIO JUEGO]])</f>
        <v>160</v>
      </c>
      <c r="J106" s="18">
        <f>(salidas26[[#This Row],[CANT BARRAS]]*salidas26[[#This Row],[PRECIO BARRA]])</f>
        <v>0</v>
      </c>
      <c r="K106" s="18">
        <v>170</v>
      </c>
      <c r="L106" s="18" t="s">
        <v>496</v>
      </c>
      <c r="M106" s="18" t="s">
        <v>474</v>
      </c>
    </row>
    <row r="107" spans="1:13" s="18" customFormat="1">
      <c r="A107" s="18">
        <v>3933</v>
      </c>
      <c r="B107" s="18">
        <v>1003</v>
      </c>
      <c r="C107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107" s="75">
        <v>46031</v>
      </c>
      <c r="E107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7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7" s="18">
        <v>1</v>
      </c>
      <c r="I107" s="18">
        <f>(salidas26[[#This Row],[CANT JUEGOS ]]*salidas26[[#This Row],[PRECIO JUEGO]])</f>
        <v>80</v>
      </c>
      <c r="J107" s="18">
        <f>(salidas26[[#This Row],[CANT BARRAS]]*salidas26[[#This Row],[PRECIO BARRA]])</f>
        <v>0</v>
      </c>
      <c r="K107" s="18">
        <v>100</v>
      </c>
      <c r="L107" s="18" t="s">
        <v>496</v>
      </c>
      <c r="M107" s="18" t="s">
        <v>474</v>
      </c>
    </row>
    <row r="108" spans="1:13">
      <c r="A108">
        <v>3935</v>
      </c>
      <c r="B108">
        <v>2075</v>
      </c>
      <c r="C1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08" s="32">
        <v>46031</v>
      </c>
      <c r="E1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08">
        <v>1</v>
      </c>
      <c r="I108">
        <f>(salidas26[[#This Row],[CANT JUEGOS ]]*salidas26[[#This Row],[PRECIO JUEGO]])</f>
        <v>200</v>
      </c>
      <c r="J108">
        <f>(salidas26[[#This Row],[CANT BARRAS]]*salidas26[[#This Row],[PRECIO BARRA]])</f>
        <v>0</v>
      </c>
      <c r="K108">
        <v>200</v>
      </c>
      <c r="L108" t="s">
        <v>465</v>
      </c>
      <c r="M108" t="s">
        <v>466</v>
      </c>
    </row>
    <row r="109" spans="1:13">
      <c r="A109">
        <v>3936</v>
      </c>
      <c r="B109">
        <v>1033</v>
      </c>
      <c r="C1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09" s="32">
        <v>46031</v>
      </c>
      <c r="E1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09">
        <v>1</v>
      </c>
      <c r="I109">
        <f>(salidas26[[#This Row],[CANT JUEGOS ]]*salidas26[[#This Row],[PRECIO JUEGO]])</f>
        <v>180</v>
      </c>
      <c r="J109">
        <f>(salidas26[[#This Row],[CANT BARRAS]]*salidas26[[#This Row],[PRECIO BARRA]])</f>
        <v>0</v>
      </c>
      <c r="K109">
        <v>200</v>
      </c>
      <c r="L109" t="s">
        <v>465</v>
      </c>
      <c r="M109" t="s">
        <v>466</v>
      </c>
    </row>
    <row r="110" spans="1:13">
      <c r="A110">
        <v>3937</v>
      </c>
      <c r="B110">
        <v>3033</v>
      </c>
      <c r="C1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55B8000 14B/2B DE 8L Y 12B DE 7L</v>
      </c>
      <c r="D110" s="32">
        <v>46031</v>
      </c>
      <c r="E1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22.857142857142858</v>
      </c>
      <c r="G110">
        <v>1</v>
      </c>
      <c r="I110">
        <f>(salidas26[[#This Row],[CANT JUEGOS ]]*salidas26[[#This Row],[PRECIO JUEGO]])</f>
        <v>320</v>
      </c>
      <c r="J110">
        <f>(salidas26[[#This Row],[CANT BARRAS]]*salidas26[[#This Row],[PRECIO BARRA]])</f>
        <v>0</v>
      </c>
      <c r="K110">
        <v>380</v>
      </c>
      <c r="L110" t="s">
        <v>465</v>
      </c>
      <c r="M110" t="s">
        <v>515</v>
      </c>
    </row>
    <row r="111" spans="1:13">
      <c r="A111">
        <v>3938</v>
      </c>
      <c r="B111">
        <v>8067</v>
      </c>
      <c r="C1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11" s="32">
        <v>46031</v>
      </c>
      <c r="E1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11">
        <v>1</v>
      </c>
      <c r="I111">
        <f>(salidas26[[#This Row],[CANT JUEGOS ]]*salidas26[[#This Row],[PRECIO JUEGO]])</f>
        <v>220</v>
      </c>
      <c r="J111">
        <f>(salidas26[[#This Row],[CANT BARRAS]]*salidas26[[#This Row],[PRECIO BARRA]])</f>
        <v>0</v>
      </c>
      <c r="K111">
        <v>240</v>
      </c>
      <c r="L111" t="s">
        <v>496</v>
      </c>
      <c r="M111" t="s">
        <v>516</v>
      </c>
    </row>
    <row r="112" spans="1:13">
      <c r="A112">
        <v>3939</v>
      </c>
      <c r="B112">
        <v>8067</v>
      </c>
      <c r="C1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12" s="32">
        <v>46031</v>
      </c>
      <c r="E1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12">
        <v>1</v>
      </c>
      <c r="I112">
        <f>(salidas26[[#This Row],[CANT JUEGOS ]]*salidas26[[#This Row],[PRECIO JUEGO]])</f>
        <v>220</v>
      </c>
      <c r="J112">
        <f>(salidas26[[#This Row],[CANT BARRAS]]*salidas26[[#This Row],[PRECIO BARRA]])</f>
        <v>0</v>
      </c>
      <c r="K112">
        <v>220</v>
      </c>
      <c r="L112" t="s">
        <v>465</v>
      </c>
      <c r="M112" t="s">
        <v>477</v>
      </c>
    </row>
    <row r="113" spans="1:13">
      <c r="A113">
        <v>3940</v>
      </c>
      <c r="B113">
        <v>2097</v>
      </c>
      <c r="C1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113" s="32">
        <v>46031</v>
      </c>
      <c r="E1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13">
        <v>1</v>
      </c>
      <c r="I113">
        <f>(salidas26[[#This Row],[CANT JUEGOS ]]*salidas26[[#This Row],[PRECIO JUEGO]])</f>
        <v>320</v>
      </c>
      <c r="J113">
        <f>(salidas26[[#This Row],[CANT BARRAS]]*salidas26[[#This Row],[PRECIO BARRA]])</f>
        <v>0</v>
      </c>
      <c r="K113">
        <v>310</v>
      </c>
      <c r="L113" t="s">
        <v>465</v>
      </c>
      <c r="M113" t="s">
        <v>517</v>
      </c>
    </row>
    <row r="114" spans="1:13">
      <c r="A114">
        <v>3941</v>
      </c>
      <c r="B114">
        <v>8123</v>
      </c>
      <c r="C1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114" s="32">
        <v>46031</v>
      </c>
      <c r="E1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14">
        <v>50</v>
      </c>
      <c r="I114">
        <f>(salidas26[[#This Row],[CANT JUEGOS ]]*salidas26[[#This Row],[PRECIO JUEGO]])</f>
        <v>0</v>
      </c>
      <c r="J114">
        <f>(salidas26[[#This Row],[CANT BARRAS]]*salidas26[[#This Row],[PRECIO BARRA]])</f>
        <v>175</v>
      </c>
      <c r="K114">
        <v>175</v>
      </c>
      <c r="L114" t="s">
        <v>496</v>
      </c>
      <c r="M114" t="s">
        <v>466</v>
      </c>
    </row>
    <row r="115" spans="1:13">
      <c r="A115">
        <v>3942</v>
      </c>
      <c r="B115">
        <v>2024</v>
      </c>
      <c r="C1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15" s="32">
        <v>46031</v>
      </c>
      <c r="E1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15">
        <v>1</v>
      </c>
      <c r="I115">
        <f>(salidas26[[#This Row],[CANT JUEGOS ]]*salidas26[[#This Row],[PRECIO JUEGO]])</f>
        <v>180</v>
      </c>
      <c r="J115">
        <f>(salidas26[[#This Row],[CANT BARRAS]]*salidas26[[#This Row],[PRECIO BARRA]])</f>
        <v>0</v>
      </c>
      <c r="K115">
        <v>170</v>
      </c>
      <c r="L115" t="s">
        <v>465</v>
      </c>
      <c r="M115" t="s">
        <v>481</v>
      </c>
    </row>
    <row r="116" spans="1:13">
      <c r="A116">
        <v>3943</v>
      </c>
      <c r="C116" s="26" t="s">
        <v>518</v>
      </c>
      <c r="D116" s="32">
        <v>46031</v>
      </c>
      <c r="E11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1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16">
        <v>1</v>
      </c>
      <c r="I116" t="e">
        <f>(salidas26[[#This Row],[CANT JUEGOS ]]*salidas26[[#This Row],[PRECIO JUEGO]])</f>
        <v>#VALUE!</v>
      </c>
      <c r="J116" t="e">
        <f>(salidas26[[#This Row],[CANT BARRAS]]*salidas26[[#This Row],[PRECIO BARRA]])</f>
        <v>#VALUE!</v>
      </c>
      <c r="K116">
        <v>80</v>
      </c>
      <c r="L116" t="s">
        <v>496</v>
      </c>
      <c r="M116" t="s">
        <v>519</v>
      </c>
    </row>
    <row r="117" spans="1:13">
      <c r="A117">
        <v>3944</v>
      </c>
      <c r="B117">
        <v>8033</v>
      </c>
      <c r="C1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17" s="32">
        <v>46032</v>
      </c>
      <c r="E1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7">
        <v>1</v>
      </c>
      <c r="I117">
        <f>(salidas26[[#This Row],[CANT JUEGOS ]]*salidas26[[#This Row],[PRECIO JUEGO]])</f>
        <v>150</v>
      </c>
      <c r="J117">
        <f>(salidas26[[#This Row],[CANT BARRAS]]*salidas26[[#This Row],[PRECIO BARRA]])</f>
        <v>0</v>
      </c>
      <c r="K117">
        <v>150</v>
      </c>
      <c r="L117" t="s">
        <v>465</v>
      </c>
      <c r="M117" t="s">
        <v>520</v>
      </c>
    </row>
    <row r="118" spans="1:13">
      <c r="A118">
        <v>3945</v>
      </c>
      <c r="B118">
        <v>8130</v>
      </c>
      <c r="C1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118" s="32">
        <v>46032</v>
      </c>
      <c r="E1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18">
        <v>30</v>
      </c>
      <c r="I118">
        <f>(salidas26[[#This Row],[CANT JUEGOS ]]*salidas26[[#This Row],[PRECIO JUEGO]])</f>
        <v>0</v>
      </c>
      <c r="J118">
        <f>(salidas26[[#This Row],[CANT BARRAS]]*salidas26[[#This Row],[PRECIO BARRA]])</f>
        <v>105</v>
      </c>
      <c r="K118">
        <v>100</v>
      </c>
      <c r="L118" t="s">
        <v>465</v>
      </c>
      <c r="M118" t="s">
        <v>466</v>
      </c>
    </row>
    <row r="119" spans="1:13" s="18" customFormat="1">
      <c r="A119" s="18">
        <v>3946</v>
      </c>
      <c r="B119" s="18">
        <v>6016</v>
      </c>
      <c r="C119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19" s="75">
        <v>46032</v>
      </c>
      <c r="E119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19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9" s="18">
        <v>1</v>
      </c>
      <c r="I119" s="18">
        <f>(salidas26[[#This Row],[CANT JUEGOS ]]*salidas26[[#This Row],[PRECIO JUEGO]])</f>
        <v>240</v>
      </c>
      <c r="J119" s="18">
        <f>(salidas26[[#This Row],[CANT BARRAS]]*salidas26[[#This Row],[PRECIO BARRA]])</f>
        <v>0</v>
      </c>
      <c r="K119" s="18">
        <v>192</v>
      </c>
      <c r="L119" s="18" t="s">
        <v>496</v>
      </c>
      <c r="M119" s="18" t="s">
        <v>490</v>
      </c>
    </row>
    <row r="120" spans="1:13">
      <c r="A120">
        <v>3947</v>
      </c>
      <c r="B120">
        <v>2097</v>
      </c>
      <c r="C1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120" s="32">
        <v>46032</v>
      </c>
      <c r="E1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20">
        <v>1</v>
      </c>
      <c r="I120">
        <f>(salidas26[[#This Row],[CANT JUEGOS ]]*salidas26[[#This Row],[PRECIO JUEGO]])</f>
        <v>320</v>
      </c>
      <c r="J120">
        <f>(salidas26[[#This Row],[CANT BARRAS]]*salidas26[[#This Row],[PRECIO BARRA]])</f>
        <v>0</v>
      </c>
      <c r="K120">
        <v>340</v>
      </c>
      <c r="L120" t="s">
        <v>496</v>
      </c>
      <c r="M120" t="s">
        <v>521</v>
      </c>
    </row>
    <row r="121" spans="1:13">
      <c r="A121">
        <v>3948</v>
      </c>
      <c r="B121">
        <v>8030</v>
      </c>
      <c r="C1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TCL 10L/6V/2B DIF 180º</v>
      </c>
      <c r="D121" s="32">
        <v>46032</v>
      </c>
      <c r="E1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1">
        <v>1</v>
      </c>
      <c r="I121">
        <f>(salidas26[[#This Row],[CANT JUEGOS ]]*salidas26[[#This Row],[PRECIO JUEGO]])</f>
        <v>150</v>
      </c>
      <c r="J121">
        <f>(salidas26[[#This Row],[CANT BARRAS]]*salidas26[[#This Row],[PRECIO BARRA]])</f>
        <v>0</v>
      </c>
      <c r="K121">
        <v>120</v>
      </c>
      <c r="L121" t="s">
        <v>465</v>
      </c>
      <c r="M121" t="s">
        <v>522</v>
      </c>
    </row>
    <row r="122" spans="1:13">
      <c r="A122">
        <v>3949</v>
      </c>
      <c r="B122">
        <v>4010</v>
      </c>
      <c r="C1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22" s="32">
        <v>46032</v>
      </c>
      <c r="E1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2">
        <v>1</v>
      </c>
      <c r="I122">
        <f>(salidas26[[#This Row],[CANT JUEGOS ]]*salidas26[[#This Row],[PRECIO JUEGO]])</f>
        <v>160</v>
      </c>
      <c r="J122">
        <f>(salidas26[[#This Row],[CANT BARRAS]]*salidas26[[#This Row],[PRECIO BARRA]])</f>
        <v>0</v>
      </c>
      <c r="K122">
        <v>170</v>
      </c>
      <c r="L122" t="s">
        <v>465</v>
      </c>
      <c r="M122" t="s">
        <v>523</v>
      </c>
    </row>
    <row r="123" spans="1:13">
      <c r="A123">
        <v>3950</v>
      </c>
      <c r="B123">
        <v>1096</v>
      </c>
      <c r="C1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49LH6000 /8B</v>
      </c>
      <c r="D123" s="32">
        <v>46032</v>
      </c>
      <c r="E1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23">
        <v>1</v>
      </c>
      <c r="I123">
        <f>(salidas26[[#This Row],[CANT JUEGOS ]]*salidas26[[#This Row],[PRECIO JUEGO]])</f>
        <v>260</v>
      </c>
      <c r="J123">
        <f>(salidas26[[#This Row],[CANT BARRAS]]*salidas26[[#This Row],[PRECIO BARRA]])</f>
        <v>0</v>
      </c>
      <c r="K123">
        <v>224</v>
      </c>
      <c r="L123" t="s">
        <v>465</v>
      </c>
      <c r="M123" t="s">
        <v>497</v>
      </c>
    </row>
    <row r="124" spans="1:13">
      <c r="A124">
        <v>3951</v>
      </c>
      <c r="B124">
        <v>8056</v>
      </c>
      <c r="C1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24" s="32">
        <v>46032</v>
      </c>
      <c r="E1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4">
        <v>1</v>
      </c>
      <c r="I124">
        <f>(salidas26[[#This Row],[CANT JUEGOS ]]*salidas26[[#This Row],[PRECIO JUEGO]])</f>
        <v>180</v>
      </c>
      <c r="J124">
        <f>(salidas26[[#This Row],[CANT BARRAS]]*salidas26[[#This Row],[PRECIO BARRA]])</f>
        <v>0</v>
      </c>
      <c r="K124">
        <v>160</v>
      </c>
      <c r="L124" t="s">
        <v>465</v>
      </c>
      <c r="M124" t="s">
        <v>497</v>
      </c>
    </row>
    <row r="125" spans="1:13">
      <c r="A125">
        <v>3952</v>
      </c>
      <c r="B125">
        <v>8055</v>
      </c>
      <c r="C1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25" s="32">
        <v>46032</v>
      </c>
      <c r="E1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5">
        <v>1</v>
      </c>
      <c r="I125">
        <f>(salidas26[[#This Row],[CANT JUEGOS ]]*salidas26[[#This Row],[PRECIO JUEGO]])</f>
        <v>180</v>
      </c>
      <c r="J125">
        <f>(salidas26[[#This Row],[CANT BARRAS]]*salidas26[[#This Row],[PRECIO BARRA]])</f>
        <v>0</v>
      </c>
      <c r="K125">
        <v>160</v>
      </c>
      <c r="L125" t="s">
        <v>465</v>
      </c>
      <c r="M125" t="s">
        <v>497</v>
      </c>
    </row>
    <row r="126" spans="1:13">
      <c r="A126">
        <v>3953</v>
      </c>
      <c r="B126">
        <v>8069</v>
      </c>
      <c r="C1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26" s="32">
        <v>46032</v>
      </c>
      <c r="E1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26">
        <v>1</v>
      </c>
      <c r="I126">
        <f>(salidas26[[#This Row],[CANT JUEGOS ]]*salidas26[[#This Row],[PRECIO JUEGO]])</f>
        <v>220</v>
      </c>
      <c r="J126">
        <f>(salidas26[[#This Row],[CANT BARRAS]]*salidas26[[#This Row],[PRECIO BARRA]])</f>
        <v>0</v>
      </c>
      <c r="K126">
        <v>192</v>
      </c>
      <c r="L126" t="s">
        <v>465</v>
      </c>
      <c r="M126" t="s">
        <v>497</v>
      </c>
    </row>
    <row r="127" spans="1:13">
      <c r="A127">
        <v>3954</v>
      </c>
      <c r="B127">
        <v>2095</v>
      </c>
      <c r="C1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127" s="32">
        <v>46032</v>
      </c>
      <c r="E1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27">
        <v>1</v>
      </c>
      <c r="I127">
        <f>(salidas26[[#This Row],[CANT JUEGOS ]]*salidas26[[#This Row],[PRECIO JUEGO]])</f>
        <v>250</v>
      </c>
      <c r="J127">
        <f>(salidas26[[#This Row],[CANT BARRAS]]*salidas26[[#This Row],[PRECIO BARRA]])</f>
        <v>0</v>
      </c>
      <c r="K127">
        <v>240</v>
      </c>
      <c r="L127" t="s">
        <v>465</v>
      </c>
      <c r="M127" t="s">
        <v>497</v>
      </c>
    </row>
    <row r="128" spans="1:13">
      <c r="A128">
        <v>3955</v>
      </c>
      <c r="B128">
        <v>1060</v>
      </c>
      <c r="C1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43LH-LF 5100/6B</v>
      </c>
      <c r="D128" s="32">
        <v>46032</v>
      </c>
      <c r="E1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8">
        <v>1</v>
      </c>
      <c r="I128">
        <f>(salidas26[[#This Row],[CANT JUEGOS ]]*salidas26[[#This Row],[PRECIO JUEGO]])</f>
        <v>180</v>
      </c>
      <c r="J128">
        <f>(salidas26[[#This Row],[CANT BARRAS]]*salidas26[[#This Row],[PRECIO BARRA]])</f>
        <v>0</v>
      </c>
      <c r="K128">
        <v>180</v>
      </c>
      <c r="L128" t="s">
        <v>496</v>
      </c>
      <c r="M128" t="s">
        <v>524</v>
      </c>
    </row>
    <row r="129" spans="1:13">
      <c r="A129">
        <v>3957</v>
      </c>
      <c r="B129">
        <v>8015</v>
      </c>
      <c r="C1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29" s="32">
        <v>46032</v>
      </c>
      <c r="E1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">
        <v>2</v>
      </c>
      <c r="I129">
        <f>(salidas26[[#This Row],[CANT JUEGOS ]]*salidas26[[#This Row],[PRECIO JUEGO]])</f>
        <v>120</v>
      </c>
      <c r="J129">
        <f>(salidas26[[#This Row],[CANT BARRAS]]*salidas26[[#This Row],[PRECIO BARRA]])</f>
        <v>0</v>
      </c>
      <c r="K129">
        <v>100</v>
      </c>
      <c r="L129" t="s">
        <v>496</v>
      </c>
      <c r="M129" t="s">
        <v>525</v>
      </c>
    </row>
    <row r="130" spans="1:13">
      <c r="A130">
        <v>3958</v>
      </c>
      <c r="B130">
        <v>6000</v>
      </c>
      <c r="C1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30" s="32">
        <v>46032</v>
      </c>
      <c r="E1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0">
        <v>2</v>
      </c>
      <c r="I130">
        <f>(salidas26[[#This Row],[CANT JUEGOS ]]*salidas26[[#This Row],[PRECIO JUEGO]])</f>
        <v>120</v>
      </c>
      <c r="J130">
        <f>(salidas26[[#This Row],[CANT BARRAS]]*salidas26[[#This Row],[PRECIO BARRA]])</f>
        <v>0</v>
      </c>
      <c r="K130">
        <v>120</v>
      </c>
      <c r="L130" t="s">
        <v>496</v>
      </c>
      <c r="M130" t="s">
        <v>525</v>
      </c>
    </row>
    <row r="131" spans="1:13">
      <c r="A131">
        <v>3959</v>
      </c>
      <c r="B131">
        <v>8033</v>
      </c>
      <c r="C1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31" s="32">
        <v>46032</v>
      </c>
      <c r="E1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1">
        <v>1</v>
      </c>
      <c r="I131">
        <f>(salidas26[[#This Row],[CANT JUEGOS ]]*salidas26[[#This Row],[PRECIO JUEGO]])</f>
        <v>150</v>
      </c>
      <c r="J131">
        <f>(salidas26[[#This Row],[CANT BARRAS]]*salidas26[[#This Row],[PRECIO BARRA]])</f>
        <v>0</v>
      </c>
      <c r="K131">
        <v>150</v>
      </c>
      <c r="L131" t="s">
        <v>465</v>
      </c>
      <c r="M131" t="s">
        <v>481</v>
      </c>
    </row>
    <row r="132" spans="1:13">
      <c r="A132">
        <v>3960</v>
      </c>
      <c r="B132">
        <v>6022</v>
      </c>
      <c r="C1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32" s="32">
        <v>46032</v>
      </c>
      <c r="E1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32">
        <v>1</v>
      </c>
      <c r="I132">
        <f>(salidas26[[#This Row],[CANT JUEGOS ]]*salidas26[[#This Row],[PRECIO JUEGO]])</f>
        <v>350</v>
      </c>
      <c r="J132">
        <f>(salidas26[[#This Row],[CANT BARRAS]]*salidas26[[#This Row],[PRECIO BARRA]])</f>
        <v>0</v>
      </c>
      <c r="K132">
        <v>350</v>
      </c>
      <c r="L132" t="s">
        <v>465</v>
      </c>
      <c r="M132" t="s">
        <v>526</v>
      </c>
    </row>
    <row r="133" spans="1:13">
      <c r="A133">
        <v>3961</v>
      </c>
      <c r="B133">
        <v>2027</v>
      </c>
      <c r="C1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33" s="32">
        <v>46032</v>
      </c>
      <c r="E1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33">
        <v>1</v>
      </c>
      <c r="I133">
        <f>(salidas26[[#This Row],[CANT JUEGOS ]]*salidas26[[#This Row],[PRECIO JUEGO]])</f>
        <v>180</v>
      </c>
      <c r="J133">
        <f>(salidas26[[#This Row],[CANT BARRAS]]*salidas26[[#This Row],[PRECIO BARRA]])</f>
        <v>0</v>
      </c>
      <c r="K133">
        <v>180</v>
      </c>
      <c r="L133" t="s">
        <v>496</v>
      </c>
      <c r="M133" t="s">
        <v>474</v>
      </c>
    </row>
    <row r="134" spans="1:13">
      <c r="A134">
        <v>3962</v>
      </c>
      <c r="B134">
        <v>1033</v>
      </c>
      <c r="C1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34" s="32">
        <v>46034</v>
      </c>
      <c r="E1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34">
        <v>1</v>
      </c>
      <c r="I134">
        <f>(salidas26[[#This Row],[CANT JUEGOS ]]*salidas26[[#This Row],[PRECIO JUEGO]])</f>
        <v>180</v>
      </c>
      <c r="J134">
        <f>(salidas26[[#This Row],[CANT BARRAS]]*salidas26[[#This Row],[PRECIO BARRA]])</f>
        <v>0</v>
      </c>
      <c r="K134">
        <v>200</v>
      </c>
      <c r="L134" t="s">
        <v>465</v>
      </c>
      <c r="M134" t="s">
        <v>466</v>
      </c>
    </row>
    <row r="135" spans="1:13">
      <c r="A135">
        <v>3963</v>
      </c>
      <c r="B135">
        <v>2090</v>
      </c>
      <c r="C1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135" s="32">
        <v>46034</v>
      </c>
      <c r="E1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135">
        <v>1</v>
      </c>
      <c r="I135">
        <f>(salidas26[[#This Row],[CANT JUEGOS ]]*salidas26[[#This Row],[PRECIO JUEGO]])</f>
        <v>350</v>
      </c>
      <c r="J135">
        <f>(salidas26[[#This Row],[CANT BARRAS]]*salidas26[[#This Row],[PRECIO BARRA]])</f>
        <v>0</v>
      </c>
      <c r="K135">
        <v>350</v>
      </c>
      <c r="L135" t="s">
        <v>465</v>
      </c>
      <c r="M135" t="s">
        <v>527</v>
      </c>
    </row>
    <row r="136" spans="1:13">
      <c r="A136">
        <v>3965</v>
      </c>
      <c r="B136">
        <v>1049</v>
      </c>
      <c r="C1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36" s="32">
        <v>46034</v>
      </c>
      <c r="E1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6">
        <v>2</v>
      </c>
      <c r="I136">
        <f>(salidas26[[#This Row],[CANT JUEGOS ]]*salidas26[[#This Row],[PRECIO JUEGO]])</f>
        <v>360</v>
      </c>
      <c r="J136">
        <f>(salidas26[[#This Row],[CANT BARRAS]]*salidas26[[#This Row],[PRECIO BARRA]])</f>
        <v>0</v>
      </c>
      <c r="K136">
        <v>320</v>
      </c>
      <c r="L136" t="s">
        <v>465</v>
      </c>
      <c r="M136" t="s">
        <v>497</v>
      </c>
    </row>
    <row r="137" spans="1:13">
      <c r="A137">
        <v>3966</v>
      </c>
      <c r="B137">
        <v>8021</v>
      </c>
      <c r="C1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37" s="32">
        <v>46034</v>
      </c>
      <c r="E1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7">
        <v>2</v>
      </c>
      <c r="I137">
        <f>(salidas26[[#This Row],[CANT JUEGOS ]]*salidas26[[#This Row],[PRECIO JUEGO]])</f>
        <v>120</v>
      </c>
      <c r="J137">
        <f>(salidas26[[#This Row],[CANT BARRAS]]*salidas26[[#This Row],[PRECIO BARRA]])</f>
        <v>0</v>
      </c>
      <c r="K137">
        <v>112</v>
      </c>
      <c r="L137" t="s">
        <v>465</v>
      </c>
      <c r="M137" t="s">
        <v>497</v>
      </c>
    </row>
    <row r="138" spans="1:13">
      <c r="A138">
        <v>3967</v>
      </c>
      <c r="B138">
        <v>5030</v>
      </c>
      <c r="C1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KDL-49X705/8B</v>
      </c>
      <c r="D138" s="32">
        <v>46034</v>
      </c>
      <c r="E1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8">
        <v>1</v>
      </c>
      <c r="I138">
        <f>(salidas26[[#This Row],[CANT JUEGOS ]]*salidas26[[#This Row],[PRECIO JUEGO]])</f>
        <v>240</v>
      </c>
      <c r="J138">
        <f>(salidas26[[#This Row],[CANT BARRAS]]*salidas26[[#This Row],[PRECIO BARRA]])</f>
        <v>0</v>
      </c>
      <c r="K138">
        <v>250</v>
      </c>
      <c r="L138" t="s">
        <v>496</v>
      </c>
      <c r="M138" t="s">
        <v>528</v>
      </c>
    </row>
    <row r="139" spans="1:13" s="18" customFormat="1">
      <c r="A139" s="18">
        <v>3968</v>
      </c>
      <c r="B139" s="18">
        <v>8033</v>
      </c>
      <c r="C139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39" s="75">
        <v>46034</v>
      </c>
      <c r="E139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9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9" s="18">
        <v>1</v>
      </c>
      <c r="I139" s="18">
        <f>(salidas26[[#This Row],[CANT JUEGOS ]]*salidas26[[#This Row],[PRECIO JUEGO]])</f>
        <v>150</v>
      </c>
      <c r="J139" s="18">
        <f>(salidas26[[#This Row],[CANT BARRAS]]*salidas26[[#This Row],[PRECIO BARRA]])</f>
        <v>0</v>
      </c>
      <c r="K139" s="18">
        <v>144</v>
      </c>
      <c r="L139" s="18" t="s">
        <v>496</v>
      </c>
      <c r="M139" s="18" t="s">
        <v>509</v>
      </c>
    </row>
    <row r="140" spans="1:13">
      <c r="A140">
        <v>3969</v>
      </c>
      <c r="B140">
        <v>6009</v>
      </c>
      <c r="C1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40" s="32">
        <v>46034</v>
      </c>
      <c r="E1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40">
        <v>6</v>
      </c>
      <c r="I140">
        <f>(salidas26[[#This Row],[CANT JUEGOS ]]*salidas26[[#This Row],[PRECIO JUEGO]])</f>
        <v>0</v>
      </c>
      <c r="J140">
        <f>(salidas26[[#This Row],[CANT BARRAS]]*salidas26[[#This Row],[PRECIO BARRA]])</f>
        <v>135</v>
      </c>
      <c r="K140">
        <v>160</v>
      </c>
      <c r="L140" t="s">
        <v>465</v>
      </c>
      <c r="M140" t="s">
        <v>529</v>
      </c>
    </row>
    <row r="141" spans="1:13" s="91" customFormat="1">
      <c r="A141" s="91">
        <v>3970</v>
      </c>
      <c r="B141" s="91">
        <v>2089</v>
      </c>
      <c r="C141" s="9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UN58TU7100 8B/6L 3V-58TU7000</v>
      </c>
      <c r="D141" s="92">
        <v>46034</v>
      </c>
      <c r="E141" s="9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41" s="9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41" s="91">
        <v>1</v>
      </c>
      <c r="I141" s="91">
        <f>(salidas26[[#This Row],[CANT JUEGOS ]]*salidas26[[#This Row],[PRECIO JUEGO]])</f>
        <v>320</v>
      </c>
      <c r="J141" s="91">
        <f>(salidas26[[#This Row],[CANT BARRAS]]*salidas26[[#This Row],[PRECIO BARRA]])</f>
        <v>0</v>
      </c>
      <c r="K141" s="91">
        <v>320</v>
      </c>
      <c r="L141" s="91" t="s">
        <v>465</v>
      </c>
      <c r="M141" s="91" t="s">
        <v>495</v>
      </c>
    </row>
    <row r="142" spans="1:13">
      <c r="A142">
        <v>3971</v>
      </c>
      <c r="B142">
        <v>7000</v>
      </c>
      <c r="C1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42" s="32">
        <v>46034</v>
      </c>
      <c r="E1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2">
        <v>1</v>
      </c>
      <c r="I142">
        <f>(salidas26[[#This Row],[CANT JUEGOS ]]*salidas26[[#This Row],[PRECIO JUEGO]])</f>
        <v>60</v>
      </c>
      <c r="J142">
        <f>(salidas26[[#This Row],[CANT BARRAS]]*salidas26[[#This Row],[PRECIO BARRA]])</f>
        <v>0</v>
      </c>
      <c r="K142">
        <v>50</v>
      </c>
      <c r="L142" t="s">
        <v>496</v>
      </c>
      <c r="M142" t="s">
        <v>530</v>
      </c>
    </row>
    <row r="143" spans="1:13">
      <c r="A143">
        <v>3972</v>
      </c>
      <c r="B143">
        <v>3018</v>
      </c>
      <c r="C1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HAIER 9B/5L</v>
      </c>
      <c r="D143" s="32">
        <v>46034</v>
      </c>
      <c r="E1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43">
        <v>1</v>
      </c>
      <c r="I143">
        <f>(salidas26[[#This Row],[CANT JUEGOS ]]*salidas26[[#This Row],[PRECIO JUEGO]])</f>
        <v>250</v>
      </c>
      <c r="J143">
        <f>(salidas26[[#This Row],[CANT BARRAS]]*salidas26[[#This Row],[PRECIO BARRA]])</f>
        <v>0</v>
      </c>
      <c r="K143">
        <v>240</v>
      </c>
      <c r="L143" t="s">
        <v>496</v>
      </c>
      <c r="M143" t="s">
        <v>530</v>
      </c>
    </row>
    <row r="144" spans="1:13">
      <c r="A144">
        <v>3973</v>
      </c>
      <c r="B144">
        <v>2036</v>
      </c>
      <c r="C1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44" s="32">
        <v>46034</v>
      </c>
      <c r="E1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44">
        <v>1</v>
      </c>
      <c r="I144">
        <f>(salidas26[[#This Row],[CANT JUEGOS ]]*salidas26[[#This Row],[PRECIO JUEGO]])</f>
        <v>220</v>
      </c>
      <c r="J144">
        <f>(salidas26[[#This Row],[CANT BARRAS]]*salidas26[[#This Row],[PRECIO BARRA]])</f>
        <v>0</v>
      </c>
      <c r="K144">
        <v>210</v>
      </c>
      <c r="L144" t="s">
        <v>496</v>
      </c>
      <c r="M144" t="s">
        <v>530</v>
      </c>
    </row>
    <row r="145" spans="1:13">
      <c r="A145">
        <v>3974</v>
      </c>
      <c r="B145">
        <v>8057</v>
      </c>
      <c r="C1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45" s="32">
        <v>46034</v>
      </c>
      <c r="E1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5">
        <v>1</v>
      </c>
      <c r="I145">
        <f>(salidas26[[#This Row],[CANT JUEGOS ]]*salidas26[[#This Row],[PRECIO JUEGO]])</f>
        <v>200</v>
      </c>
      <c r="J145">
        <f>(salidas26[[#This Row],[CANT BARRAS]]*salidas26[[#This Row],[PRECIO BARRA]])</f>
        <v>0</v>
      </c>
      <c r="K145">
        <v>200</v>
      </c>
      <c r="L145" t="s">
        <v>496</v>
      </c>
      <c r="M145" t="s">
        <v>530</v>
      </c>
    </row>
    <row r="146" spans="1:13">
      <c r="A146">
        <v>3975</v>
      </c>
      <c r="B146">
        <v>1033</v>
      </c>
      <c r="C1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46" s="32">
        <v>46034</v>
      </c>
      <c r="E1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46">
        <v>1</v>
      </c>
      <c r="I146">
        <f>(salidas26[[#This Row],[CANT JUEGOS ]]*salidas26[[#This Row],[PRECIO JUEGO]])</f>
        <v>180</v>
      </c>
      <c r="J146">
        <f>(salidas26[[#This Row],[CANT BARRAS]]*salidas26[[#This Row],[PRECIO BARRA]])</f>
        <v>0</v>
      </c>
      <c r="K146">
        <v>180</v>
      </c>
      <c r="L146" t="s">
        <v>465</v>
      </c>
      <c r="M146" t="s">
        <v>520</v>
      </c>
    </row>
    <row r="147" spans="1:13">
      <c r="A147">
        <v>3976</v>
      </c>
      <c r="B147">
        <v>1012</v>
      </c>
      <c r="C1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47" s="32">
        <v>46034</v>
      </c>
      <c r="E1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7">
        <v>1</v>
      </c>
      <c r="I147">
        <f>(salidas26[[#This Row],[CANT JUEGOS ]]*salidas26[[#This Row],[PRECIO JUEGO]])</f>
        <v>90</v>
      </c>
      <c r="J147">
        <f>(salidas26[[#This Row],[CANT BARRAS]]*salidas26[[#This Row],[PRECIO BARRA]])</f>
        <v>0</v>
      </c>
      <c r="K147">
        <v>90</v>
      </c>
      <c r="L147" t="s">
        <v>496</v>
      </c>
      <c r="M147" t="s">
        <v>468</v>
      </c>
    </row>
    <row r="148" spans="1:13" s="18" customFormat="1">
      <c r="A148" s="18">
        <v>3977</v>
      </c>
      <c r="B148" s="18">
        <v>1036</v>
      </c>
      <c r="C148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48" s="75">
        <v>46034</v>
      </c>
      <c r="E148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8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48" s="18">
        <v>1</v>
      </c>
      <c r="I148" s="18">
        <f>(salidas26[[#This Row],[CANT JUEGOS ]]*salidas26[[#This Row],[PRECIO JUEGO]])</f>
        <v>180</v>
      </c>
      <c r="J148" s="18">
        <f>(salidas26[[#This Row],[CANT BARRAS]]*salidas26[[#This Row],[PRECIO BARRA]])</f>
        <v>0</v>
      </c>
      <c r="K148" s="18">
        <v>180</v>
      </c>
      <c r="L148" s="18" t="s">
        <v>496</v>
      </c>
      <c r="M148" s="18" t="s">
        <v>531</v>
      </c>
    </row>
    <row r="149" spans="1:13">
      <c r="A149">
        <v>3978</v>
      </c>
      <c r="B149">
        <v>8055</v>
      </c>
      <c r="C1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49" s="32">
        <v>46034</v>
      </c>
      <c r="E1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9">
        <v>1</v>
      </c>
      <c r="I149">
        <f>(salidas26[[#This Row],[CANT JUEGOS ]]*salidas26[[#This Row],[PRECIO JUEGO]])</f>
        <v>180</v>
      </c>
      <c r="J149">
        <f>(salidas26[[#This Row],[CANT BARRAS]]*salidas26[[#This Row],[PRECIO BARRA]])</f>
        <v>0</v>
      </c>
      <c r="K149">
        <v>160</v>
      </c>
      <c r="L149" t="s">
        <v>465</v>
      </c>
      <c r="M149" t="s">
        <v>532</v>
      </c>
    </row>
    <row r="150" spans="1:13">
      <c r="A150">
        <v>3982</v>
      </c>
      <c r="B150">
        <v>2033</v>
      </c>
      <c r="C1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UN46F5000 - F6400 /16B</v>
      </c>
      <c r="D150" s="32">
        <v>46034</v>
      </c>
      <c r="E1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21.875</v>
      </c>
      <c r="G150">
        <v>1</v>
      </c>
      <c r="I150">
        <f>(salidas26[[#This Row],[CANT JUEGOS ]]*salidas26[[#This Row],[PRECIO JUEGO]])</f>
        <v>350</v>
      </c>
      <c r="J150">
        <f>(salidas26[[#This Row],[CANT BARRAS]]*salidas26[[#This Row],[PRECIO BARRA]])</f>
        <v>0</v>
      </c>
      <c r="K150">
        <v>320</v>
      </c>
      <c r="L150" t="s">
        <v>496</v>
      </c>
      <c r="M150" t="s">
        <v>533</v>
      </c>
    </row>
    <row r="151" spans="1:13" s="91" customFormat="1">
      <c r="A151" s="91">
        <v>3983</v>
      </c>
      <c r="B151" s="91">
        <v>6022</v>
      </c>
      <c r="C151" s="9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51" s="92">
        <v>46034</v>
      </c>
      <c r="E151" s="9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1" s="9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51" s="91">
        <v>1</v>
      </c>
      <c r="I151" s="91">
        <f>(salidas26[[#This Row],[CANT JUEGOS ]]*salidas26[[#This Row],[PRECIO JUEGO]])</f>
        <v>350</v>
      </c>
      <c r="J151" s="91">
        <f>(salidas26[[#This Row],[CANT BARRAS]]*salidas26[[#This Row],[PRECIO BARRA]])</f>
        <v>0</v>
      </c>
      <c r="K151" s="91">
        <v>350</v>
      </c>
      <c r="L151" s="91" t="s">
        <v>465</v>
      </c>
      <c r="M151" s="91" t="s">
        <v>495</v>
      </c>
    </row>
    <row r="152" spans="1:13">
      <c r="A152">
        <v>3984</v>
      </c>
      <c r="B152">
        <v>4009</v>
      </c>
      <c r="C1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52" s="32">
        <v>46035</v>
      </c>
      <c r="E1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52">
        <v>1</v>
      </c>
      <c r="I152">
        <f>(salidas26[[#This Row],[CANT JUEGOS ]]*salidas26[[#This Row],[PRECIO JUEGO]])</f>
        <v>160</v>
      </c>
      <c r="J152">
        <f>(salidas26[[#This Row],[CANT BARRAS]]*salidas26[[#This Row],[PRECIO BARRA]])</f>
        <v>0</v>
      </c>
      <c r="K152">
        <v>150</v>
      </c>
      <c r="L152" t="s">
        <v>465</v>
      </c>
      <c r="M152" t="s">
        <v>530</v>
      </c>
    </row>
    <row r="153" spans="1:13">
      <c r="A153">
        <v>3985</v>
      </c>
      <c r="B153">
        <v>2064</v>
      </c>
      <c r="C1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153" s="32">
        <v>46035</v>
      </c>
      <c r="E1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153">
        <v>1</v>
      </c>
      <c r="I153">
        <f>(salidas26[[#This Row],[CANT JUEGOS ]]*salidas26[[#This Row],[PRECIO JUEGO]])</f>
        <v>250</v>
      </c>
      <c r="J153">
        <f>(salidas26[[#This Row],[CANT BARRAS]]*salidas26[[#This Row],[PRECIO BARRA]])</f>
        <v>0</v>
      </c>
      <c r="K153">
        <v>240</v>
      </c>
      <c r="L153" t="s">
        <v>465</v>
      </c>
      <c r="M153" t="s">
        <v>491</v>
      </c>
    </row>
    <row r="154" spans="1:13">
      <c r="A154">
        <v>3986</v>
      </c>
      <c r="B154">
        <v>6131</v>
      </c>
      <c r="C1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154" s="32">
        <v>46035</v>
      </c>
      <c r="E1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154">
        <v>12</v>
      </c>
      <c r="I154">
        <f>(salidas26[[#This Row],[CANT JUEGOS ]]*salidas26[[#This Row],[PRECIO JUEGO]])</f>
        <v>0</v>
      </c>
      <c r="J154">
        <f>(salidas26[[#This Row],[CANT BARRAS]]*salidas26[[#This Row],[PRECIO BARRA]])</f>
        <v>400</v>
      </c>
      <c r="K154">
        <v>495</v>
      </c>
      <c r="L154" t="s">
        <v>465</v>
      </c>
      <c r="M154" t="s">
        <v>534</v>
      </c>
    </row>
    <row r="155" spans="1:13">
      <c r="A155">
        <v>3987</v>
      </c>
      <c r="B155">
        <v>6006</v>
      </c>
      <c r="C1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155" s="32">
        <v>46035</v>
      </c>
      <c r="E1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1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155">
        <v>1</v>
      </c>
      <c r="I155">
        <f>(salidas26[[#This Row],[CANT JUEGOS ]]*salidas26[[#This Row],[PRECIO JUEGO]])</f>
        <v>140</v>
      </c>
      <c r="J155">
        <f>(salidas26[[#This Row],[CANT BARRAS]]*salidas26[[#This Row],[PRECIO BARRA]])</f>
        <v>0</v>
      </c>
      <c r="K155">
        <v>150</v>
      </c>
      <c r="L155" t="s">
        <v>465</v>
      </c>
      <c r="M155" t="s">
        <v>481</v>
      </c>
    </row>
    <row r="156" spans="1:13">
      <c r="A156">
        <v>3988</v>
      </c>
      <c r="B156">
        <v>1121</v>
      </c>
      <c r="C1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LM8600</v>
      </c>
      <c r="D156" s="32">
        <v>46035</v>
      </c>
      <c r="E1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56">
        <v>1</v>
      </c>
      <c r="I156">
        <f>(salidas26[[#This Row],[CANT JUEGOS ]]*salidas26[[#This Row],[PRECIO JUEGO]])</f>
        <v>300</v>
      </c>
      <c r="J156">
        <f>(salidas26[[#This Row],[CANT BARRAS]]*salidas26[[#This Row],[PRECIO BARRA]])</f>
        <v>0</v>
      </c>
      <c r="K156">
        <v>280</v>
      </c>
      <c r="L156" t="s">
        <v>465</v>
      </c>
      <c r="M156" t="s">
        <v>497</v>
      </c>
    </row>
    <row r="157" spans="1:13">
      <c r="A157">
        <v>3989</v>
      </c>
      <c r="B157">
        <v>2018</v>
      </c>
      <c r="C1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UN40FH6203 3B/2C/1R/13-13-13</v>
      </c>
      <c r="D157" s="32">
        <v>46035</v>
      </c>
      <c r="E1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7">
        <v>1</v>
      </c>
      <c r="I157">
        <f>(salidas26[[#This Row],[CANT JUEGOS ]]*salidas26[[#This Row],[PRECIO JUEGO]])</f>
        <v>160</v>
      </c>
      <c r="J157">
        <f>(salidas26[[#This Row],[CANT BARRAS]]*salidas26[[#This Row],[PRECIO BARRA]])</f>
        <v>0</v>
      </c>
      <c r="K157">
        <v>144</v>
      </c>
      <c r="L157" t="s">
        <v>465</v>
      </c>
      <c r="M157" t="s">
        <v>497</v>
      </c>
    </row>
    <row r="158" spans="1:13">
      <c r="A158">
        <v>3990</v>
      </c>
      <c r="B158">
        <v>8055</v>
      </c>
      <c r="C1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58" s="32">
        <v>46035</v>
      </c>
      <c r="E1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58">
        <v>1</v>
      </c>
      <c r="I158">
        <f>(salidas26[[#This Row],[CANT JUEGOS ]]*salidas26[[#This Row],[PRECIO JUEGO]])</f>
        <v>180</v>
      </c>
      <c r="J158">
        <f>(salidas26[[#This Row],[CANT BARRAS]]*salidas26[[#This Row],[PRECIO BARRA]])</f>
        <v>0</v>
      </c>
      <c r="K158">
        <v>160</v>
      </c>
      <c r="L158" t="s">
        <v>465</v>
      </c>
      <c r="M158" t="s">
        <v>497</v>
      </c>
    </row>
    <row r="159" spans="1:13" s="18" customFormat="1">
      <c r="A159" s="18">
        <v>3991</v>
      </c>
      <c r="B159" s="18">
        <v>6034</v>
      </c>
      <c r="C159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HISENSE A6GSA 6B/8L/3V</v>
      </c>
      <c r="D159" s="75">
        <v>46035</v>
      </c>
      <c r="E159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159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63.333333333333336</v>
      </c>
      <c r="G159" s="18">
        <v>1</v>
      </c>
      <c r="I159" s="18">
        <f>(salidas26[[#This Row],[CANT JUEGOS ]]*salidas26[[#This Row],[PRECIO JUEGO]])</f>
        <v>380</v>
      </c>
      <c r="J159" s="18">
        <f>(salidas26[[#This Row],[CANT BARRAS]]*salidas26[[#This Row],[PRECIO BARRA]])</f>
        <v>0</v>
      </c>
      <c r="K159" s="18">
        <v>280</v>
      </c>
      <c r="L159" s="18" t="s">
        <v>496</v>
      </c>
      <c r="M159" s="18" t="s">
        <v>490</v>
      </c>
    </row>
    <row r="160" spans="1:13">
      <c r="A160">
        <v>3992</v>
      </c>
      <c r="B160">
        <v>2075</v>
      </c>
      <c r="C1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60" s="32">
        <v>46035</v>
      </c>
      <c r="E1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60">
        <v>1</v>
      </c>
      <c r="I160">
        <f>(salidas26[[#This Row],[CANT JUEGOS ]]*salidas26[[#This Row],[PRECIO JUEGO]])</f>
        <v>200</v>
      </c>
      <c r="J160">
        <f>(salidas26[[#This Row],[CANT BARRAS]]*salidas26[[#This Row],[PRECIO BARRA]])</f>
        <v>0</v>
      </c>
      <c r="K160">
        <v>200</v>
      </c>
      <c r="L160" t="s">
        <v>465</v>
      </c>
      <c r="M160" t="s">
        <v>535</v>
      </c>
    </row>
    <row r="161" spans="1:13" s="18" customFormat="1">
      <c r="A161" s="18">
        <v>3993</v>
      </c>
      <c r="B161" s="18">
        <v>5010</v>
      </c>
      <c r="C161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161" s="75">
        <v>46035</v>
      </c>
      <c r="E161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1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61" s="18">
        <v>1</v>
      </c>
      <c r="I161" s="18">
        <f>(salidas26[[#This Row],[CANT JUEGOS ]]*salidas26[[#This Row],[PRECIO JUEGO]])</f>
        <v>180</v>
      </c>
      <c r="J161" s="18">
        <f>(salidas26[[#This Row],[CANT BARRAS]]*salidas26[[#This Row],[PRECIO BARRA]])</f>
        <v>0</v>
      </c>
      <c r="K161" s="18">
        <v>144</v>
      </c>
      <c r="L161" s="18" t="s">
        <v>496</v>
      </c>
      <c r="M161" s="18" t="s">
        <v>490</v>
      </c>
    </row>
    <row r="162" spans="1:13">
      <c r="A162">
        <v>3994</v>
      </c>
      <c r="B162">
        <v>1033</v>
      </c>
      <c r="C1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62" s="32">
        <v>46035</v>
      </c>
      <c r="E1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62">
        <v>1</v>
      </c>
      <c r="I162">
        <f>(salidas26[[#This Row],[CANT JUEGOS ]]*salidas26[[#This Row],[PRECIO JUEGO]])</f>
        <v>180</v>
      </c>
      <c r="J162">
        <f>(salidas26[[#This Row],[CANT BARRAS]]*salidas26[[#This Row],[PRECIO BARRA]])</f>
        <v>0</v>
      </c>
      <c r="K162">
        <v>180</v>
      </c>
      <c r="L162" t="s">
        <v>465</v>
      </c>
      <c r="M162" t="s">
        <v>536</v>
      </c>
    </row>
    <row r="163" spans="1:13">
      <c r="A163">
        <v>3995</v>
      </c>
      <c r="B163">
        <v>5001</v>
      </c>
      <c r="C1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KDL-32R405 SONY/4B</v>
      </c>
      <c r="D163" s="32">
        <v>46035</v>
      </c>
      <c r="E1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63">
        <v>1</v>
      </c>
      <c r="I163">
        <f>(salidas26[[#This Row],[CANT JUEGOS ]]*salidas26[[#This Row],[PRECIO JUEGO]])</f>
        <v>100</v>
      </c>
      <c r="J163">
        <f>(salidas26[[#This Row],[CANT BARRAS]]*salidas26[[#This Row],[PRECIO BARRA]])</f>
        <v>0</v>
      </c>
      <c r="K163">
        <v>120</v>
      </c>
      <c r="L163" t="s">
        <v>465</v>
      </c>
      <c r="M163" t="s">
        <v>481</v>
      </c>
    </row>
    <row r="164" spans="1:13">
      <c r="A164">
        <v>3996</v>
      </c>
      <c r="B164">
        <v>4003</v>
      </c>
      <c r="C1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64" s="32">
        <v>46035</v>
      </c>
      <c r="E1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4">
        <v>1</v>
      </c>
      <c r="I164">
        <f>(salidas26[[#This Row],[CANT JUEGOS ]]*salidas26[[#This Row],[PRECIO JUEGO]])</f>
        <v>90</v>
      </c>
      <c r="J164">
        <f>(salidas26[[#This Row],[CANT BARRAS]]*salidas26[[#This Row],[PRECIO BARRA]])</f>
        <v>0</v>
      </c>
      <c r="K164">
        <v>90</v>
      </c>
      <c r="L164" t="s">
        <v>465</v>
      </c>
      <c r="M164" t="s">
        <v>481</v>
      </c>
    </row>
    <row r="165" spans="1:13">
      <c r="A165">
        <v>3997</v>
      </c>
      <c r="B165">
        <v>1036</v>
      </c>
      <c r="C1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65" s="32">
        <v>46035</v>
      </c>
      <c r="E1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65">
        <v>1</v>
      </c>
      <c r="I165">
        <f>(salidas26[[#This Row],[CANT JUEGOS ]]*salidas26[[#This Row],[PRECIO JUEGO]])</f>
        <v>180</v>
      </c>
      <c r="J165">
        <f>(salidas26[[#This Row],[CANT BARRAS]]*salidas26[[#This Row],[PRECIO BARRA]])</f>
        <v>0</v>
      </c>
      <c r="K165">
        <v>180</v>
      </c>
      <c r="L165" t="s">
        <v>465</v>
      </c>
      <c r="M165" t="s">
        <v>481</v>
      </c>
    </row>
    <row r="166" spans="1:13">
      <c r="A166">
        <v>3998</v>
      </c>
      <c r="B166">
        <v>8055</v>
      </c>
      <c r="C1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66" s="32">
        <v>46035</v>
      </c>
      <c r="E1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66">
        <v>1</v>
      </c>
      <c r="I166">
        <f>(salidas26[[#This Row],[CANT JUEGOS ]]*salidas26[[#This Row],[PRECIO JUEGO]])</f>
        <v>180</v>
      </c>
      <c r="J166">
        <f>(salidas26[[#This Row],[CANT BARRAS]]*salidas26[[#This Row],[PRECIO BARRA]])</f>
        <v>0</v>
      </c>
      <c r="K166">
        <v>180</v>
      </c>
      <c r="L166" t="s">
        <v>465</v>
      </c>
      <c r="M166" t="s">
        <v>470</v>
      </c>
    </row>
    <row r="167" spans="1:13">
      <c r="A167">
        <v>3999</v>
      </c>
      <c r="B167">
        <v>4009</v>
      </c>
      <c r="C1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67" s="32">
        <v>46035</v>
      </c>
      <c r="E1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67">
        <v>1</v>
      </c>
      <c r="I167">
        <f>(salidas26[[#This Row],[CANT JUEGOS ]]*salidas26[[#This Row],[PRECIO JUEGO]])</f>
        <v>160</v>
      </c>
      <c r="J167">
        <f>(salidas26[[#This Row],[CANT BARRAS]]*salidas26[[#This Row],[PRECIO BARRA]])</f>
        <v>0</v>
      </c>
      <c r="K167">
        <v>160</v>
      </c>
      <c r="L167" t="s">
        <v>537</v>
      </c>
      <c r="M167" t="s">
        <v>474</v>
      </c>
    </row>
    <row r="168" spans="1:13">
      <c r="A168">
        <v>4000</v>
      </c>
      <c r="B168">
        <v>7000</v>
      </c>
      <c r="C1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68" s="32">
        <v>46035</v>
      </c>
      <c r="E1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8">
        <v>1</v>
      </c>
      <c r="I168">
        <f>(salidas26[[#This Row],[CANT JUEGOS ]]*salidas26[[#This Row],[PRECIO JUEGO]])</f>
        <v>60</v>
      </c>
      <c r="J168">
        <f>(salidas26[[#This Row],[CANT BARRAS]]*salidas26[[#This Row],[PRECIO BARRA]])</f>
        <v>0</v>
      </c>
      <c r="K168">
        <v>60</v>
      </c>
      <c r="L168" t="s">
        <v>496</v>
      </c>
      <c r="M168" t="s">
        <v>538</v>
      </c>
    </row>
    <row r="169" spans="1:13">
      <c r="A169">
        <v>4001</v>
      </c>
      <c r="B169">
        <v>2048</v>
      </c>
      <c r="C1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 NU7100/2B EDGE</v>
      </c>
      <c r="D169" s="32">
        <v>46035</v>
      </c>
      <c r="E1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169">
        <v>1</v>
      </c>
      <c r="I169">
        <f>(salidas26[[#This Row],[CANT JUEGOS ]]*salidas26[[#This Row],[PRECIO JUEGO]])</f>
        <v>180</v>
      </c>
      <c r="J169">
        <f>(salidas26[[#This Row],[CANT BARRAS]]*salidas26[[#This Row],[PRECIO BARRA]])</f>
        <v>0</v>
      </c>
      <c r="K169">
        <v>150</v>
      </c>
      <c r="L169" t="s">
        <v>496</v>
      </c>
      <c r="M169" t="s">
        <v>539</v>
      </c>
    </row>
    <row r="170" spans="1:13" s="18" customFormat="1">
      <c r="A170" s="18">
        <v>4002</v>
      </c>
      <c r="B170" s="18">
        <v>5006</v>
      </c>
      <c r="C170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70" s="75">
        <v>46035</v>
      </c>
      <c r="E170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0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0" s="18">
        <v>1</v>
      </c>
      <c r="I170" s="18">
        <f>(salidas26[[#This Row],[CANT JUEGOS ]]*salidas26[[#This Row],[PRECIO JUEGO]])</f>
        <v>90</v>
      </c>
      <c r="J170" s="18">
        <f>(salidas26[[#This Row],[CANT BARRAS]]*salidas26[[#This Row],[PRECIO BARRA]])</f>
        <v>0</v>
      </c>
      <c r="K170" s="18">
        <v>90</v>
      </c>
      <c r="L170" s="18" t="s">
        <v>465</v>
      </c>
      <c r="M170" s="18" t="s">
        <v>540</v>
      </c>
    </row>
    <row r="171" spans="1:13" s="18" customFormat="1">
      <c r="A171" s="18">
        <v>4003</v>
      </c>
      <c r="B171" s="18">
        <v>6021</v>
      </c>
      <c r="C171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171" s="75">
        <v>46036</v>
      </c>
      <c r="E171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1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71" s="18">
        <v>1</v>
      </c>
      <c r="I171" s="18">
        <f>(salidas26[[#This Row],[CANT JUEGOS ]]*salidas26[[#This Row],[PRECIO JUEGO]])</f>
        <v>300</v>
      </c>
      <c r="J171" s="18">
        <f>(salidas26[[#This Row],[CANT BARRAS]]*salidas26[[#This Row],[PRECIO BARRA]])</f>
        <v>0</v>
      </c>
      <c r="K171" s="18">
        <v>240</v>
      </c>
      <c r="L171" s="18" t="s">
        <v>496</v>
      </c>
      <c r="M171" s="18" t="s">
        <v>490</v>
      </c>
    </row>
    <row r="172" spans="1:13">
      <c r="A172">
        <v>4004</v>
      </c>
      <c r="B172">
        <v>8104</v>
      </c>
      <c r="C1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LT65KB527 10 B</v>
      </c>
      <c r="D172" s="32">
        <v>46036</v>
      </c>
      <c r="E1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2">
        <v>1</v>
      </c>
      <c r="I172">
        <f>(salidas26[[#This Row],[CANT JUEGOS ]]*salidas26[[#This Row],[PRECIO JUEGO]])</f>
        <v>400</v>
      </c>
      <c r="J172">
        <f>(salidas26[[#This Row],[CANT BARRAS]]*salidas26[[#This Row],[PRECIO BARRA]])</f>
        <v>0</v>
      </c>
      <c r="K172">
        <v>350</v>
      </c>
      <c r="L172" t="s">
        <v>465</v>
      </c>
      <c r="M172" t="s">
        <v>481</v>
      </c>
    </row>
    <row r="173" spans="1:13">
      <c r="A173">
        <v>4005</v>
      </c>
      <c r="B173">
        <v>1015</v>
      </c>
      <c r="C1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73" s="32">
        <v>46036</v>
      </c>
      <c r="E1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73">
        <v>1</v>
      </c>
      <c r="I173">
        <f>(salidas26[[#This Row],[CANT JUEGOS ]]*salidas26[[#This Row],[PRECIO JUEGO]])</f>
        <v>80</v>
      </c>
      <c r="J173">
        <f>(salidas26[[#This Row],[CANT BARRAS]]*salidas26[[#This Row],[PRECIO BARRA]])</f>
        <v>0</v>
      </c>
      <c r="K173">
        <v>100</v>
      </c>
      <c r="L173" t="s">
        <v>465</v>
      </c>
      <c r="M173" t="s">
        <v>472</v>
      </c>
    </row>
    <row r="174" spans="1:13">
      <c r="A174">
        <v>4006</v>
      </c>
      <c r="B174">
        <v>8069</v>
      </c>
      <c r="C1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74" s="32">
        <v>46036</v>
      </c>
      <c r="E1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4">
        <v>1</v>
      </c>
      <c r="I174">
        <f>(salidas26[[#This Row],[CANT JUEGOS ]]*salidas26[[#This Row],[PRECIO JUEGO]])</f>
        <v>220</v>
      </c>
      <c r="J174">
        <f>(salidas26[[#This Row],[CANT BARRAS]]*salidas26[[#This Row],[PRECIO BARRA]])</f>
        <v>0</v>
      </c>
      <c r="K174">
        <v>220</v>
      </c>
      <c r="L174" t="s">
        <v>465</v>
      </c>
      <c r="M174" t="s">
        <v>515</v>
      </c>
    </row>
    <row r="175" spans="1:13">
      <c r="A175">
        <v>4007</v>
      </c>
      <c r="B175">
        <v>7004</v>
      </c>
      <c r="C1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75" s="32">
        <v>46036</v>
      </c>
      <c r="E1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5">
        <v>1</v>
      </c>
      <c r="I175">
        <f>(salidas26[[#This Row],[CANT JUEGOS ]]*salidas26[[#This Row],[PRECIO JUEGO]])</f>
        <v>150</v>
      </c>
      <c r="J175">
        <f>(salidas26[[#This Row],[CANT BARRAS]]*salidas26[[#This Row],[PRECIO BARRA]])</f>
        <v>0</v>
      </c>
      <c r="K175">
        <v>140</v>
      </c>
      <c r="L175" t="s">
        <v>496</v>
      </c>
      <c r="M175" t="s">
        <v>541</v>
      </c>
    </row>
    <row r="176" spans="1:13">
      <c r="A176">
        <v>4008</v>
      </c>
      <c r="B176">
        <v>1060</v>
      </c>
      <c r="C1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43LH-LF 5100/6B</v>
      </c>
      <c r="D176" s="32">
        <v>46036</v>
      </c>
      <c r="E1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6">
        <v>1</v>
      </c>
      <c r="I176">
        <f>(salidas26[[#This Row],[CANT JUEGOS ]]*salidas26[[#This Row],[PRECIO JUEGO]])</f>
        <v>180</v>
      </c>
      <c r="J176">
        <f>(salidas26[[#This Row],[CANT BARRAS]]*salidas26[[#This Row],[PRECIO BARRA]])</f>
        <v>0</v>
      </c>
      <c r="K176">
        <v>160</v>
      </c>
      <c r="L176" t="s">
        <v>496</v>
      </c>
      <c r="M176" t="s">
        <v>541</v>
      </c>
    </row>
    <row r="177" spans="1:13" s="18" customFormat="1">
      <c r="A177" s="18">
        <v>4009</v>
      </c>
      <c r="B177" s="18">
        <v>1000</v>
      </c>
      <c r="C177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77" s="75">
        <v>46036</v>
      </c>
      <c r="E177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77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77" s="18">
        <v>1</v>
      </c>
      <c r="I177" s="18">
        <f>(salidas26[[#This Row],[CANT JUEGOS ]]*salidas26[[#This Row],[PRECIO JUEGO]])</f>
        <v>80</v>
      </c>
      <c r="J177" s="18">
        <f>(salidas26[[#This Row],[CANT BARRAS]]*salidas26[[#This Row],[PRECIO BARRA]])</f>
        <v>0</v>
      </c>
      <c r="K177" s="18">
        <v>64</v>
      </c>
      <c r="L177" s="18" t="s">
        <v>496</v>
      </c>
      <c r="M177" s="18" t="s">
        <v>490</v>
      </c>
    </row>
    <row r="178" spans="1:13">
      <c r="A178">
        <v>4010</v>
      </c>
      <c r="B178">
        <v>3036</v>
      </c>
      <c r="C1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55M600D 8L/12B</v>
      </c>
      <c r="D178" s="32">
        <v>46036</v>
      </c>
      <c r="E1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178">
        <v>1</v>
      </c>
      <c r="I178">
        <f>(salidas26[[#This Row],[CANT JUEGOS ]]*salidas26[[#This Row],[PRECIO JUEGO]])</f>
        <v>350</v>
      </c>
      <c r="J178">
        <f>(salidas26[[#This Row],[CANT BARRAS]]*salidas26[[#This Row],[PRECIO BARRA]])</f>
        <v>0</v>
      </c>
      <c r="K178">
        <v>330</v>
      </c>
      <c r="L178" t="s">
        <v>465</v>
      </c>
      <c r="M178" t="s">
        <v>487</v>
      </c>
    </row>
    <row r="179" spans="1:13">
      <c r="A179">
        <v>4011</v>
      </c>
      <c r="B179">
        <v>2018</v>
      </c>
      <c r="C1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UN40FH6203 3B/2C/1R/13-13-13</v>
      </c>
      <c r="D179" s="32">
        <v>46036</v>
      </c>
      <c r="E1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79">
        <v>1</v>
      </c>
      <c r="I179">
        <f>(salidas26[[#This Row],[CANT JUEGOS ]]*salidas26[[#This Row],[PRECIO JUEGO]])</f>
        <v>160</v>
      </c>
      <c r="J179">
        <f>(salidas26[[#This Row],[CANT BARRAS]]*salidas26[[#This Row],[PRECIO BARRA]])</f>
        <v>0</v>
      </c>
      <c r="K179">
        <v>170</v>
      </c>
      <c r="L179" t="s">
        <v>496</v>
      </c>
      <c r="M179" t="s">
        <v>474</v>
      </c>
    </row>
    <row r="180" spans="1:13">
      <c r="A180">
        <v>4012</v>
      </c>
      <c r="B180">
        <v>8067</v>
      </c>
      <c r="C1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80" s="32">
        <v>46036</v>
      </c>
      <c r="E1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0">
        <v>1</v>
      </c>
      <c r="I180">
        <f>(salidas26[[#This Row],[CANT JUEGOS ]]*salidas26[[#This Row],[PRECIO JUEGO]])</f>
        <v>220</v>
      </c>
      <c r="J180">
        <f>(salidas26[[#This Row],[CANT BARRAS]]*salidas26[[#This Row],[PRECIO BARRA]])</f>
        <v>0</v>
      </c>
      <c r="K180">
        <v>200</v>
      </c>
      <c r="L180" t="s">
        <v>496</v>
      </c>
      <c r="M180" t="s">
        <v>474</v>
      </c>
    </row>
    <row r="181" spans="1:13">
      <c r="A181">
        <v>4013</v>
      </c>
      <c r="B181">
        <v>7000</v>
      </c>
      <c r="C1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81" s="32">
        <v>46036</v>
      </c>
      <c r="E1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1">
        <v>1</v>
      </c>
      <c r="I181">
        <f>(salidas26[[#This Row],[CANT JUEGOS ]]*salidas26[[#This Row],[PRECIO JUEGO]])</f>
        <v>60</v>
      </c>
      <c r="J181">
        <f>(salidas26[[#This Row],[CANT BARRAS]]*salidas26[[#This Row],[PRECIO BARRA]])</f>
        <v>0</v>
      </c>
      <c r="K181">
        <v>60</v>
      </c>
      <c r="L181" t="s">
        <v>465</v>
      </c>
      <c r="M181" t="s">
        <v>471</v>
      </c>
    </row>
    <row r="182" spans="1:13">
      <c r="A182">
        <v>4014</v>
      </c>
      <c r="B182">
        <v>8057</v>
      </c>
      <c r="C1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82" s="32">
        <v>46036</v>
      </c>
      <c r="E1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2">
        <v>1</v>
      </c>
      <c r="I182">
        <f>(salidas26[[#This Row],[CANT JUEGOS ]]*salidas26[[#This Row],[PRECIO JUEGO]])</f>
        <v>200</v>
      </c>
      <c r="J182">
        <f>(salidas26[[#This Row],[CANT BARRAS]]*salidas26[[#This Row],[PRECIO BARRA]])</f>
        <v>0</v>
      </c>
      <c r="K182">
        <v>200</v>
      </c>
      <c r="L182" t="s">
        <v>465</v>
      </c>
      <c r="M182" t="s">
        <v>492</v>
      </c>
    </row>
    <row r="183" spans="1:13">
      <c r="A183">
        <v>4015</v>
      </c>
      <c r="B183">
        <v>2003</v>
      </c>
      <c r="C1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83" s="32">
        <v>46036</v>
      </c>
      <c r="E1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183">
        <v>2</v>
      </c>
      <c r="I183">
        <f>(salidas26[[#This Row],[CANT JUEGOS ]]*salidas26[[#This Row],[PRECIO JUEGO]])</f>
        <v>0</v>
      </c>
      <c r="J183">
        <f>(salidas26[[#This Row],[CANT BARRAS]]*salidas26[[#This Row],[PRECIO BARRA]])</f>
        <v>52</v>
      </c>
      <c r="K183">
        <v>50</v>
      </c>
      <c r="L183" t="s">
        <v>465</v>
      </c>
      <c r="M183" t="s">
        <v>542</v>
      </c>
    </row>
    <row r="184" spans="1:13">
      <c r="A184">
        <v>4016</v>
      </c>
      <c r="B184">
        <v>8130</v>
      </c>
      <c r="C1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184" s="32">
        <v>46036</v>
      </c>
      <c r="E1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84">
        <v>40</v>
      </c>
      <c r="I184">
        <f>(salidas26[[#This Row],[CANT JUEGOS ]]*salidas26[[#This Row],[PRECIO JUEGO]])</f>
        <v>0</v>
      </c>
      <c r="J184">
        <f>(salidas26[[#This Row],[CANT BARRAS]]*salidas26[[#This Row],[PRECIO BARRA]])</f>
        <v>140</v>
      </c>
      <c r="K184">
        <v>140</v>
      </c>
      <c r="L184" t="s">
        <v>496</v>
      </c>
      <c r="M184" t="s">
        <v>466</v>
      </c>
    </row>
    <row r="185" spans="1:13">
      <c r="A185">
        <v>4017</v>
      </c>
      <c r="B185">
        <v>2087</v>
      </c>
      <c r="C1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85" s="32">
        <v>46036</v>
      </c>
      <c r="E1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85">
        <v>1</v>
      </c>
      <c r="I185">
        <f>(salidas26[[#This Row],[CANT JUEGOS ]]*salidas26[[#This Row],[PRECIO JUEGO]])</f>
        <v>240</v>
      </c>
      <c r="J185">
        <f>(salidas26[[#This Row],[CANT BARRAS]]*salidas26[[#This Row],[PRECIO BARRA]])</f>
        <v>0</v>
      </c>
      <c r="K185">
        <v>220</v>
      </c>
      <c r="L185" t="s">
        <v>496</v>
      </c>
      <c r="M185" t="s">
        <v>466</v>
      </c>
    </row>
    <row r="186" spans="1:13" s="18" customFormat="1">
      <c r="A186" s="18">
        <v>4019</v>
      </c>
      <c r="B186" s="18">
        <v>6015</v>
      </c>
      <c r="C186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86" s="75">
        <v>46036</v>
      </c>
      <c r="E186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6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6" s="18">
        <v>1</v>
      </c>
      <c r="I186" s="18">
        <f>(salidas26[[#This Row],[CANT JUEGOS ]]*salidas26[[#This Row],[PRECIO JUEGO]])</f>
        <v>220</v>
      </c>
      <c r="J186" s="18">
        <f>(salidas26[[#This Row],[CANT BARRAS]]*salidas26[[#This Row],[PRECIO BARRA]])</f>
        <v>0</v>
      </c>
      <c r="K186" s="18">
        <v>200</v>
      </c>
      <c r="L186" s="18" t="s">
        <v>496</v>
      </c>
      <c r="M186" s="18" t="s">
        <v>471</v>
      </c>
    </row>
    <row r="187" spans="1:13">
      <c r="A187">
        <v>4020</v>
      </c>
      <c r="B187">
        <v>2000</v>
      </c>
      <c r="C1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87" s="32">
        <v>46037</v>
      </c>
      <c r="E1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87">
        <v>1</v>
      </c>
      <c r="I187">
        <f>(salidas26[[#This Row],[CANT JUEGOS ]]*salidas26[[#This Row],[PRECIO JUEGO]])</f>
        <v>80</v>
      </c>
      <c r="J187">
        <f>(salidas26[[#This Row],[CANT BARRAS]]*salidas26[[#This Row],[PRECIO BARRA]])</f>
        <v>0</v>
      </c>
      <c r="K187">
        <v>70</v>
      </c>
      <c r="L187" t="s">
        <v>465</v>
      </c>
      <c r="M187" t="s">
        <v>481</v>
      </c>
    </row>
    <row r="188" spans="1:13" s="18" customFormat="1">
      <c r="A188" s="18">
        <v>4021</v>
      </c>
      <c r="B188" s="18">
        <v>1132</v>
      </c>
      <c r="C188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188" s="75">
        <v>46037</v>
      </c>
      <c r="E188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88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88" s="18">
        <v>1</v>
      </c>
      <c r="I188" s="18">
        <f>(salidas26[[#This Row],[CANT JUEGOS ]]*salidas26[[#This Row],[PRECIO JUEGO]])</f>
        <v>260</v>
      </c>
      <c r="J188" s="18">
        <f>(salidas26[[#This Row],[CANT BARRAS]]*salidas26[[#This Row],[PRECIO BARRA]])</f>
        <v>0</v>
      </c>
      <c r="K188" s="18">
        <v>250</v>
      </c>
      <c r="L188" s="18" t="s">
        <v>496</v>
      </c>
      <c r="M188" s="18" t="s">
        <v>543</v>
      </c>
    </row>
    <row r="189" spans="1:13" s="18" customFormat="1">
      <c r="A189" s="18">
        <v>4022</v>
      </c>
      <c r="B189" s="18">
        <v>2075</v>
      </c>
      <c r="C189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89" s="75">
        <v>46037</v>
      </c>
      <c r="E189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89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89" s="18">
        <v>1</v>
      </c>
      <c r="I189" s="18">
        <f>(salidas26[[#This Row],[CANT JUEGOS ]]*salidas26[[#This Row],[PRECIO JUEGO]])</f>
        <v>200</v>
      </c>
      <c r="J189" s="18">
        <f>(salidas26[[#This Row],[CANT BARRAS]]*salidas26[[#This Row],[PRECIO BARRA]])</f>
        <v>0</v>
      </c>
      <c r="K189" s="18">
        <v>200</v>
      </c>
      <c r="L189" s="18" t="s">
        <v>496</v>
      </c>
      <c r="M189" s="18" t="s">
        <v>543</v>
      </c>
    </row>
    <row r="190" spans="1:13">
      <c r="A190">
        <v>4023</v>
      </c>
      <c r="B190">
        <v>2000</v>
      </c>
      <c r="C1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90" s="32">
        <v>46037</v>
      </c>
      <c r="E1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90">
        <v>1</v>
      </c>
      <c r="I190">
        <f>(salidas26[[#This Row],[CANT JUEGOS ]]*salidas26[[#This Row],[PRECIO JUEGO]])</f>
        <v>80</v>
      </c>
      <c r="J190">
        <f>(salidas26[[#This Row],[CANT BARRAS]]*salidas26[[#This Row],[PRECIO BARRA]])</f>
        <v>0</v>
      </c>
      <c r="K190">
        <v>70</v>
      </c>
      <c r="L190" t="s">
        <v>465</v>
      </c>
      <c r="M190" t="s">
        <v>482</v>
      </c>
    </row>
    <row r="191" spans="1:13">
      <c r="A191">
        <v>4024</v>
      </c>
      <c r="B191">
        <v>2090</v>
      </c>
      <c r="C1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191" s="32">
        <v>46037</v>
      </c>
      <c r="E1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191">
        <v>1</v>
      </c>
      <c r="I191">
        <f>(salidas26[[#This Row],[CANT JUEGOS ]]*salidas26[[#This Row],[PRECIO JUEGO]])</f>
        <v>350</v>
      </c>
      <c r="J191">
        <f>(salidas26[[#This Row],[CANT BARRAS]]*salidas26[[#This Row],[PRECIO BARRA]])</f>
        <v>0</v>
      </c>
      <c r="K191">
        <v>350</v>
      </c>
      <c r="L191" t="s">
        <v>465</v>
      </c>
      <c r="M191" t="s">
        <v>544</v>
      </c>
    </row>
    <row r="192" spans="1:13">
      <c r="B192">
        <v>5006</v>
      </c>
      <c r="C1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92" s="32">
        <v>46037</v>
      </c>
      <c r="E1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92">
        <v>1</v>
      </c>
      <c r="I192">
        <f>(salidas26[[#This Row],[CANT JUEGOS ]]*salidas26[[#This Row],[PRECIO JUEGO]])</f>
        <v>90</v>
      </c>
      <c r="J192">
        <f>(salidas26[[#This Row],[CANT BARRAS]]*salidas26[[#This Row],[PRECIO BARRA]])</f>
        <v>0</v>
      </c>
      <c r="M192" t="s">
        <v>504</v>
      </c>
    </row>
    <row r="193" spans="1:13">
      <c r="A193">
        <v>4025</v>
      </c>
      <c r="B193">
        <v>5006</v>
      </c>
      <c r="C1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93" s="32">
        <v>46037</v>
      </c>
      <c r="E1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193">
        <v>2</v>
      </c>
      <c r="I193">
        <f>(salidas26[[#This Row],[CANT JUEGOS ]]*salidas26[[#This Row],[PRECIO JUEGO]])</f>
        <v>0</v>
      </c>
      <c r="J193">
        <f>(salidas26[[#This Row],[CANT BARRAS]]*salidas26[[#This Row],[PRECIO BARRA]])</f>
        <v>60</v>
      </c>
      <c r="K193">
        <v>60</v>
      </c>
      <c r="L193" t="s">
        <v>465</v>
      </c>
      <c r="M193" t="s">
        <v>544</v>
      </c>
    </row>
    <row r="194" spans="1:13">
      <c r="A194">
        <v>4026</v>
      </c>
      <c r="B194">
        <v>6024</v>
      </c>
      <c r="C1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94" s="32">
        <v>46037</v>
      </c>
      <c r="E1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94">
        <v>1</v>
      </c>
      <c r="I194">
        <f>(salidas26[[#This Row],[CANT JUEGOS ]]*salidas26[[#This Row],[PRECIO JUEGO]])</f>
        <v>300</v>
      </c>
      <c r="J194">
        <f>(salidas26[[#This Row],[CANT BARRAS]]*salidas26[[#This Row],[PRECIO BARRA]])</f>
        <v>0</v>
      </c>
      <c r="K194">
        <v>300</v>
      </c>
      <c r="L194" t="s">
        <v>465</v>
      </c>
      <c r="M194" t="s">
        <v>466</v>
      </c>
    </row>
    <row r="195" spans="1:13">
      <c r="A195">
        <v>4028</v>
      </c>
      <c r="B195">
        <v>4002</v>
      </c>
      <c r="C1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S780 6L/6V -2B</v>
      </c>
      <c r="D195" s="32">
        <v>46037</v>
      </c>
      <c r="E1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95">
        <v>1</v>
      </c>
      <c r="I195">
        <f>(salidas26[[#This Row],[CANT JUEGOS ]]*salidas26[[#This Row],[PRECIO JUEGO]])</f>
        <v>60</v>
      </c>
      <c r="J195">
        <f>(salidas26[[#This Row],[CANT BARRAS]]*salidas26[[#This Row],[PRECIO BARRA]])</f>
        <v>0</v>
      </c>
      <c r="K195">
        <v>60</v>
      </c>
      <c r="L195" t="s">
        <v>465</v>
      </c>
      <c r="M195" t="s">
        <v>481</v>
      </c>
    </row>
    <row r="196" spans="1:13">
      <c r="A196">
        <v>4029</v>
      </c>
      <c r="B196">
        <v>4015</v>
      </c>
      <c r="C1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49-DAeWO/ 9B EL JUEGO 1 PIN</v>
      </c>
      <c r="D196" s="32">
        <v>46037</v>
      </c>
      <c r="E1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196">
        <v>1</v>
      </c>
      <c r="I196">
        <f>(salidas26[[#This Row],[CANT JUEGOS ]]*salidas26[[#This Row],[PRECIO JUEGO]])</f>
        <v>200</v>
      </c>
      <c r="J196">
        <f>(salidas26[[#This Row],[CANT BARRAS]]*salidas26[[#This Row],[PRECIO BARRA]])</f>
        <v>0</v>
      </c>
      <c r="K196">
        <v>210</v>
      </c>
      <c r="L196" t="s">
        <v>496</v>
      </c>
      <c r="M196" t="s">
        <v>545</v>
      </c>
    </row>
    <row r="197" spans="1:13" s="18" customFormat="1">
      <c r="A197" s="18">
        <v>4030</v>
      </c>
      <c r="B197" s="18">
        <v>2036</v>
      </c>
      <c r="C197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97" s="75">
        <v>46037</v>
      </c>
      <c r="E197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97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97" s="18">
        <v>1</v>
      </c>
      <c r="I197" s="18">
        <f>(salidas26[[#This Row],[CANT JUEGOS ]]*salidas26[[#This Row],[PRECIO JUEGO]])</f>
        <v>220</v>
      </c>
      <c r="J197" s="18">
        <f>(salidas26[[#This Row],[CANT BARRAS]]*salidas26[[#This Row],[PRECIO BARRA]])</f>
        <v>0</v>
      </c>
      <c r="K197" s="18">
        <v>220</v>
      </c>
      <c r="L197" s="18" t="s">
        <v>465</v>
      </c>
      <c r="M197" s="18" t="s">
        <v>473</v>
      </c>
    </row>
    <row r="198" spans="1:13">
      <c r="A198">
        <v>4031</v>
      </c>
      <c r="B198">
        <v>2027</v>
      </c>
      <c r="C1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98" s="32">
        <v>46037</v>
      </c>
      <c r="E1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98">
        <v>1</v>
      </c>
      <c r="I198">
        <f>(salidas26[[#This Row],[CANT JUEGOS ]]*salidas26[[#This Row],[PRECIO JUEGO]])</f>
        <v>180</v>
      </c>
      <c r="J198">
        <f>(salidas26[[#This Row],[CANT BARRAS]]*salidas26[[#This Row],[PRECIO BARRA]])</f>
        <v>0</v>
      </c>
      <c r="K198">
        <v>180</v>
      </c>
      <c r="L198" t="s">
        <v>496</v>
      </c>
      <c r="M198" t="s">
        <v>546</v>
      </c>
    </row>
    <row r="199" spans="1:13" s="18" customFormat="1">
      <c r="A199" s="18">
        <v>4032</v>
      </c>
      <c r="B199" s="18">
        <v>5006</v>
      </c>
      <c r="C199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99" s="75">
        <v>46037</v>
      </c>
      <c r="E199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99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99" s="18">
        <v>1</v>
      </c>
      <c r="I199" s="18">
        <f>(salidas26[[#This Row],[CANT JUEGOS ]]*salidas26[[#This Row],[PRECIO JUEGO]])</f>
        <v>90</v>
      </c>
      <c r="J199" s="18">
        <f>(salidas26[[#This Row],[CANT BARRAS]]*salidas26[[#This Row],[PRECIO BARRA]])</f>
        <v>0</v>
      </c>
      <c r="K199" s="18">
        <v>90</v>
      </c>
      <c r="L199" s="18" t="s">
        <v>496</v>
      </c>
      <c r="M199" s="18" t="s">
        <v>468</v>
      </c>
    </row>
    <row r="200" spans="1:13">
      <c r="A200">
        <v>4033</v>
      </c>
      <c r="B200">
        <v>2072</v>
      </c>
      <c r="C2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UN55H6400/12B</v>
      </c>
      <c r="D200" s="32">
        <v>46037</v>
      </c>
      <c r="E2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480</v>
      </c>
      <c r="F2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200">
        <v>1</v>
      </c>
      <c r="I200">
        <f>(salidas26[[#This Row],[CANT JUEGOS ]]*salidas26[[#This Row],[PRECIO JUEGO]])</f>
        <v>480</v>
      </c>
      <c r="J200">
        <f>(salidas26[[#This Row],[CANT BARRAS]]*salidas26[[#This Row],[PRECIO BARRA]])</f>
        <v>0</v>
      </c>
      <c r="K200">
        <v>450</v>
      </c>
      <c r="L200" t="s">
        <v>496</v>
      </c>
      <c r="M200" t="s">
        <v>501</v>
      </c>
    </row>
    <row r="201" spans="1:13">
      <c r="A201">
        <v>4034</v>
      </c>
      <c r="B201">
        <v>2021</v>
      </c>
      <c r="C2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201" s="32">
        <v>46037</v>
      </c>
      <c r="E2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2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201">
        <v>1</v>
      </c>
      <c r="I201">
        <f>(salidas26[[#This Row],[CANT JUEGOS ]]*salidas26[[#This Row],[PRECIO JUEGO]])</f>
        <v>260</v>
      </c>
      <c r="J201">
        <f>(salidas26[[#This Row],[CANT BARRAS]]*salidas26[[#This Row],[PRECIO BARRA]])</f>
        <v>0</v>
      </c>
      <c r="K201">
        <v>250</v>
      </c>
      <c r="L201" t="s">
        <v>496</v>
      </c>
      <c r="M201" t="s">
        <v>501</v>
      </c>
    </row>
    <row r="202" spans="1:13" s="91" customFormat="1">
      <c r="A202" s="91">
        <v>4036</v>
      </c>
      <c r="B202" s="98">
        <v>8012</v>
      </c>
      <c r="C202" s="9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202" s="92">
        <v>46037</v>
      </c>
      <c r="E202" s="9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202" s="9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02" s="91">
        <v>1</v>
      </c>
      <c r="H202" s="91">
        <v>1</v>
      </c>
      <c r="I202" s="91">
        <f>(salidas26[[#This Row],[CANT JUEGOS ]]*salidas26[[#This Row],[PRECIO JUEGO]])</f>
        <v>100</v>
      </c>
      <c r="J202" s="91">
        <f>(salidas26[[#This Row],[CANT BARRAS]]*salidas26[[#This Row],[PRECIO BARRA]])</f>
        <v>50</v>
      </c>
      <c r="K202" s="91">
        <v>180</v>
      </c>
      <c r="L202" s="91" t="s">
        <v>465</v>
      </c>
      <c r="M202" s="91" t="s">
        <v>495</v>
      </c>
    </row>
    <row r="203" spans="1:13">
      <c r="A203">
        <v>4037</v>
      </c>
      <c r="B203">
        <v>1069</v>
      </c>
      <c r="C2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203" s="32">
        <v>46037</v>
      </c>
      <c r="E2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2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203">
        <v>1</v>
      </c>
      <c r="I203">
        <f>(salidas26[[#This Row],[CANT JUEGOS ]]*salidas26[[#This Row],[PRECIO JUEGO]])</f>
        <v>250</v>
      </c>
      <c r="J203">
        <f>(salidas26[[#This Row],[CANT BARRAS]]*salidas26[[#This Row],[PRECIO BARRA]])</f>
        <v>0</v>
      </c>
      <c r="K203">
        <v>250</v>
      </c>
      <c r="L203" t="s">
        <v>496</v>
      </c>
      <c r="M203" t="s">
        <v>547</v>
      </c>
    </row>
    <row r="204" spans="1:13">
      <c r="A204">
        <v>4038</v>
      </c>
      <c r="B204">
        <v>2012</v>
      </c>
      <c r="C2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204" s="32">
        <v>46037</v>
      </c>
      <c r="E2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204">
        <v>1</v>
      </c>
      <c r="I204">
        <f>(salidas26[[#This Row],[CANT JUEGOS ]]*salidas26[[#This Row],[PRECIO JUEGO]])</f>
        <v>160</v>
      </c>
      <c r="J204">
        <f>(salidas26[[#This Row],[CANT BARRAS]]*salidas26[[#This Row],[PRECIO BARRA]])</f>
        <v>0</v>
      </c>
      <c r="K204">
        <v>150</v>
      </c>
      <c r="L204" t="s">
        <v>465</v>
      </c>
      <c r="M204" t="s">
        <v>481</v>
      </c>
    </row>
    <row r="205" spans="1:13">
      <c r="A205">
        <v>4039</v>
      </c>
      <c r="B205" s="61">
        <v>8123</v>
      </c>
      <c r="C2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205" s="32">
        <v>46037</v>
      </c>
      <c r="E2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05">
        <v>30</v>
      </c>
      <c r="I205">
        <f>(salidas26[[#This Row],[CANT JUEGOS ]]*salidas26[[#This Row],[PRECIO JUEGO]])</f>
        <v>0</v>
      </c>
      <c r="J205">
        <f>(salidas26[[#This Row],[CANT BARRAS]]*salidas26[[#This Row],[PRECIO BARRA]])</f>
        <v>105</v>
      </c>
      <c r="K205">
        <v>105</v>
      </c>
      <c r="L205" t="s">
        <v>465</v>
      </c>
      <c r="M205" t="s">
        <v>466</v>
      </c>
    </row>
    <row r="206" spans="1:13">
      <c r="A206">
        <v>4040</v>
      </c>
      <c r="B206">
        <v>8003</v>
      </c>
      <c r="C2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206" s="32">
        <v>46037</v>
      </c>
      <c r="E2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2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H206">
        <v>1</v>
      </c>
      <c r="I206">
        <f>(salidas26[[#This Row],[CANT JUEGOS ]]*salidas26[[#This Row],[PRECIO JUEGO]])</f>
        <v>0</v>
      </c>
      <c r="J206">
        <f>(salidas26[[#This Row],[CANT BARRAS]]*salidas26[[#This Row],[PRECIO BARRA]])</f>
        <v>35</v>
      </c>
      <c r="K206">
        <v>60</v>
      </c>
      <c r="L206" t="s">
        <v>465</v>
      </c>
      <c r="M206" t="s">
        <v>548</v>
      </c>
    </row>
    <row r="207" spans="1:13">
      <c r="A207">
        <v>4042</v>
      </c>
      <c r="B207">
        <v>1141</v>
      </c>
      <c r="C2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60LB6500/12B/6V</v>
      </c>
      <c r="D207" s="32">
        <v>46037</v>
      </c>
      <c r="E2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2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207">
        <v>1</v>
      </c>
      <c r="I207">
        <f>(salidas26[[#This Row],[CANT JUEGOS ]]*salidas26[[#This Row],[PRECIO JUEGO]])</f>
        <v>450</v>
      </c>
      <c r="J207">
        <f>(salidas26[[#This Row],[CANT BARRAS]]*salidas26[[#This Row],[PRECIO BARRA]])</f>
        <v>0</v>
      </c>
      <c r="K207">
        <v>495</v>
      </c>
      <c r="L207" t="s">
        <v>496</v>
      </c>
      <c r="M207" t="s">
        <v>509</v>
      </c>
    </row>
    <row r="208" spans="1:13" s="18" customFormat="1">
      <c r="A208" s="18">
        <v>4043</v>
      </c>
      <c r="B208" s="18">
        <v>2048</v>
      </c>
      <c r="C208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 NU7100/2B EDGE</v>
      </c>
      <c r="D208" s="75">
        <v>46037</v>
      </c>
      <c r="E208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08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208" s="18">
        <v>2</v>
      </c>
      <c r="I208" s="18">
        <f>(salidas26[[#This Row],[CANT JUEGOS ]]*salidas26[[#This Row],[PRECIO JUEGO]])</f>
        <v>360</v>
      </c>
      <c r="J208" s="18">
        <f>(salidas26[[#This Row],[CANT BARRAS]]*salidas26[[#This Row],[PRECIO BARRA]])</f>
        <v>0</v>
      </c>
      <c r="K208" s="18">
        <v>300</v>
      </c>
      <c r="L208" s="18" t="s">
        <v>465</v>
      </c>
      <c r="M208" s="18" t="s">
        <v>490</v>
      </c>
    </row>
    <row r="209" spans="1:13">
      <c r="A209">
        <v>4044</v>
      </c>
      <c r="B209">
        <v>1012</v>
      </c>
      <c r="C2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209" s="32">
        <v>46038</v>
      </c>
      <c r="E2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09">
        <v>1</v>
      </c>
      <c r="I209">
        <f>(salidas26[[#This Row],[CANT JUEGOS ]]*salidas26[[#This Row],[PRECIO JUEGO]])</f>
        <v>90</v>
      </c>
      <c r="J209">
        <f>(salidas26[[#This Row],[CANT BARRAS]]*salidas26[[#This Row],[PRECIO BARRA]])</f>
        <v>0</v>
      </c>
      <c r="K209">
        <v>90</v>
      </c>
      <c r="L209" t="s">
        <v>465</v>
      </c>
      <c r="M209" t="s">
        <v>532</v>
      </c>
    </row>
    <row r="210" spans="1:13">
      <c r="A210">
        <v>4045</v>
      </c>
      <c r="B210">
        <v>2000</v>
      </c>
      <c r="C2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210" s="32">
        <v>46038</v>
      </c>
      <c r="E2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2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210">
        <v>1</v>
      </c>
      <c r="I210">
        <f>(salidas26[[#This Row],[CANT JUEGOS ]]*salidas26[[#This Row],[PRECIO JUEGO]])</f>
        <v>80</v>
      </c>
      <c r="J210">
        <f>(salidas26[[#This Row],[CANT BARRAS]]*salidas26[[#This Row],[PRECIO BARRA]])</f>
        <v>0</v>
      </c>
      <c r="K210">
        <v>90</v>
      </c>
      <c r="L210" t="s">
        <v>496</v>
      </c>
      <c r="M210" t="s">
        <v>532</v>
      </c>
    </row>
    <row r="211" spans="1:13">
      <c r="A211">
        <v>4046</v>
      </c>
      <c r="B211">
        <v>8100</v>
      </c>
      <c r="C2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211" s="32">
        <v>46038</v>
      </c>
      <c r="E2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2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211">
        <v>1</v>
      </c>
      <c r="I211">
        <f>(salidas26[[#This Row],[CANT JUEGOS ]]*salidas26[[#This Row],[PRECIO JUEGO]])</f>
        <v>300</v>
      </c>
      <c r="J211">
        <f>(salidas26[[#This Row],[CANT BARRAS]]*salidas26[[#This Row],[PRECIO BARRA]])</f>
        <v>0</v>
      </c>
      <c r="K211">
        <v>280</v>
      </c>
      <c r="L211" t="s">
        <v>465</v>
      </c>
      <c r="M211" t="s">
        <v>481</v>
      </c>
    </row>
    <row r="212" spans="1:13">
      <c r="A212">
        <v>4047</v>
      </c>
      <c r="B212">
        <v>8123</v>
      </c>
      <c r="C2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212" s="32">
        <v>46038</v>
      </c>
      <c r="E2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12">
        <v>10</v>
      </c>
      <c r="I212">
        <f>(salidas26[[#This Row],[CANT JUEGOS ]]*salidas26[[#This Row],[PRECIO JUEGO]])</f>
        <v>0</v>
      </c>
      <c r="J212">
        <f>(salidas26[[#This Row],[CANT BARRAS]]*salidas26[[#This Row],[PRECIO BARRA]])</f>
        <v>35</v>
      </c>
      <c r="K212">
        <v>35</v>
      </c>
      <c r="L212" t="s">
        <v>465</v>
      </c>
      <c r="M212" t="s">
        <v>532</v>
      </c>
    </row>
    <row r="213" spans="1:13" s="18" customFormat="1">
      <c r="A213" s="18">
        <v>4048</v>
      </c>
      <c r="B213" s="18">
        <v>6021</v>
      </c>
      <c r="C213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213" s="75">
        <v>46038</v>
      </c>
      <c r="E213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213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213" s="18">
        <v>1</v>
      </c>
      <c r="I213" s="18">
        <f>(salidas26[[#This Row],[CANT JUEGOS ]]*salidas26[[#This Row],[PRECIO JUEGO]])</f>
        <v>300</v>
      </c>
      <c r="J213" s="18">
        <f>(salidas26[[#This Row],[CANT BARRAS]]*salidas26[[#This Row],[PRECIO BARRA]])</f>
        <v>0</v>
      </c>
      <c r="K213" s="18">
        <v>300</v>
      </c>
      <c r="L213" s="18" t="s">
        <v>465</v>
      </c>
      <c r="M213" s="18" t="s">
        <v>549</v>
      </c>
    </row>
    <row r="214" spans="1:13">
      <c r="A214">
        <v>4049</v>
      </c>
      <c r="B214">
        <v>1102</v>
      </c>
      <c r="C2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214" s="32">
        <v>46038</v>
      </c>
      <c r="E2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2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214">
        <v>1</v>
      </c>
      <c r="I214">
        <f>(salidas26[[#This Row],[CANT JUEGOS ]]*salidas26[[#This Row],[PRECIO JUEGO]])</f>
        <v>280</v>
      </c>
      <c r="J214">
        <f>(salidas26[[#This Row],[CANT BARRAS]]*salidas26[[#This Row],[PRECIO BARRA]])</f>
        <v>0</v>
      </c>
      <c r="K214">
        <v>200</v>
      </c>
      <c r="L214" t="s">
        <v>496</v>
      </c>
      <c r="M214" t="s">
        <v>474</v>
      </c>
    </row>
    <row r="215" spans="1:13">
      <c r="A215">
        <v>4050</v>
      </c>
      <c r="B215">
        <v>1024</v>
      </c>
      <c r="C2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215" s="32">
        <v>46038</v>
      </c>
      <c r="E2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2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215">
        <v>1</v>
      </c>
      <c r="I215">
        <f>(salidas26[[#This Row],[CANT JUEGOS ]]*salidas26[[#This Row],[PRECIO JUEGO]])</f>
        <v>100</v>
      </c>
      <c r="J215">
        <f>(salidas26[[#This Row],[CANT BARRAS]]*salidas26[[#This Row],[PRECIO BARRA]])</f>
        <v>0</v>
      </c>
      <c r="K215">
        <v>100</v>
      </c>
      <c r="L215" t="s">
        <v>465</v>
      </c>
      <c r="M215" t="s">
        <v>550</v>
      </c>
    </row>
    <row r="216" spans="1:13">
      <c r="A216">
        <v>4051</v>
      </c>
      <c r="B216">
        <v>4015</v>
      </c>
      <c r="C2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49-DAeWO/ 9B EL JUEGO 1 PIN</v>
      </c>
      <c r="D216" s="32">
        <v>46038</v>
      </c>
      <c r="E2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216">
        <v>1</v>
      </c>
      <c r="I216">
        <f>(salidas26[[#This Row],[CANT JUEGOS ]]*salidas26[[#This Row],[PRECIO JUEGO]])</f>
        <v>200</v>
      </c>
      <c r="J216">
        <f>(salidas26[[#This Row],[CANT BARRAS]]*salidas26[[#This Row],[PRECIO BARRA]])</f>
        <v>0</v>
      </c>
      <c r="K216">
        <v>210</v>
      </c>
      <c r="L216" t="s">
        <v>496</v>
      </c>
      <c r="M216" t="s">
        <v>545</v>
      </c>
    </row>
    <row r="217" spans="1:13">
      <c r="A217">
        <v>4052</v>
      </c>
      <c r="B217">
        <v>1078</v>
      </c>
      <c r="C2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217" s="32">
        <v>46038</v>
      </c>
      <c r="E2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2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217">
        <v>1</v>
      </c>
      <c r="I217">
        <f>(salidas26[[#This Row],[CANT JUEGOS ]]*salidas26[[#This Row],[PRECIO JUEGO]])</f>
        <v>280</v>
      </c>
      <c r="J217">
        <f>(salidas26[[#This Row],[CANT BARRAS]]*salidas26[[#This Row],[PRECIO BARRA]])</f>
        <v>0</v>
      </c>
      <c r="K217">
        <v>280</v>
      </c>
      <c r="L217" t="s">
        <v>465</v>
      </c>
      <c r="M217" t="s">
        <v>481</v>
      </c>
    </row>
    <row r="218" spans="1:13">
      <c r="A218">
        <v>4053</v>
      </c>
      <c r="B218">
        <v>8003</v>
      </c>
      <c r="C2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218" s="32">
        <v>46038</v>
      </c>
      <c r="E2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2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218">
        <v>1</v>
      </c>
      <c r="I218">
        <f>(salidas26[[#This Row],[CANT JUEGOS ]]*salidas26[[#This Row],[PRECIO JUEGO]])</f>
        <v>70</v>
      </c>
      <c r="J218">
        <f>(salidas26[[#This Row],[CANT BARRAS]]*salidas26[[#This Row],[PRECIO BARRA]])</f>
        <v>0</v>
      </c>
      <c r="K218">
        <v>70</v>
      </c>
      <c r="L218" t="s">
        <v>496</v>
      </c>
      <c r="M218" t="s">
        <v>531</v>
      </c>
    </row>
    <row r="219" spans="1:13">
      <c r="B219">
        <v>2003</v>
      </c>
      <c r="C2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219" s="32">
        <v>46038</v>
      </c>
      <c r="E2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2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219">
        <v>1</v>
      </c>
      <c r="I219">
        <f>(salidas26[[#This Row],[CANT JUEGOS ]]*salidas26[[#This Row],[PRECIO JUEGO]])</f>
        <v>130</v>
      </c>
      <c r="J219">
        <f>(salidas26[[#This Row],[CANT BARRAS]]*salidas26[[#This Row],[PRECIO BARRA]])</f>
        <v>0</v>
      </c>
      <c r="M219" t="s">
        <v>504</v>
      </c>
    </row>
    <row r="220" spans="1:13">
      <c r="A220">
        <v>4055</v>
      </c>
      <c r="B220">
        <v>2003</v>
      </c>
      <c r="C2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220" s="32">
        <v>46038</v>
      </c>
      <c r="E2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2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220">
        <v>2</v>
      </c>
      <c r="I220">
        <f>(salidas26[[#This Row],[CANT JUEGOS ]]*salidas26[[#This Row],[PRECIO JUEGO]])</f>
        <v>0</v>
      </c>
      <c r="J220">
        <f>(salidas26[[#This Row],[CANT BARRAS]]*salidas26[[#This Row],[PRECIO BARRA]])</f>
        <v>52</v>
      </c>
      <c r="K220">
        <v>50</v>
      </c>
      <c r="L220" t="s">
        <v>465</v>
      </c>
      <c r="M220" t="s">
        <v>490</v>
      </c>
    </row>
    <row r="221" spans="1:13">
      <c r="B221">
        <v>4010</v>
      </c>
      <c r="C2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221" s="32">
        <v>46038</v>
      </c>
      <c r="E2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221">
        <v>1</v>
      </c>
      <c r="I221">
        <f>(salidas26[[#This Row],[CANT JUEGOS ]]*salidas26[[#This Row],[PRECIO JUEGO]])</f>
        <v>160</v>
      </c>
      <c r="J221">
        <f>(salidas26[[#This Row],[CANT BARRAS]]*salidas26[[#This Row],[PRECIO BARRA]])</f>
        <v>0</v>
      </c>
      <c r="M221" t="s">
        <v>504</v>
      </c>
    </row>
    <row r="222" spans="1:13">
      <c r="A222">
        <v>4056</v>
      </c>
      <c r="B222">
        <v>4010</v>
      </c>
      <c r="C2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222" s="32">
        <v>46038</v>
      </c>
      <c r="E2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H222">
        <v>2</v>
      </c>
      <c r="I222">
        <f>(salidas26[[#This Row],[CANT JUEGOS ]]*salidas26[[#This Row],[PRECIO JUEGO]])</f>
        <v>0</v>
      </c>
      <c r="J222">
        <f>(salidas26[[#This Row],[CANT BARRAS]]*salidas26[[#This Row],[PRECIO BARRA]])</f>
        <v>106.66666666666667</v>
      </c>
      <c r="K222">
        <v>120</v>
      </c>
      <c r="L222" t="s">
        <v>465</v>
      </c>
      <c r="M222" t="s">
        <v>551</v>
      </c>
    </row>
    <row r="223" spans="1:13">
      <c r="A223">
        <v>4057</v>
      </c>
      <c r="B223">
        <v>8033</v>
      </c>
      <c r="C2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223" s="32">
        <v>46038</v>
      </c>
      <c r="E2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2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23">
        <v>1</v>
      </c>
      <c r="I223">
        <f>(salidas26[[#This Row],[CANT JUEGOS ]]*salidas26[[#This Row],[PRECIO JUEGO]])</f>
        <v>150</v>
      </c>
      <c r="J223">
        <f>(salidas26[[#This Row],[CANT BARRAS]]*salidas26[[#This Row],[PRECIO BARRA]])</f>
        <v>0</v>
      </c>
      <c r="K223">
        <v>150</v>
      </c>
      <c r="L223" t="s">
        <v>465</v>
      </c>
      <c r="M223" t="s">
        <v>487</v>
      </c>
    </row>
    <row r="224" spans="1:13">
      <c r="A224">
        <v>4058</v>
      </c>
      <c r="B224">
        <v>8015</v>
      </c>
      <c r="C2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224" s="32">
        <v>46038</v>
      </c>
      <c r="E2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24">
        <v>1</v>
      </c>
      <c r="I224">
        <f>(salidas26[[#This Row],[CANT JUEGOS ]]*salidas26[[#This Row],[PRECIO JUEGO]])</f>
        <v>60</v>
      </c>
      <c r="J224">
        <f>(salidas26[[#This Row],[CANT BARRAS]]*salidas26[[#This Row],[PRECIO BARRA]])</f>
        <v>0</v>
      </c>
      <c r="K224">
        <v>60</v>
      </c>
      <c r="L224" t="s">
        <v>496</v>
      </c>
      <c r="M224" t="s">
        <v>552</v>
      </c>
    </row>
    <row r="225" spans="1:13">
      <c r="A225">
        <v>4059</v>
      </c>
      <c r="B225">
        <v>4011</v>
      </c>
      <c r="C2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225" s="32">
        <v>46038</v>
      </c>
      <c r="E2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225">
        <v>1</v>
      </c>
      <c r="H225">
        <v>1</v>
      </c>
      <c r="I225">
        <f>(salidas26[[#This Row],[CANT JUEGOS ]]*salidas26[[#This Row],[PRECIO JUEGO]])</f>
        <v>160</v>
      </c>
      <c r="J225">
        <f>(salidas26[[#This Row],[CANT BARRAS]]*salidas26[[#This Row],[PRECIO BARRA]])</f>
        <v>53.333333333333336</v>
      </c>
      <c r="K225">
        <v>200</v>
      </c>
      <c r="L225" t="s">
        <v>465</v>
      </c>
      <c r="M225" t="s">
        <v>536</v>
      </c>
    </row>
    <row r="226" spans="1:13">
      <c r="A226">
        <v>4061</v>
      </c>
      <c r="B226">
        <v>1064</v>
      </c>
      <c r="C2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43LK540 8B/3V</v>
      </c>
      <c r="D226" s="32">
        <v>46038</v>
      </c>
      <c r="E2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226">
        <v>1</v>
      </c>
      <c r="I226">
        <f>(salidas26[[#This Row],[CANT JUEGOS ]]*salidas26[[#This Row],[PRECIO JUEGO]])</f>
        <v>180</v>
      </c>
      <c r="J226">
        <f>(salidas26[[#This Row],[CANT BARRAS]]*salidas26[[#This Row],[PRECIO BARRA]])</f>
        <v>0</v>
      </c>
      <c r="K226">
        <v>180</v>
      </c>
      <c r="L226" t="s">
        <v>496</v>
      </c>
      <c r="M226" t="s">
        <v>553</v>
      </c>
    </row>
    <row r="227" spans="1:13">
      <c r="A227">
        <v>4062</v>
      </c>
      <c r="B227">
        <v>5022</v>
      </c>
      <c r="C2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 PANASONIC TC-L42E6L 1/B</v>
      </c>
      <c r="D227" s="32">
        <v>46038</v>
      </c>
      <c r="E2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2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140</v>
      </c>
      <c r="G227">
        <v>1</v>
      </c>
      <c r="I227">
        <f>(salidas26[[#This Row],[CANT JUEGOS ]]*salidas26[[#This Row],[PRECIO JUEGO]])</f>
        <v>140</v>
      </c>
      <c r="J227">
        <f>(salidas26[[#This Row],[CANT BARRAS]]*salidas26[[#This Row],[PRECIO BARRA]])</f>
        <v>0</v>
      </c>
      <c r="K227">
        <v>150</v>
      </c>
      <c r="L227" t="s">
        <v>465</v>
      </c>
      <c r="M227" t="s">
        <v>532</v>
      </c>
    </row>
    <row r="228" spans="1:13">
      <c r="A228">
        <v>4063</v>
      </c>
      <c r="B228">
        <v>2003</v>
      </c>
      <c r="C2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228" s="32">
        <v>46038</v>
      </c>
      <c r="E2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2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228">
        <v>1</v>
      </c>
      <c r="I228">
        <f>(salidas26[[#This Row],[CANT JUEGOS ]]*salidas26[[#This Row],[PRECIO JUEGO]])</f>
        <v>130</v>
      </c>
      <c r="J228">
        <f>(salidas26[[#This Row],[CANT BARRAS]]*salidas26[[#This Row],[PRECIO BARRA]])</f>
        <v>0</v>
      </c>
      <c r="K228">
        <v>130</v>
      </c>
      <c r="L228" t="s">
        <v>496</v>
      </c>
      <c r="M228" t="s">
        <v>554</v>
      </c>
    </row>
    <row r="229" spans="1:13">
      <c r="A229">
        <v>4064</v>
      </c>
      <c r="B229">
        <v>2006</v>
      </c>
      <c r="C2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UN32J/ 2B </v>
      </c>
      <c r="D229" s="32">
        <v>46039</v>
      </c>
      <c r="E2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229">
        <v>1</v>
      </c>
      <c r="I229">
        <f>(salidas26[[#This Row],[CANT JUEGOS ]]*salidas26[[#This Row],[PRECIO JUEGO]])</f>
        <v>90</v>
      </c>
      <c r="J229">
        <f>(salidas26[[#This Row],[CANT BARRAS]]*salidas26[[#This Row],[PRECIO BARRA]])</f>
        <v>0</v>
      </c>
      <c r="K229">
        <v>80</v>
      </c>
      <c r="L229" t="s">
        <v>465</v>
      </c>
      <c r="M229" t="s">
        <v>481</v>
      </c>
    </row>
    <row r="230" spans="1:13">
      <c r="A230">
        <v>4066</v>
      </c>
      <c r="B230">
        <v>2003</v>
      </c>
      <c r="C2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230" s="32">
        <v>46039</v>
      </c>
      <c r="E2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2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230">
        <v>1</v>
      </c>
      <c r="I230">
        <f>(salidas26[[#This Row],[CANT JUEGOS ]]*salidas26[[#This Row],[PRECIO JUEGO]])</f>
        <v>130</v>
      </c>
      <c r="J230">
        <f>(salidas26[[#This Row],[CANT BARRAS]]*salidas26[[#This Row],[PRECIO BARRA]])</f>
        <v>0</v>
      </c>
      <c r="K230">
        <v>120</v>
      </c>
      <c r="L230" t="s">
        <v>496</v>
      </c>
      <c r="M230" t="s">
        <v>468</v>
      </c>
    </row>
    <row r="231" spans="1:13">
      <c r="A231">
        <v>4067</v>
      </c>
      <c r="B231">
        <v>2012</v>
      </c>
      <c r="C2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231" s="32">
        <v>46039</v>
      </c>
      <c r="E2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231">
        <v>1</v>
      </c>
      <c r="I231">
        <f>(salidas26[[#This Row],[CANT JUEGOS ]]*salidas26[[#This Row],[PRECIO JUEGO]])</f>
        <v>160</v>
      </c>
      <c r="J231">
        <f>(salidas26[[#This Row],[CANT BARRAS]]*salidas26[[#This Row],[PRECIO BARRA]])</f>
        <v>0</v>
      </c>
      <c r="K231">
        <v>150</v>
      </c>
      <c r="L231" t="s">
        <v>496</v>
      </c>
      <c r="M231" t="s">
        <v>468</v>
      </c>
    </row>
    <row r="232" spans="1:13">
      <c r="A232">
        <v>4068</v>
      </c>
      <c r="B232">
        <v>4009</v>
      </c>
      <c r="C2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232" s="32">
        <v>46039</v>
      </c>
      <c r="E2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232">
        <v>1</v>
      </c>
      <c r="I232">
        <f>(salidas26[[#This Row],[CANT JUEGOS ]]*salidas26[[#This Row],[PRECIO JUEGO]])</f>
        <v>160</v>
      </c>
      <c r="J232">
        <f>(salidas26[[#This Row],[CANT BARRAS]]*salidas26[[#This Row],[PRECIO BARRA]])</f>
        <v>0</v>
      </c>
      <c r="K232">
        <v>160</v>
      </c>
      <c r="L232" t="s">
        <v>465</v>
      </c>
      <c r="M232" t="s">
        <v>481</v>
      </c>
    </row>
    <row r="233" spans="1:13">
      <c r="A233">
        <v>4069</v>
      </c>
      <c r="B233">
        <v>1012</v>
      </c>
      <c r="C2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233" s="32">
        <v>46039</v>
      </c>
      <c r="E2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33">
        <v>1</v>
      </c>
      <c r="I233">
        <f>(salidas26[[#This Row],[CANT JUEGOS ]]*salidas26[[#This Row],[PRECIO JUEGO]])</f>
        <v>90</v>
      </c>
      <c r="J233">
        <f>(salidas26[[#This Row],[CANT BARRAS]]*salidas26[[#This Row],[PRECIO BARRA]])</f>
        <v>0</v>
      </c>
      <c r="K233">
        <v>90</v>
      </c>
      <c r="L233" t="s">
        <v>496</v>
      </c>
      <c r="M233" t="s">
        <v>481</v>
      </c>
    </row>
    <row r="234" spans="1:13">
      <c r="B234">
        <v>8003</v>
      </c>
      <c r="C2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234" s="32">
        <v>46039</v>
      </c>
      <c r="E2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2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234">
        <v>1</v>
      </c>
      <c r="I234">
        <f>(salidas26[[#This Row],[CANT JUEGOS ]]*salidas26[[#This Row],[PRECIO JUEGO]])</f>
        <v>70</v>
      </c>
      <c r="J234">
        <f>(salidas26[[#This Row],[CANT BARRAS]]*salidas26[[#This Row],[PRECIO BARRA]])</f>
        <v>0</v>
      </c>
      <c r="M234" t="s">
        <v>504</v>
      </c>
    </row>
    <row r="235" spans="1:13">
      <c r="A235">
        <v>4070</v>
      </c>
      <c r="B235">
        <v>8003</v>
      </c>
      <c r="C2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235" s="32">
        <v>46039</v>
      </c>
      <c r="E2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2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H235">
        <v>1</v>
      </c>
      <c r="I235">
        <f>(salidas26[[#This Row],[CANT JUEGOS ]]*salidas26[[#This Row],[PRECIO JUEGO]])</f>
        <v>0</v>
      </c>
      <c r="J235">
        <f>(salidas26[[#This Row],[CANT BARRAS]]*salidas26[[#This Row],[PRECIO BARRA]])</f>
        <v>35</v>
      </c>
      <c r="K235">
        <v>25</v>
      </c>
      <c r="L235" t="s">
        <v>465</v>
      </c>
      <c r="M235" t="s">
        <v>480</v>
      </c>
    </row>
    <row r="236" spans="1:13">
      <c r="A236">
        <v>4071</v>
      </c>
      <c r="B236">
        <v>1081</v>
      </c>
      <c r="C2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49LF5400 2B EL JUEGO </v>
      </c>
      <c r="D236" s="32">
        <v>46039</v>
      </c>
      <c r="E2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236">
        <v>1</v>
      </c>
      <c r="I236">
        <f>(salidas26[[#This Row],[CANT JUEGOS ]]*salidas26[[#This Row],[PRECIO JUEGO]])</f>
        <v>200</v>
      </c>
      <c r="J236">
        <f>(salidas26[[#This Row],[CANT BARRAS]]*salidas26[[#This Row],[PRECIO BARRA]])</f>
        <v>0</v>
      </c>
      <c r="K236">
        <v>220</v>
      </c>
      <c r="L236" t="s">
        <v>465</v>
      </c>
      <c r="M236" t="s">
        <v>481</v>
      </c>
    </row>
    <row r="237" spans="1:13">
      <c r="A237">
        <v>4072</v>
      </c>
      <c r="B237">
        <v>3001</v>
      </c>
      <c r="C2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237" s="32">
        <v>46039</v>
      </c>
      <c r="E2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2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237">
        <v>1</v>
      </c>
      <c r="I237">
        <f>(salidas26[[#This Row],[CANT JUEGOS ]]*salidas26[[#This Row],[PRECIO JUEGO]])</f>
        <v>100</v>
      </c>
      <c r="J237">
        <f>(salidas26[[#This Row],[CANT BARRAS]]*salidas26[[#This Row],[PRECIO BARRA]])</f>
        <v>0</v>
      </c>
      <c r="K237">
        <v>100</v>
      </c>
      <c r="L237" t="s">
        <v>465</v>
      </c>
      <c r="M237" t="s">
        <v>555</v>
      </c>
    </row>
    <row r="238" spans="1:13">
      <c r="A238">
        <v>4073</v>
      </c>
      <c r="B238">
        <v>8033</v>
      </c>
      <c r="C2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238" s="32">
        <v>46039</v>
      </c>
      <c r="E2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2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38">
        <v>1</v>
      </c>
      <c r="I238">
        <f>(salidas26[[#This Row],[CANT JUEGOS ]]*salidas26[[#This Row],[PRECIO JUEGO]])</f>
        <v>150</v>
      </c>
      <c r="J238">
        <f>(salidas26[[#This Row],[CANT BARRAS]]*salidas26[[#This Row],[PRECIO BARRA]])</f>
        <v>0</v>
      </c>
      <c r="K238">
        <v>150</v>
      </c>
      <c r="L238" t="s">
        <v>465</v>
      </c>
      <c r="M238" t="s">
        <v>481</v>
      </c>
    </row>
    <row r="239" spans="1:13" s="18" customFormat="1">
      <c r="A239" s="18">
        <v>4075</v>
      </c>
      <c r="B239" s="18">
        <v>6009</v>
      </c>
      <c r="C239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239" s="75">
        <v>46039</v>
      </c>
      <c r="E239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39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239" s="18">
        <v>6</v>
      </c>
      <c r="I239" s="18">
        <f>(salidas26[[#This Row],[CANT JUEGOS ]]*salidas26[[#This Row],[PRECIO JUEGO]])</f>
        <v>0</v>
      </c>
      <c r="J239" s="18">
        <f>(salidas26[[#This Row],[CANT BARRAS]]*salidas26[[#This Row],[PRECIO BARRA]])</f>
        <v>135</v>
      </c>
      <c r="K239" s="18">
        <v>180</v>
      </c>
      <c r="L239" s="18" t="s">
        <v>465</v>
      </c>
      <c r="M239" s="18" t="s">
        <v>540</v>
      </c>
    </row>
    <row r="240" spans="1:13" s="18" customFormat="1">
      <c r="A240" s="18">
        <v>4076</v>
      </c>
      <c r="B240" s="18">
        <v>2027</v>
      </c>
      <c r="C240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240" s="75">
        <v>46041</v>
      </c>
      <c r="E240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40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240" s="18">
        <v>1</v>
      </c>
      <c r="I240" s="18">
        <f>(salidas26[[#This Row],[CANT JUEGOS ]]*salidas26[[#This Row],[PRECIO JUEGO]])</f>
        <v>180</v>
      </c>
      <c r="J240" s="18">
        <f>(salidas26[[#This Row],[CANT BARRAS]]*salidas26[[#This Row],[PRECIO BARRA]])</f>
        <v>0</v>
      </c>
      <c r="K240" s="18">
        <v>150</v>
      </c>
      <c r="L240" s="18" t="s">
        <v>465</v>
      </c>
      <c r="M240" s="18" t="s">
        <v>490</v>
      </c>
    </row>
    <row r="241" spans="1:13">
      <c r="A241">
        <v>4077</v>
      </c>
      <c r="B241">
        <v>2079</v>
      </c>
      <c r="C2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UN55MU6100- 55KU 6000 12B/ 3V</v>
      </c>
      <c r="D241" s="32">
        <v>46041</v>
      </c>
      <c r="E2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2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241">
        <v>1</v>
      </c>
      <c r="I241">
        <f>(salidas26[[#This Row],[CANT JUEGOS ]]*salidas26[[#This Row],[PRECIO JUEGO]])</f>
        <v>450</v>
      </c>
      <c r="J241">
        <f>(salidas26[[#This Row],[CANT BARRAS]]*salidas26[[#This Row],[PRECIO BARRA]])</f>
        <v>0</v>
      </c>
      <c r="K241">
        <v>380</v>
      </c>
      <c r="L241" t="s">
        <v>465</v>
      </c>
      <c r="M241" t="s">
        <v>550</v>
      </c>
    </row>
    <row r="242" spans="1:13">
      <c r="A242">
        <v>4078</v>
      </c>
      <c r="B242">
        <v>1012</v>
      </c>
      <c r="C2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242" s="32">
        <v>46041</v>
      </c>
      <c r="E2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42">
        <v>1</v>
      </c>
      <c r="I242">
        <f>(salidas26[[#This Row],[CANT JUEGOS ]]*salidas26[[#This Row],[PRECIO JUEGO]])</f>
        <v>90</v>
      </c>
      <c r="J242">
        <f>(salidas26[[#This Row],[CANT BARRAS]]*salidas26[[#This Row],[PRECIO BARRA]])</f>
        <v>0</v>
      </c>
      <c r="K242">
        <v>100</v>
      </c>
      <c r="L242" t="s">
        <v>496</v>
      </c>
      <c r="M242" t="s">
        <v>556</v>
      </c>
    </row>
    <row r="243" spans="1:13">
      <c r="A243">
        <v>4079</v>
      </c>
      <c r="B243">
        <v>8070</v>
      </c>
      <c r="C2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JVC KB527</v>
      </c>
      <c r="D243" s="32">
        <v>46041</v>
      </c>
      <c r="E2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2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243">
        <v>1</v>
      </c>
      <c r="I243">
        <f>(salidas26[[#This Row],[CANT JUEGOS ]]*salidas26[[#This Row],[PRECIO JUEGO]])</f>
        <v>250</v>
      </c>
      <c r="J243">
        <f>(salidas26[[#This Row],[CANT BARRAS]]*salidas26[[#This Row],[PRECIO BARRA]])</f>
        <v>0</v>
      </c>
      <c r="K243">
        <v>220</v>
      </c>
      <c r="L243" t="s">
        <v>496</v>
      </c>
      <c r="M243" t="s">
        <v>557</v>
      </c>
    </row>
    <row r="244" spans="1:13">
      <c r="A244">
        <v>4080</v>
      </c>
      <c r="B244">
        <v>8090</v>
      </c>
      <c r="C2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TCL /8B/MASTER MGS5502XMG-</v>
      </c>
      <c r="D244" s="32">
        <v>46041</v>
      </c>
      <c r="E2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24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244">
        <v>1</v>
      </c>
      <c r="I244">
        <f>(salidas26[[#This Row],[CANT JUEGOS ]]*salidas26[[#This Row],[PRECIO JUEGO]])</f>
        <v>300</v>
      </c>
      <c r="J244" t="e">
        <f>(salidas26[[#This Row],[CANT BARRAS]]*salidas26[[#This Row],[PRECIO BARRA]])</f>
        <v>#VALUE!</v>
      </c>
      <c r="K244">
        <v>300</v>
      </c>
      <c r="L244" t="s">
        <v>496</v>
      </c>
      <c r="M244" t="s">
        <v>557</v>
      </c>
    </row>
    <row r="245" spans="1:13" s="18" customFormat="1">
      <c r="A245" s="18">
        <v>4081</v>
      </c>
      <c r="B245" s="18">
        <v>6024</v>
      </c>
      <c r="C245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245" s="75">
        <v>46041</v>
      </c>
      <c r="E245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245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H245" s="18">
        <v>3</v>
      </c>
      <c r="I245" s="18">
        <f>(salidas26[[#This Row],[CANT JUEGOS ]]*salidas26[[#This Row],[PRECIO JUEGO]])</f>
        <v>0</v>
      </c>
      <c r="J245" s="18">
        <f>(salidas26[[#This Row],[CANT BARRAS]]*salidas26[[#This Row],[PRECIO BARRA]])</f>
        <v>75</v>
      </c>
      <c r="K245" s="18">
        <v>60</v>
      </c>
      <c r="L245" s="18" t="s">
        <v>496</v>
      </c>
      <c r="M245" s="18" t="s">
        <v>490</v>
      </c>
    </row>
    <row r="246" spans="1:13">
      <c r="A246">
        <v>4082</v>
      </c>
      <c r="B246">
        <v>5018</v>
      </c>
      <c r="C2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246" s="32">
        <v>46041</v>
      </c>
      <c r="E2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246">
        <v>1</v>
      </c>
      <c r="I246">
        <f>(salidas26[[#This Row],[CANT JUEGOS ]]*salidas26[[#This Row],[PRECIO JUEGO]])</f>
        <v>200</v>
      </c>
      <c r="J246">
        <f>(salidas26[[#This Row],[CANT BARRAS]]*salidas26[[#This Row],[PRECIO BARRA]])</f>
        <v>0</v>
      </c>
      <c r="K246">
        <v>170</v>
      </c>
      <c r="L246" t="s">
        <v>496</v>
      </c>
      <c r="M246" t="s">
        <v>556</v>
      </c>
    </row>
    <row r="247" spans="1:13">
      <c r="A247">
        <v>4083</v>
      </c>
      <c r="B247">
        <v>8123</v>
      </c>
      <c r="C2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247" s="32">
        <v>46041</v>
      </c>
      <c r="E2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47">
        <v>66</v>
      </c>
      <c r="I247">
        <f>(salidas26[[#This Row],[CANT JUEGOS ]]*salidas26[[#This Row],[PRECIO JUEGO]])</f>
        <v>0</v>
      </c>
      <c r="J247">
        <f>(salidas26[[#This Row],[CANT BARRAS]]*salidas26[[#This Row],[PRECIO BARRA]])</f>
        <v>231</v>
      </c>
      <c r="K247">
        <v>220</v>
      </c>
      <c r="L247" t="s">
        <v>465</v>
      </c>
      <c r="M247" t="s">
        <v>481</v>
      </c>
    </row>
    <row r="248" spans="1:13">
      <c r="A248">
        <v>4084</v>
      </c>
      <c r="B248">
        <v>6008</v>
      </c>
      <c r="C2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SKYWORTH SUC9350 8L /3B</v>
      </c>
      <c r="D248" s="32">
        <v>46041</v>
      </c>
      <c r="E2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248">
        <v>1</v>
      </c>
      <c r="I248">
        <f>(salidas26[[#This Row],[CANT JUEGOS ]]*salidas26[[#This Row],[PRECIO JUEGO]])</f>
        <v>180</v>
      </c>
      <c r="J248">
        <f>(salidas26[[#This Row],[CANT BARRAS]]*salidas26[[#This Row],[PRECIO BARRA]])</f>
        <v>0</v>
      </c>
      <c r="K248">
        <v>130</v>
      </c>
      <c r="L248" t="s">
        <v>465</v>
      </c>
      <c r="M248" t="s">
        <v>481</v>
      </c>
    </row>
    <row r="249" spans="1:13">
      <c r="A249">
        <v>4086</v>
      </c>
      <c r="B249">
        <v>8021</v>
      </c>
      <c r="C2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249" s="32">
        <v>46042</v>
      </c>
      <c r="E2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49">
        <v>1</v>
      </c>
      <c r="I249">
        <f>(salidas26[[#This Row],[CANT JUEGOS ]]*salidas26[[#This Row],[PRECIO JUEGO]])</f>
        <v>60</v>
      </c>
      <c r="J249">
        <f>(salidas26[[#This Row],[CANT BARRAS]]*salidas26[[#This Row],[PRECIO BARRA]])</f>
        <v>0</v>
      </c>
      <c r="K249">
        <v>60</v>
      </c>
      <c r="L249" t="s">
        <v>465</v>
      </c>
      <c r="M249" t="s">
        <v>482</v>
      </c>
    </row>
    <row r="250" spans="1:13">
      <c r="A250">
        <v>4087</v>
      </c>
      <c r="B250">
        <v>1033</v>
      </c>
      <c r="C2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250" s="32">
        <v>46042</v>
      </c>
      <c r="E2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250">
        <v>1</v>
      </c>
      <c r="I250">
        <f>(salidas26[[#This Row],[CANT JUEGOS ]]*salidas26[[#This Row],[PRECIO JUEGO]])</f>
        <v>180</v>
      </c>
      <c r="J250">
        <f>(salidas26[[#This Row],[CANT BARRAS]]*salidas26[[#This Row],[PRECIO BARRA]])</f>
        <v>0</v>
      </c>
      <c r="K250">
        <v>180</v>
      </c>
      <c r="L250" t="s">
        <v>465</v>
      </c>
      <c r="M250" t="s">
        <v>469</v>
      </c>
    </row>
    <row r="251" spans="1:13">
      <c r="A251">
        <v>4088</v>
      </c>
      <c r="B251">
        <v>2036</v>
      </c>
      <c r="C2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251" s="32">
        <v>46042</v>
      </c>
      <c r="E2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2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251">
        <v>1</v>
      </c>
      <c r="I251">
        <f>(salidas26[[#This Row],[CANT JUEGOS ]]*salidas26[[#This Row],[PRECIO JUEGO]])</f>
        <v>220</v>
      </c>
      <c r="J251">
        <f>(salidas26[[#This Row],[CANT BARRAS]]*salidas26[[#This Row],[PRECIO BARRA]])</f>
        <v>0</v>
      </c>
      <c r="K251">
        <v>210</v>
      </c>
      <c r="L251" t="s">
        <v>465</v>
      </c>
      <c r="M251" t="s">
        <v>469</v>
      </c>
    </row>
    <row r="252" spans="1:13">
      <c r="A252">
        <v>4089</v>
      </c>
      <c r="B252">
        <v>4009</v>
      </c>
      <c r="C2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252" s="32">
        <v>46042</v>
      </c>
      <c r="E2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2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252">
        <v>1</v>
      </c>
      <c r="I252">
        <f>(salidas26[[#This Row],[CANT JUEGOS ]]*salidas26[[#This Row],[PRECIO JUEGO]])</f>
        <v>160</v>
      </c>
      <c r="J252">
        <f>(salidas26[[#This Row],[CANT BARRAS]]*salidas26[[#This Row],[PRECIO BARRA]])</f>
        <v>0</v>
      </c>
      <c r="K252">
        <v>180</v>
      </c>
      <c r="L252" t="s">
        <v>496</v>
      </c>
      <c r="M252" t="s">
        <v>558</v>
      </c>
    </row>
    <row r="253" spans="1:13">
      <c r="A253">
        <v>4090</v>
      </c>
      <c r="B253">
        <v>5006</v>
      </c>
      <c r="C2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253" s="32">
        <v>46042</v>
      </c>
      <c r="E2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53">
        <v>1</v>
      </c>
      <c r="I253">
        <f>(salidas26[[#This Row],[CANT JUEGOS ]]*salidas26[[#This Row],[PRECIO JUEGO]])</f>
        <v>90</v>
      </c>
      <c r="J253">
        <f>(salidas26[[#This Row],[CANT BARRAS]]*salidas26[[#This Row],[PRECIO BARRA]])</f>
        <v>0</v>
      </c>
      <c r="K253">
        <v>90</v>
      </c>
      <c r="L253" t="s">
        <v>465</v>
      </c>
      <c r="M253" t="s">
        <v>481</v>
      </c>
    </row>
    <row r="254" spans="1:13" s="18" customFormat="1">
      <c r="A254" s="18">
        <v>4091</v>
      </c>
      <c r="B254" s="18">
        <v>1033</v>
      </c>
      <c r="C254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254" s="75">
        <v>46042</v>
      </c>
      <c r="E254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54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254" s="18">
        <v>1</v>
      </c>
      <c r="I254" s="18">
        <f>(salidas26[[#This Row],[CANT JUEGOS ]]*salidas26[[#This Row],[PRECIO JUEGO]])</f>
        <v>180</v>
      </c>
      <c r="J254" s="18">
        <f>(salidas26[[#This Row],[CANT BARRAS]]*salidas26[[#This Row],[PRECIO BARRA]])</f>
        <v>0</v>
      </c>
      <c r="K254" s="18">
        <v>180</v>
      </c>
      <c r="L254" s="18" t="s">
        <v>496</v>
      </c>
      <c r="M254" s="18" t="s">
        <v>509</v>
      </c>
    </row>
    <row r="255" spans="1:13" s="18" customFormat="1">
      <c r="A255" s="18">
        <v>4091</v>
      </c>
      <c r="B255" s="18">
        <v>1078</v>
      </c>
      <c r="C255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255" s="75">
        <v>46042</v>
      </c>
      <c r="E255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255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255" s="18">
        <v>1</v>
      </c>
      <c r="I255" s="18">
        <f>(salidas26[[#This Row],[CANT JUEGOS ]]*salidas26[[#This Row],[PRECIO JUEGO]])</f>
        <v>280</v>
      </c>
      <c r="J255" s="18">
        <f>(salidas26[[#This Row],[CANT BARRAS]]*salidas26[[#This Row],[PRECIO BARRA]])</f>
        <v>0</v>
      </c>
      <c r="K255" s="18">
        <v>270</v>
      </c>
      <c r="L255" s="18" t="s">
        <v>496</v>
      </c>
      <c r="M255" s="18" t="s">
        <v>509</v>
      </c>
    </row>
    <row r="256" spans="1:13">
      <c r="A256">
        <v>4092</v>
      </c>
      <c r="B256">
        <v>7002</v>
      </c>
      <c r="C2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256" s="32">
        <v>46042</v>
      </c>
      <c r="E2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2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256">
        <v>1</v>
      </c>
      <c r="I256">
        <f>(salidas26[[#This Row],[CANT JUEGOS ]]*salidas26[[#This Row],[PRECIO JUEGO]])</f>
        <v>70</v>
      </c>
      <c r="J256">
        <f>(salidas26[[#This Row],[CANT BARRAS]]*salidas26[[#This Row],[PRECIO BARRA]])</f>
        <v>0</v>
      </c>
      <c r="K256">
        <v>60</v>
      </c>
      <c r="L256" t="s">
        <v>465</v>
      </c>
      <c r="M256" t="s">
        <v>542</v>
      </c>
    </row>
    <row r="257" spans="1:13">
      <c r="A257">
        <v>4093</v>
      </c>
      <c r="B257">
        <v>8123</v>
      </c>
      <c r="C2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257" s="32">
        <v>46042</v>
      </c>
      <c r="E2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57">
        <v>10</v>
      </c>
      <c r="I257">
        <f>(salidas26[[#This Row],[CANT JUEGOS ]]*salidas26[[#This Row],[PRECIO JUEGO]])</f>
        <v>0</v>
      </c>
      <c r="J257">
        <f>(salidas26[[#This Row],[CANT BARRAS]]*salidas26[[#This Row],[PRECIO BARRA]])</f>
        <v>35</v>
      </c>
      <c r="K257">
        <v>350</v>
      </c>
      <c r="L257" t="s">
        <v>465</v>
      </c>
      <c r="M257" t="s">
        <v>481</v>
      </c>
    </row>
    <row r="258" spans="1:13">
      <c r="A258">
        <v>4094</v>
      </c>
      <c r="B258">
        <v>8033</v>
      </c>
      <c r="C2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258" s="32">
        <v>46042</v>
      </c>
      <c r="E2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2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58">
        <v>1</v>
      </c>
      <c r="I258">
        <f>(salidas26[[#This Row],[CANT JUEGOS ]]*salidas26[[#This Row],[PRECIO JUEGO]])</f>
        <v>150</v>
      </c>
      <c r="J258">
        <f>(salidas26[[#This Row],[CANT BARRAS]]*salidas26[[#This Row],[PRECIO BARRA]])</f>
        <v>0</v>
      </c>
      <c r="K258">
        <v>150</v>
      </c>
      <c r="L258" t="s">
        <v>465</v>
      </c>
      <c r="M258" t="s">
        <v>468</v>
      </c>
    </row>
    <row r="259" spans="1:13">
      <c r="A259">
        <v>4095</v>
      </c>
      <c r="B259">
        <v>6000</v>
      </c>
      <c r="C2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259" s="32">
        <v>46042</v>
      </c>
      <c r="E2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59">
        <v>1</v>
      </c>
      <c r="I259">
        <f>(salidas26[[#This Row],[CANT JUEGOS ]]*salidas26[[#This Row],[PRECIO JUEGO]])</f>
        <v>60</v>
      </c>
      <c r="J259">
        <f>(salidas26[[#This Row],[CANT BARRAS]]*salidas26[[#This Row],[PRECIO BARRA]])</f>
        <v>0</v>
      </c>
      <c r="K259">
        <v>60</v>
      </c>
      <c r="L259" t="s">
        <v>465</v>
      </c>
      <c r="M259" t="s">
        <v>559</v>
      </c>
    </row>
    <row r="260" spans="1:13">
      <c r="A260">
        <v>4096</v>
      </c>
      <c r="B260">
        <v>8015</v>
      </c>
      <c r="C2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260" s="32">
        <v>46042</v>
      </c>
      <c r="E2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60">
        <v>1</v>
      </c>
      <c r="I260">
        <f>(salidas26[[#This Row],[CANT JUEGOS ]]*salidas26[[#This Row],[PRECIO JUEGO]])</f>
        <v>60</v>
      </c>
      <c r="J260">
        <f>(salidas26[[#This Row],[CANT BARRAS]]*salidas26[[#This Row],[PRECIO BARRA]])</f>
        <v>0</v>
      </c>
      <c r="K260">
        <v>60</v>
      </c>
      <c r="L260" t="s">
        <v>465</v>
      </c>
      <c r="M260" t="s">
        <v>532</v>
      </c>
    </row>
    <row r="261" spans="1:13">
      <c r="A261">
        <v>4098</v>
      </c>
      <c r="B261">
        <v>1049</v>
      </c>
      <c r="C2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261" s="32">
        <v>46042</v>
      </c>
      <c r="E2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261">
        <v>1</v>
      </c>
      <c r="I261">
        <f>(salidas26[[#This Row],[CANT JUEGOS ]]*salidas26[[#This Row],[PRECIO JUEGO]])</f>
        <v>180</v>
      </c>
      <c r="J261">
        <f>(salidas26[[#This Row],[CANT BARRAS]]*salidas26[[#This Row],[PRECIO BARRA]])</f>
        <v>0</v>
      </c>
      <c r="K261">
        <v>144</v>
      </c>
      <c r="L261" t="s">
        <v>465</v>
      </c>
      <c r="M261" t="s">
        <v>497</v>
      </c>
    </row>
    <row r="262" spans="1:13">
      <c r="A262">
        <v>1</v>
      </c>
      <c r="B262">
        <v>5002</v>
      </c>
      <c r="C2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262" s="32">
        <v>46042</v>
      </c>
      <c r="E2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62">
        <v>1</v>
      </c>
      <c r="I262">
        <f>(salidas26[[#This Row],[CANT JUEGOS ]]*salidas26[[#This Row],[PRECIO JUEGO]])</f>
        <v>90</v>
      </c>
      <c r="J262">
        <f>(salidas26[[#This Row],[CANT BARRAS]]*salidas26[[#This Row],[PRECIO BARRA]])</f>
        <v>0</v>
      </c>
      <c r="K262">
        <v>72</v>
      </c>
      <c r="L262" t="s">
        <v>465</v>
      </c>
      <c r="M262" t="s">
        <v>497</v>
      </c>
    </row>
    <row r="263" spans="1:13">
      <c r="A263">
        <v>2</v>
      </c>
      <c r="B263">
        <v>7000</v>
      </c>
      <c r="C2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263" s="32">
        <v>46042</v>
      </c>
      <c r="E2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63">
        <v>1</v>
      </c>
      <c r="I263">
        <f>(salidas26[[#This Row],[CANT JUEGOS ]]*salidas26[[#This Row],[PRECIO JUEGO]])</f>
        <v>60</v>
      </c>
      <c r="J263">
        <f>(salidas26[[#This Row],[CANT BARRAS]]*salidas26[[#This Row],[PRECIO BARRA]])</f>
        <v>0</v>
      </c>
      <c r="K263">
        <v>48</v>
      </c>
      <c r="L263" t="s">
        <v>465</v>
      </c>
      <c r="M263" t="s">
        <v>497</v>
      </c>
    </row>
    <row r="264" spans="1:13">
      <c r="A264">
        <v>3</v>
      </c>
      <c r="B264">
        <v>8067</v>
      </c>
      <c r="C2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264" s="32">
        <v>46042</v>
      </c>
      <c r="E2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2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264">
        <v>1</v>
      </c>
      <c r="I264">
        <f>(salidas26[[#This Row],[CANT JUEGOS ]]*salidas26[[#This Row],[PRECIO JUEGO]])</f>
        <v>220</v>
      </c>
      <c r="J264">
        <f>(salidas26[[#This Row],[CANT BARRAS]]*salidas26[[#This Row],[PRECIO BARRA]])</f>
        <v>0</v>
      </c>
      <c r="K264">
        <v>210</v>
      </c>
      <c r="L264" t="s">
        <v>465</v>
      </c>
      <c r="M264" t="s">
        <v>560</v>
      </c>
    </row>
    <row r="265" spans="1:13">
      <c r="A265">
        <v>4</v>
      </c>
      <c r="B265">
        <v>1015</v>
      </c>
      <c r="C2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265" s="32">
        <v>46042</v>
      </c>
      <c r="E2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2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H265">
        <v>2</v>
      </c>
      <c r="I265">
        <f>(salidas26[[#This Row],[CANT JUEGOS ]]*salidas26[[#This Row],[PRECIO JUEGO]])</f>
        <v>0</v>
      </c>
      <c r="J265">
        <f>(salidas26[[#This Row],[CANT BARRAS]]*salidas26[[#This Row],[PRECIO BARRA]])</f>
        <v>53.333333333333336</v>
      </c>
      <c r="K265">
        <v>60</v>
      </c>
      <c r="L265" t="s">
        <v>465</v>
      </c>
      <c r="M265" t="s">
        <v>561</v>
      </c>
    </row>
    <row r="266" spans="1:13">
      <c r="A266">
        <v>5</v>
      </c>
      <c r="B266">
        <v>1069</v>
      </c>
      <c r="C2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266" s="32">
        <v>46043</v>
      </c>
      <c r="E2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2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266">
        <v>1</v>
      </c>
      <c r="I266">
        <f>(salidas26[[#This Row],[CANT JUEGOS ]]*salidas26[[#This Row],[PRECIO JUEGO]])</f>
        <v>250</v>
      </c>
      <c r="J266">
        <f>(salidas26[[#This Row],[CANT BARRAS]]*salidas26[[#This Row],[PRECIO BARRA]])</f>
        <v>0</v>
      </c>
      <c r="K266">
        <v>2220</v>
      </c>
      <c r="L266" t="s">
        <v>465</v>
      </c>
      <c r="M266" t="s">
        <v>480</v>
      </c>
    </row>
    <row r="267" spans="1:13">
      <c r="A267">
        <v>6</v>
      </c>
      <c r="B267">
        <v>1033</v>
      </c>
      <c r="C2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267" s="32">
        <v>46043</v>
      </c>
      <c r="E2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267">
        <v>1</v>
      </c>
      <c r="I267">
        <f>(salidas26[[#This Row],[CANT JUEGOS ]]*salidas26[[#This Row],[PRECIO JUEGO]])</f>
        <v>180</v>
      </c>
      <c r="J267">
        <f>(salidas26[[#This Row],[CANT BARRAS]]*salidas26[[#This Row],[PRECIO BARRA]])</f>
        <v>0</v>
      </c>
      <c r="K267">
        <v>200</v>
      </c>
      <c r="L267" t="s">
        <v>496</v>
      </c>
      <c r="M267" t="s">
        <v>473</v>
      </c>
    </row>
    <row r="268" spans="1:13">
      <c r="A268">
        <v>8</v>
      </c>
      <c r="B268">
        <v>8123</v>
      </c>
      <c r="C2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268" s="32">
        <v>46043</v>
      </c>
      <c r="E2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68">
        <v>2</v>
      </c>
      <c r="I268">
        <f>(salidas26[[#This Row],[CANT JUEGOS ]]*salidas26[[#This Row],[PRECIO JUEGO]])</f>
        <v>0</v>
      </c>
      <c r="J268">
        <f>(salidas26[[#This Row],[CANT BARRAS]]*salidas26[[#This Row],[PRECIO BARRA]])</f>
        <v>7</v>
      </c>
      <c r="L268" t="s">
        <v>562</v>
      </c>
      <c r="M268" t="s">
        <v>563</v>
      </c>
    </row>
    <row r="269" spans="1:13">
      <c r="B269">
        <v>9001</v>
      </c>
      <c r="C2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/12B-75KB618</v>
      </c>
      <c r="D269" s="32">
        <v>46043</v>
      </c>
      <c r="E2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2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269">
        <v>1</v>
      </c>
      <c r="I269">
        <f>(salidas26[[#This Row],[CANT JUEGOS ]]*salidas26[[#This Row],[PRECIO JUEGO]])</f>
        <v>450</v>
      </c>
      <c r="J269">
        <f>(salidas26[[#This Row],[CANT BARRAS]]*salidas26[[#This Row],[PRECIO BARRA]])</f>
        <v>0</v>
      </c>
      <c r="M269" t="s">
        <v>504</v>
      </c>
    </row>
    <row r="270" spans="1:13">
      <c r="A270">
        <v>9</v>
      </c>
      <c r="B270">
        <v>9001</v>
      </c>
      <c r="C2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/12B-75KB618</v>
      </c>
      <c r="D270" s="32">
        <v>46043</v>
      </c>
      <c r="E2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2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H270">
        <v>3</v>
      </c>
      <c r="I270">
        <f>(salidas26[[#This Row],[CANT JUEGOS ]]*salidas26[[#This Row],[PRECIO JUEGO]])</f>
        <v>0</v>
      </c>
      <c r="J270">
        <f>(salidas26[[#This Row],[CANT BARRAS]]*salidas26[[#This Row],[PRECIO BARRA]])</f>
        <v>112.5</v>
      </c>
      <c r="K270">
        <v>150</v>
      </c>
      <c r="L270" t="s">
        <v>465</v>
      </c>
      <c r="M270" t="s">
        <v>541</v>
      </c>
    </row>
    <row r="271" spans="1:13">
      <c r="A271">
        <v>10</v>
      </c>
      <c r="B271">
        <v>2097</v>
      </c>
      <c r="C2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271" s="32">
        <v>46043</v>
      </c>
      <c r="E2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2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271">
        <v>1</v>
      </c>
      <c r="I271">
        <f>(salidas26[[#This Row],[CANT JUEGOS ]]*salidas26[[#This Row],[PRECIO JUEGO]])</f>
        <v>320</v>
      </c>
      <c r="J271">
        <f>(salidas26[[#This Row],[CANT BARRAS]]*salidas26[[#This Row],[PRECIO BARRA]])</f>
        <v>0</v>
      </c>
      <c r="K271">
        <v>320</v>
      </c>
      <c r="L271" t="s">
        <v>465</v>
      </c>
      <c r="M271" t="s">
        <v>532</v>
      </c>
    </row>
    <row r="272" spans="1:13">
      <c r="A272">
        <v>11</v>
      </c>
      <c r="B272">
        <v>8033</v>
      </c>
      <c r="C2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272" s="32">
        <v>46043</v>
      </c>
      <c r="E2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2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72">
        <v>1</v>
      </c>
      <c r="I272">
        <f>(salidas26[[#This Row],[CANT JUEGOS ]]*salidas26[[#This Row],[PRECIO JUEGO]])</f>
        <v>150</v>
      </c>
      <c r="J272">
        <f>(salidas26[[#This Row],[CANT BARRAS]]*salidas26[[#This Row],[PRECIO BARRA]])</f>
        <v>0</v>
      </c>
      <c r="K272">
        <v>140</v>
      </c>
      <c r="L272" t="s">
        <v>564</v>
      </c>
      <c r="M272" t="s">
        <v>492</v>
      </c>
    </row>
    <row r="273" spans="1:13">
      <c r="A273">
        <v>12</v>
      </c>
      <c r="B273">
        <v>2075</v>
      </c>
      <c r="C2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273" s="32">
        <v>46043</v>
      </c>
      <c r="E2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273">
        <v>1</v>
      </c>
      <c r="I273">
        <f>(salidas26[[#This Row],[CANT JUEGOS ]]*salidas26[[#This Row],[PRECIO JUEGO]])</f>
        <v>200</v>
      </c>
      <c r="J273">
        <f>(salidas26[[#This Row],[CANT BARRAS]]*salidas26[[#This Row],[PRECIO BARRA]])</f>
        <v>0</v>
      </c>
      <c r="K273">
        <v>200</v>
      </c>
      <c r="L273" t="s">
        <v>465</v>
      </c>
      <c r="M273" t="s">
        <v>541</v>
      </c>
    </row>
    <row r="274" spans="1:13">
      <c r="A274">
        <v>13</v>
      </c>
      <c r="B274">
        <v>8067</v>
      </c>
      <c r="C2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274" s="32">
        <v>46043</v>
      </c>
      <c r="E2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2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274">
        <v>1</v>
      </c>
      <c r="I274">
        <f>(salidas26[[#This Row],[CANT JUEGOS ]]*salidas26[[#This Row],[PRECIO JUEGO]])</f>
        <v>220</v>
      </c>
      <c r="J274">
        <f>(salidas26[[#This Row],[CANT BARRAS]]*salidas26[[#This Row],[PRECIO BARRA]])</f>
        <v>0</v>
      </c>
      <c r="K274">
        <v>220</v>
      </c>
      <c r="L274" t="s">
        <v>496</v>
      </c>
      <c r="M274" t="s">
        <v>565</v>
      </c>
    </row>
    <row r="275" spans="1:13" s="18" customFormat="1">
      <c r="A275" s="18">
        <v>14</v>
      </c>
      <c r="B275" s="18">
        <v>2087</v>
      </c>
      <c r="C275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275" s="75">
        <v>46043</v>
      </c>
      <c r="E275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275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275" s="18">
        <v>1</v>
      </c>
      <c r="I275" s="18">
        <f>(salidas26[[#This Row],[CANT JUEGOS ]]*salidas26[[#This Row],[PRECIO JUEGO]])</f>
        <v>240</v>
      </c>
      <c r="J275" s="18">
        <f>(salidas26[[#This Row],[CANT BARRAS]]*salidas26[[#This Row],[PRECIO BARRA]])</f>
        <v>0</v>
      </c>
      <c r="K275" s="18">
        <v>150</v>
      </c>
      <c r="L275" s="18" t="s">
        <v>465</v>
      </c>
      <c r="M275" s="18" t="s">
        <v>490</v>
      </c>
    </row>
    <row r="276" spans="1:13">
      <c r="A276">
        <v>15</v>
      </c>
      <c r="B276">
        <v>8021</v>
      </c>
      <c r="C2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276" s="32">
        <v>46043</v>
      </c>
      <c r="E2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76">
        <v>1</v>
      </c>
      <c r="I276">
        <f>(salidas26[[#This Row],[CANT JUEGOS ]]*salidas26[[#This Row],[PRECIO JUEGO]])</f>
        <v>60</v>
      </c>
      <c r="J276">
        <f>(salidas26[[#This Row],[CANT BARRAS]]*salidas26[[#This Row],[PRECIO BARRA]])</f>
        <v>0</v>
      </c>
      <c r="K276">
        <v>60</v>
      </c>
      <c r="L276" t="s">
        <v>496</v>
      </c>
      <c r="M276" t="s">
        <v>566</v>
      </c>
    </row>
    <row r="277" spans="1:13" s="18" customFormat="1">
      <c r="A277" s="18">
        <v>16</v>
      </c>
      <c r="B277" s="18">
        <v>3006</v>
      </c>
      <c r="C277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277" s="75">
        <v>46043</v>
      </c>
      <c r="E277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77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277" s="18">
        <v>1</v>
      </c>
      <c r="I277" s="18">
        <f>(salidas26[[#This Row],[CANT JUEGOS ]]*salidas26[[#This Row],[PRECIO JUEGO]])</f>
        <v>180</v>
      </c>
      <c r="J277" s="18">
        <f>(salidas26[[#This Row],[CANT BARRAS]]*salidas26[[#This Row],[PRECIO BARRA]])</f>
        <v>0</v>
      </c>
      <c r="K277" s="18">
        <v>180</v>
      </c>
      <c r="L277" s="18" t="s">
        <v>465</v>
      </c>
      <c r="M277" s="18" t="s">
        <v>473</v>
      </c>
    </row>
    <row r="278" spans="1:13">
      <c r="A278">
        <v>17</v>
      </c>
      <c r="B278">
        <v>1075</v>
      </c>
      <c r="C2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278" s="32">
        <v>46043</v>
      </c>
      <c r="E2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2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78">
        <v>1</v>
      </c>
      <c r="I278">
        <f>(salidas26[[#This Row],[CANT JUEGOS ]]*salidas26[[#This Row],[PRECIO JUEGO]])</f>
        <v>240</v>
      </c>
      <c r="J278">
        <f>(salidas26[[#This Row],[CANT BARRAS]]*salidas26[[#This Row],[PRECIO BARRA]])</f>
        <v>0</v>
      </c>
      <c r="K278">
        <v>230</v>
      </c>
      <c r="L278" t="s">
        <v>465</v>
      </c>
      <c r="M278" t="s">
        <v>520</v>
      </c>
    </row>
    <row r="279" spans="1:13">
      <c r="A279">
        <v>18</v>
      </c>
      <c r="B279">
        <v>1075</v>
      </c>
      <c r="C2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279" s="32">
        <v>46043</v>
      </c>
      <c r="E2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2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79">
        <v>1</v>
      </c>
      <c r="I279">
        <f>(salidas26[[#This Row],[CANT JUEGOS ]]*salidas26[[#This Row],[PRECIO JUEGO]])</f>
        <v>240</v>
      </c>
      <c r="J279">
        <f>(salidas26[[#This Row],[CANT BARRAS]]*salidas26[[#This Row],[PRECIO BARRA]])</f>
        <v>0</v>
      </c>
      <c r="K279">
        <v>240</v>
      </c>
      <c r="L279" t="s">
        <v>465</v>
      </c>
      <c r="M279" t="s">
        <v>487</v>
      </c>
    </row>
    <row r="280" spans="1:13" s="18" customFormat="1">
      <c r="A280" s="18">
        <v>19</v>
      </c>
      <c r="B280" s="18">
        <v>2048</v>
      </c>
      <c r="C280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 NU7100/2B EDGE</v>
      </c>
      <c r="D280" s="75">
        <v>46043</v>
      </c>
      <c r="E280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80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280" s="18">
        <v>2</v>
      </c>
      <c r="I280" s="18">
        <f>(salidas26[[#This Row],[CANT JUEGOS ]]*salidas26[[#This Row],[PRECIO JUEGO]])</f>
        <v>360</v>
      </c>
      <c r="J280" s="18">
        <f>(salidas26[[#This Row],[CANT BARRAS]]*salidas26[[#This Row],[PRECIO BARRA]])</f>
        <v>0</v>
      </c>
      <c r="K280" s="18">
        <v>300</v>
      </c>
      <c r="L280" s="18" t="s">
        <v>465</v>
      </c>
      <c r="M280" s="18" t="s">
        <v>490</v>
      </c>
    </row>
    <row r="281" spans="1:13">
      <c r="A281">
        <v>20</v>
      </c>
      <c r="B281">
        <v>6009</v>
      </c>
      <c r="C2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281" s="32">
        <v>46044</v>
      </c>
      <c r="E2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281">
        <v>8</v>
      </c>
      <c r="I281">
        <f>(salidas26[[#This Row],[CANT JUEGOS ]]*salidas26[[#This Row],[PRECIO JUEGO]])</f>
        <v>0</v>
      </c>
      <c r="J281">
        <f>(salidas26[[#This Row],[CANT BARRAS]]*salidas26[[#This Row],[PRECIO BARRA]])</f>
        <v>180</v>
      </c>
      <c r="K281">
        <v>200</v>
      </c>
      <c r="L281" t="s">
        <v>465</v>
      </c>
      <c r="M281" t="s">
        <v>470</v>
      </c>
    </row>
    <row r="282" spans="1:13">
      <c r="A282">
        <v>21</v>
      </c>
      <c r="B282">
        <v>1033</v>
      </c>
      <c r="C2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282" s="32">
        <v>46044</v>
      </c>
      <c r="E2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2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282">
        <v>2</v>
      </c>
      <c r="I282">
        <f>(salidas26[[#This Row],[CANT JUEGOS ]]*salidas26[[#This Row],[PRECIO JUEGO]])</f>
        <v>360</v>
      </c>
      <c r="J282">
        <f>(salidas26[[#This Row],[CANT BARRAS]]*salidas26[[#This Row],[PRECIO BARRA]])</f>
        <v>0</v>
      </c>
      <c r="K282">
        <v>360</v>
      </c>
      <c r="L282" t="s">
        <v>496</v>
      </c>
      <c r="M282" t="s">
        <v>543</v>
      </c>
    </row>
    <row r="283" spans="1:13">
      <c r="A283">
        <v>22</v>
      </c>
      <c r="B283">
        <v>7015</v>
      </c>
      <c r="C2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283" s="32">
        <v>46044</v>
      </c>
      <c r="E2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83">
        <v>1</v>
      </c>
      <c r="I283">
        <f>(salidas26[[#This Row],[CANT JUEGOS ]]*salidas26[[#This Row],[PRECIO JUEGO]])</f>
        <v>200</v>
      </c>
      <c r="J283">
        <f>(salidas26[[#This Row],[CANT BARRAS]]*salidas26[[#This Row],[PRECIO BARRA]])</f>
        <v>0</v>
      </c>
      <c r="K283">
        <v>160</v>
      </c>
      <c r="L283" t="s">
        <v>465</v>
      </c>
      <c r="M283" t="s">
        <v>497</v>
      </c>
    </row>
    <row r="284" spans="1:13">
      <c r="A284">
        <v>23</v>
      </c>
      <c r="B284">
        <v>2003</v>
      </c>
      <c r="C2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284" s="32">
        <v>46044</v>
      </c>
      <c r="E2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2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284">
        <v>1</v>
      </c>
      <c r="I284">
        <f>(salidas26[[#This Row],[CANT JUEGOS ]]*salidas26[[#This Row],[PRECIO JUEGO]])</f>
        <v>130</v>
      </c>
      <c r="J284">
        <f>(salidas26[[#This Row],[CANT BARRAS]]*salidas26[[#This Row],[PRECIO BARRA]])</f>
        <v>0</v>
      </c>
      <c r="K284">
        <v>104</v>
      </c>
      <c r="L284" t="s">
        <v>465</v>
      </c>
      <c r="M284" t="s">
        <v>497</v>
      </c>
    </row>
    <row r="285" spans="1:13">
      <c r="A285">
        <v>24</v>
      </c>
      <c r="B285">
        <v>8070</v>
      </c>
      <c r="C2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JVC KB527</v>
      </c>
      <c r="D285" s="32">
        <v>46044</v>
      </c>
      <c r="E2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2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285">
        <v>1</v>
      </c>
      <c r="I285">
        <f>(salidas26[[#This Row],[CANT JUEGOS ]]*salidas26[[#This Row],[PRECIO JUEGO]])</f>
        <v>250</v>
      </c>
      <c r="J285">
        <f>(salidas26[[#This Row],[CANT BARRAS]]*salidas26[[#This Row],[PRECIO BARRA]])</f>
        <v>0</v>
      </c>
      <c r="K285">
        <v>200</v>
      </c>
      <c r="L285" t="s">
        <v>465</v>
      </c>
      <c r="M285" t="s">
        <v>497</v>
      </c>
    </row>
    <row r="286" spans="1:13">
      <c r="A286">
        <v>26</v>
      </c>
      <c r="B286">
        <v>4003</v>
      </c>
      <c r="C2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286" s="32">
        <v>46044</v>
      </c>
      <c r="E2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86">
        <v>1</v>
      </c>
      <c r="H286">
        <v>1</v>
      </c>
      <c r="I286">
        <f>(salidas26[[#This Row],[CANT JUEGOS ]]*salidas26[[#This Row],[PRECIO JUEGO]])</f>
        <v>90</v>
      </c>
      <c r="J286">
        <f>(salidas26[[#This Row],[CANT BARRAS]]*salidas26[[#This Row],[PRECIO BARRA]])</f>
        <v>30</v>
      </c>
      <c r="K286">
        <v>120</v>
      </c>
      <c r="L286" t="s">
        <v>465</v>
      </c>
      <c r="M286" t="s">
        <v>520</v>
      </c>
    </row>
    <row r="287" spans="1:13">
      <c r="A287">
        <v>27</v>
      </c>
      <c r="B287">
        <v>8033</v>
      </c>
      <c r="C2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287" s="32">
        <v>46044</v>
      </c>
      <c r="E2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2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287">
        <v>1</v>
      </c>
      <c r="I287">
        <f>(salidas26[[#This Row],[CANT JUEGOS ]]*salidas26[[#This Row],[PRECIO JUEGO]])</f>
        <v>150</v>
      </c>
      <c r="J287">
        <f>(salidas26[[#This Row],[CANT BARRAS]]*salidas26[[#This Row],[PRECIO BARRA]])</f>
        <v>0</v>
      </c>
      <c r="K287">
        <v>150</v>
      </c>
      <c r="L287" t="s">
        <v>465</v>
      </c>
      <c r="M287" t="s">
        <v>544</v>
      </c>
    </row>
    <row r="288" spans="1:13">
      <c r="A288">
        <v>28</v>
      </c>
      <c r="B288">
        <v>1067</v>
      </c>
      <c r="C2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47LA6600/2B</v>
      </c>
      <c r="D288" s="32">
        <v>46044</v>
      </c>
      <c r="E2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2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288">
        <v>1</v>
      </c>
      <c r="I288">
        <f>(salidas26[[#This Row],[CANT JUEGOS ]]*salidas26[[#This Row],[PRECIO JUEGO]])</f>
        <v>250</v>
      </c>
      <c r="J288">
        <f>(salidas26[[#This Row],[CANT BARRAS]]*salidas26[[#This Row],[PRECIO BARRA]])</f>
        <v>0</v>
      </c>
      <c r="K288">
        <v>210</v>
      </c>
      <c r="L288" t="s">
        <v>465</v>
      </c>
      <c r="M288" t="s">
        <v>567</v>
      </c>
    </row>
    <row r="289" spans="1:13">
      <c r="A289">
        <v>29</v>
      </c>
      <c r="B289">
        <v>5012</v>
      </c>
      <c r="C2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KDL-40R455 SONY/10B</v>
      </c>
      <c r="D289" s="32">
        <v>46044</v>
      </c>
      <c r="E2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289">
        <v>1</v>
      </c>
      <c r="I289">
        <f>(salidas26[[#This Row],[CANT JUEGOS ]]*salidas26[[#This Row],[PRECIO JUEGO]])</f>
        <v>200</v>
      </c>
      <c r="J289">
        <f>(salidas26[[#This Row],[CANT BARRAS]]*salidas26[[#This Row],[PRECIO BARRA]])</f>
        <v>0</v>
      </c>
      <c r="K289">
        <v>200</v>
      </c>
      <c r="L289" t="s">
        <v>465</v>
      </c>
      <c r="M289" t="s">
        <v>522</v>
      </c>
    </row>
    <row r="290" spans="1:13">
      <c r="A290">
        <v>30</v>
      </c>
      <c r="B290">
        <v>2087</v>
      </c>
      <c r="C2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290" s="32">
        <v>46044</v>
      </c>
      <c r="E2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2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290">
        <v>1</v>
      </c>
      <c r="I290">
        <f>(salidas26[[#This Row],[CANT JUEGOS ]]*salidas26[[#This Row],[PRECIO JUEGO]])</f>
        <v>240</v>
      </c>
      <c r="J290">
        <f>(salidas26[[#This Row],[CANT BARRAS]]*salidas26[[#This Row],[PRECIO BARRA]])</f>
        <v>0</v>
      </c>
      <c r="K290">
        <v>220</v>
      </c>
      <c r="L290" t="s">
        <v>496</v>
      </c>
      <c r="M290" t="s">
        <v>568</v>
      </c>
    </row>
    <row r="291" spans="1:13">
      <c r="A291">
        <v>31</v>
      </c>
      <c r="B291">
        <v>2087</v>
      </c>
      <c r="C2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291" s="32">
        <v>46044</v>
      </c>
      <c r="E2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2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H291">
        <v>1</v>
      </c>
      <c r="I291">
        <f>(salidas26[[#This Row],[CANT JUEGOS ]]*salidas26[[#This Row],[PRECIO JUEGO]])</f>
        <v>0</v>
      </c>
      <c r="J291">
        <f>(salidas26[[#This Row],[CANT BARRAS]]*salidas26[[#This Row],[PRECIO BARRA]])</f>
        <v>120</v>
      </c>
      <c r="L291" t="s">
        <v>562</v>
      </c>
      <c r="M291" t="s">
        <v>490</v>
      </c>
    </row>
    <row r="292" spans="1:13">
      <c r="A292">
        <v>32</v>
      </c>
      <c r="B292">
        <v>7000</v>
      </c>
      <c r="C2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292" s="32">
        <v>46044</v>
      </c>
      <c r="E2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92">
        <v>1</v>
      </c>
      <c r="I292">
        <f>(salidas26[[#This Row],[CANT JUEGOS ]]*salidas26[[#This Row],[PRECIO JUEGO]])</f>
        <v>60</v>
      </c>
      <c r="J292">
        <f>(salidas26[[#This Row],[CANT BARRAS]]*salidas26[[#This Row],[PRECIO BARRA]])</f>
        <v>0</v>
      </c>
      <c r="K292">
        <v>60</v>
      </c>
      <c r="L292" t="s">
        <v>465</v>
      </c>
      <c r="M292" t="s">
        <v>544</v>
      </c>
    </row>
    <row r="293" spans="1:13">
      <c r="A293">
        <v>34</v>
      </c>
      <c r="B293">
        <v>8124</v>
      </c>
      <c r="C2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293" s="32">
        <v>46044</v>
      </c>
      <c r="E2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93">
        <v>24</v>
      </c>
      <c r="I293">
        <f>(salidas26[[#This Row],[CANT JUEGOS ]]*salidas26[[#This Row],[PRECIO JUEGO]])</f>
        <v>0</v>
      </c>
      <c r="J293">
        <f>(salidas26[[#This Row],[CANT BARRAS]]*salidas26[[#This Row],[PRECIO BARRA]])</f>
        <v>84</v>
      </c>
      <c r="K293">
        <v>84</v>
      </c>
      <c r="L293" t="s">
        <v>465</v>
      </c>
      <c r="M293" t="s">
        <v>502</v>
      </c>
    </row>
    <row r="294" spans="1:13">
      <c r="A294">
        <v>35</v>
      </c>
      <c r="B294">
        <v>5000</v>
      </c>
      <c r="C2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KDL-32R425A SONY/3B</v>
      </c>
      <c r="D294" s="32">
        <v>46045</v>
      </c>
      <c r="E2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2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94">
        <v>1</v>
      </c>
      <c r="I294">
        <f>(salidas26[[#This Row],[CANT JUEGOS ]]*salidas26[[#This Row],[PRECIO JUEGO]])</f>
        <v>90</v>
      </c>
      <c r="J294">
        <f>(salidas26[[#This Row],[CANT BARRAS]]*salidas26[[#This Row],[PRECIO BARRA]])</f>
        <v>0</v>
      </c>
      <c r="K294">
        <v>100</v>
      </c>
      <c r="L294" t="s">
        <v>465</v>
      </c>
      <c r="M294" t="s">
        <v>481</v>
      </c>
    </row>
    <row r="295" spans="1:13">
      <c r="A295">
        <v>36</v>
      </c>
      <c r="B295">
        <v>8123</v>
      </c>
      <c r="C2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E2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2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295">
        <v>1</v>
      </c>
      <c r="I295">
        <f>(salidas26[[#This Row],[CANT JUEGOS ]]*salidas26[[#This Row],[PRECIO JUEGO]])</f>
        <v>0</v>
      </c>
      <c r="J295">
        <f>(salidas26[[#This Row],[CANT BARRAS]]*salidas26[[#This Row],[PRECIO BARRA]])</f>
        <v>3.5</v>
      </c>
      <c r="K295">
        <v>4</v>
      </c>
      <c r="L295" t="s">
        <v>465</v>
      </c>
      <c r="M295" t="s">
        <v>569</v>
      </c>
    </row>
    <row r="296" spans="1:13">
      <c r="A296">
        <v>37</v>
      </c>
      <c r="B296">
        <v>3028</v>
      </c>
      <c r="C2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55U6500 8L/14B</v>
      </c>
      <c r="D296" s="32">
        <v>46045</v>
      </c>
      <c r="E2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2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296">
        <v>1</v>
      </c>
      <c r="I296">
        <f>(salidas26[[#This Row],[CANT JUEGOS ]]*salidas26[[#This Row],[PRECIO JUEGO]])</f>
        <v>350</v>
      </c>
      <c r="J296">
        <f>(salidas26[[#This Row],[CANT BARRAS]]*salidas26[[#This Row],[PRECIO BARRA]])</f>
        <v>0</v>
      </c>
      <c r="K296">
        <v>350</v>
      </c>
      <c r="L296" t="s">
        <v>496</v>
      </c>
      <c r="M296" t="s">
        <v>570</v>
      </c>
    </row>
    <row r="297" spans="1:13">
      <c r="A297">
        <v>38</v>
      </c>
      <c r="B297">
        <v>1126</v>
      </c>
      <c r="C2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55UH6150/2B</v>
      </c>
      <c r="D297" s="32">
        <v>46046</v>
      </c>
      <c r="E2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2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297">
        <v>1</v>
      </c>
      <c r="I297">
        <f>(salidas26[[#This Row],[CANT JUEGOS ]]*salidas26[[#This Row],[PRECIO JUEGO]])</f>
        <v>260</v>
      </c>
      <c r="J297">
        <f>(salidas26[[#This Row],[CANT BARRAS]]*salidas26[[#This Row],[PRECIO BARRA]])</f>
        <v>0</v>
      </c>
      <c r="K297">
        <v>260</v>
      </c>
      <c r="L297" t="s">
        <v>496</v>
      </c>
      <c r="M297" t="s">
        <v>468</v>
      </c>
    </row>
    <row r="298" spans="1:13">
      <c r="A298">
        <v>39</v>
      </c>
      <c r="B298">
        <v>4015</v>
      </c>
      <c r="C2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49-DAeWO/ 9B EL JUEGO 1 PIN</v>
      </c>
      <c r="D298" s="32">
        <v>46046</v>
      </c>
      <c r="E2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2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298">
        <v>1</v>
      </c>
      <c r="I298">
        <f>(salidas26[[#This Row],[CANT JUEGOS ]]*salidas26[[#This Row],[PRECIO JUEGO]])</f>
        <v>200</v>
      </c>
      <c r="J298">
        <f>(salidas26[[#This Row],[CANT BARRAS]]*salidas26[[#This Row],[PRECIO BARRA]])</f>
        <v>0</v>
      </c>
      <c r="K298">
        <v>200</v>
      </c>
      <c r="L298" t="s">
        <v>465</v>
      </c>
      <c r="M298" t="s">
        <v>468</v>
      </c>
    </row>
    <row r="299" spans="1:13">
      <c r="A299">
        <v>40</v>
      </c>
      <c r="B299">
        <v>8021</v>
      </c>
      <c r="C2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299" s="32">
        <v>46046</v>
      </c>
      <c r="E2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2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299">
        <v>1</v>
      </c>
      <c r="I299">
        <f>(salidas26[[#This Row],[CANT JUEGOS ]]*salidas26[[#This Row],[PRECIO JUEGO]])</f>
        <v>60</v>
      </c>
      <c r="J299">
        <f>(salidas26[[#This Row],[CANT BARRAS]]*salidas26[[#This Row],[PRECIO BARRA]])</f>
        <v>0</v>
      </c>
      <c r="K299">
        <v>60</v>
      </c>
      <c r="L299" t="s">
        <v>496</v>
      </c>
      <c r="M299" t="s">
        <v>468</v>
      </c>
    </row>
    <row r="300" spans="1:13">
      <c r="A300">
        <v>41</v>
      </c>
      <c r="B300">
        <v>2097</v>
      </c>
      <c r="C3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300" s="32">
        <v>46046</v>
      </c>
      <c r="E3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3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300">
        <v>1</v>
      </c>
      <c r="I300">
        <f>(salidas26[[#This Row],[CANT JUEGOS ]]*salidas26[[#This Row],[PRECIO JUEGO]])</f>
        <v>320</v>
      </c>
      <c r="J300">
        <f>(salidas26[[#This Row],[CANT BARRAS]]*salidas26[[#This Row],[PRECIO BARRA]])</f>
        <v>0</v>
      </c>
      <c r="K300">
        <v>310</v>
      </c>
      <c r="L300" t="s">
        <v>496</v>
      </c>
      <c r="M300" t="s">
        <v>528</v>
      </c>
    </row>
    <row r="301" spans="1:13">
      <c r="A301">
        <v>42</v>
      </c>
      <c r="B301">
        <v>2018</v>
      </c>
      <c r="C3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UN40FH6203 3B/2C/1R/13-13-13</v>
      </c>
      <c r="D301" s="32">
        <v>46046</v>
      </c>
      <c r="E3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301">
        <v>1</v>
      </c>
      <c r="I301">
        <f>(salidas26[[#This Row],[CANT JUEGOS ]]*salidas26[[#This Row],[PRECIO JUEGO]])</f>
        <v>160</v>
      </c>
      <c r="J301">
        <f>(salidas26[[#This Row],[CANT BARRAS]]*salidas26[[#This Row],[PRECIO BARRA]])</f>
        <v>0</v>
      </c>
      <c r="K301">
        <v>150</v>
      </c>
      <c r="L301" t="s">
        <v>496</v>
      </c>
      <c r="M301" t="s">
        <v>528</v>
      </c>
    </row>
    <row r="302" spans="1:13">
      <c r="A302">
        <v>43</v>
      </c>
      <c r="B302">
        <v>2090</v>
      </c>
      <c r="C3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302" s="32">
        <v>46046</v>
      </c>
      <c r="E3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3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302">
        <v>1</v>
      </c>
      <c r="I302">
        <f>(salidas26[[#This Row],[CANT JUEGOS ]]*salidas26[[#This Row],[PRECIO JUEGO]])</f>
        <v>350</v>
      </c>
      <c r="J302">
        <f>(salidas26[[#This Row],[CANT BARRAS]]*salidas26[[#This Row],[PRECIO BARRA]])</f>
        <v>0</v>
      </c>
      <c r="K302">
        <v>340</v>
      </c>
      <c r="L302" t="s">
        <v>496</v>
      </c>
      <c r="M302" t="s">
        <v>528</v>
      </c>
    </row>
    <row r="303" spans="1:13">
      <c r="A303">
        <v>44</v>
      </c>
      <c r="B303">
        <v>7000</v>
      </c>
      <c r="C3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303" s="32">
        <v>46046</v>
      </c>
      <c r="E3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03">
        <v>1</v>
      </c>
      <c r="I303">
        <f>(salidas26[[#This Row],[CANT JUEGOS ]]*salidas26[[#This Row],[PRECIO JUEGO]])</f>
        <v>60</v>
      </c>
      <c r="J303">
        <f>(salidas26[[#This Row],[CANT BARRAS]]*salidas26[[#This Row],[PRECIO BARRA]])</f>
        <v>0</v>
      </c>
      <c r="K303">
        <v>60</v>
      </c>
      <c r="L303" t="s">
        <v>465</v>
      </c>
      <c r="M303" t="s">
        <v>483</v>
      </c>
    </row>
    <row r="304" spans="1:13">
      <c r="A304">
        <v>45</v>
      </c>
      <c r="B304">
        <v>8123</v>
      </c>
      <c r="C3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304" s="32">
        <v>46046</v>
      </c>
      <c r="E3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04">
        <v>38</v>
      </c>
      <c r="I304">
        <f>(salidas26[[#This Row],[CANT JUEGOS ]]*salidas26[[#This Row],[PRECIO JUEGO]])</f>
        <v>0</v>
      </c>
      <c r="J304">
        <f>(salidas26[[#This Row],[CANT BARRAS]]*salidas26[[#This Row],[PRECIO BARRA]])</f>
        <v>133</v>
      </c>
      <c r="K304">
        <v>125</v>
      </c>
      <c r="L304" t="s">
        <v>496</v>
      </c>
      <c r="M304" t="s">
        <v>571</v>
      </c>
    </row>
    <row r="305" spans="1:13">
      <c r="A305">
        <v>46</v>
      </c>
      <c r="B305">
        <v>6009</v>
      </c>
      <c r="C3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305" s="32">
        <v>46046</v>
      </c>
      <c r="E3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305">
        <v>6</v>
      </c>
      <c r="I305">
        <f>(salidas26[[#This Row],[CANT JUEGOS ]]*salidas26[[#This Row],[PRECIO JUEGO]])</f>
        <v>0</v>
      </c>
      <c r="J305">
        <f>(salidas26[[#This Row],[CANT BARRAS]]*salidas26[[#This Row],[PRECIO BARRA]])</f>
        <v>135</v>
      </c>
      <c r="K305">
        <v>170</v>
      </c>
      <c r="L305" t="s">
        <v>465</v>
      </c>
      <c r="M305" t="s">
        <v>470</v>
      </c>
    </row>
    <row r="306" spans="1:13">
      <c r="A306">
        <v>47</v>
      </c>
      <c r="B306">
        <v>3040</v>
      </c>
      <c r="C3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HAIER LE65U6500DUA</v>
      </c>
      <c r="D306" s="32">
        <v>46046</v>
      </c>
      <c r="E3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3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28.125</v>
      </c>
      <c r="G306">
        <v>1</v>
      </c>
      <c r="I306">
        <f>(salidas26[[#This Row],[CANT JUEGOS ]]*salidas26[[#This Row],[PRECIO JUEGO]])</f>
        <v>450</v>
      </c>
      <c r="J306">
        <f>(salidas26[[#This Row],[CANT BARRAS]]*salidas26[[#This Row],[PRECIO BARRA]])</f>
        <v>0</v>
      </c>
      <c r="K306">
        <v>360</v>
      </c>
      <c r="L306" t="s">
        <v>496</v>
      </c>
      <c r="M306" t="s">
        <v>497</v>
      </c>
    </row>
    <row r="307" spans="1:13">
      <c r="A307">
        <v>48</v>
      </c>
      <c r="B307">
        <v>7000</v>
      </c>
      <c r="C3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307" s="32">
        <v>46046</v>
      </c>
      <c r="E3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07">
        <v>1</v>
      </c>
      <c r="I307">
        <f>(salidas26[[#This Row],[CANT JUEGOS ]]*salidas26[[#This Row],[PRECIO JUEGO]])</f>
        <v>60</v>
      </c>
      <c r="J307">
        <f>(salidas26[[#This Row],[CANT BARRAS]]*salidas26[[#This Row],[PRECIO BARRA]])</f>
        <v>0</v>
      </c>
      <c r="K307">
        <v>48</v>
      </c>
      <c r="L307" t="s">
        <v>496</v>
      </c>
      <c r="M307" t="s">
        <v>497</v>
      </c>
    </row>
    <row r="308" spans="1:13">
      <c r="A308">
        <v>49</v>
      </c>
      <c r="B308">
        <v>7015</v>
      </c>
      <c r="C3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308" s="32">
        <v>46046</v>
      </c>
      <c r="E3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308">
        <v>1</v>
      </c>
      <c r="I308">
        <f>(salidas26[[#This Row],[CANT JUEGOS ]]*salidas26[[#This Row],[PRECIO JUEGO]])</f>
        <v>200</v>
      </c>
      <c r="J308">
        <f>(salidas26[[#This Row],[CANT BARRAS]]*salidas26[[#This Row],[PRECIO BARRA]])</f>
        <v>0</v>
      </c>
      <c r="K308">
        <v>160</v>
      </c>
      <c r="L308" t="s">
        <v>496</v>
      </c>
      <c r="M308" t="s">
        <v>497</v>
      </c>
    </row>
    <row r="309" spans="1:13">
      <c r="A309">
        <v>50</v>
      </c>
      <c r="B309">
        <v>5018</v>
      </c>
      <c r="C3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309" s="32">
        <v>46046</v>
      </c>
      <c r="E3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309">
        <v>1</v>
      </c>
      <c r="I309">
        <f>(salidas26[[#This Row],[CANT JUEGOS ]]*salidas26[[#This Row],[PRECIO JUEGO]])</f>
        <v>200</v>
      </c>
      <c r="J309">
        <f>(salidas26[[#This Row],[CANT BARRAS]]*salidas26[[#This Row],[PRECIO BARRA]])</f>
        <v>0</v>
      </c>
      <c r="K309">
        <v>170</v>
      </c>
      <c r="L309" t="s">
        <v>496</v>
      </c>
      <c r="M309" t="s">
        <v>474</v>
      </c>
    </row>
    <row r="310" spans="1:13">
      <c r="A310">
        <v>51</v>
      </c>
      <c r="B310">
        <v>1033</v>
      </c>
      <c r="C3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310" s="32">
        <v>46046</v>
      </c>
      <c r="E3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310">
        <v>1</v>
      </c>
      <c r="I310">
        <f>(salidas26[[#This Row],[CANT JUEGOS ]]*salidas26[[#This Row],[PRECIO JUEGO]])</f>
        <v>180</v>
      </c>
      <c r="J310">
        <f>(salidas26[[#This Row],[CANT BARRAS]]*salidas26[[#This Row],[PRECIO BARRA]])</f>
        <v>0</v>
      </c>
      <c r="K310">
        <v>180</v>
      </c>
      <c r="L310" t="s">
        <v>496</v>
      </c>
      <c r="M310" t="s">
        <v>474</v>
      </c>
    </row>
    <row r="311" spans="1:13">
      <c r="A311">
        <v>52</v>
      </c>
      <c r="B311">
        <v>1027</v>
      </c>
      <c r="C3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32LM3400-4B/3V/9L</v>
      </c>
      <c r="D311" s="32">
        <v>46046</v>
      </c>
      <c r="E3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120</v>
      </c>
      <c r="F3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11">
        <v>1</v>
      </c>
      <c r="I311">
        <f>(salidas26[[#This Row],[CANT JUEGOS ]]*salidas26[[#This Row],[PRECIO JUEGO]])</f>
        <v>120</v>
      </c>
      <c r="J311">
        <f>(salidas26[[#This Row],[CANT BARRAS]]*salidas26[[#This Row],[PRECIO BARRA]])</f>
        <v>0</v>
      </c>
      <c r="K311">
        <v>110</v>
      </c>
      <c r="L311" t="s">
        <v>496</v>
      </c>
      <c r="M311" t="s">
        <v>474</v>
      </c>
    </row>
    <row r="312" spans="1:13">
      <c r="A312">
        <v>55</v>
      </c>
      <c r="B312">
        <v>8033</v>
      </c>
      <c r="C3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312" s="32">
        <v>46048</v>
      </c>
      <c r="E3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3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312">
        <v>1</v>
      </c>
      <c r="I312">
        <f>(salidas26[[#This Row],[CANT JUEGOS ]]*salidas26[[#This Row],[PRECIO JUEGO]])</f>
        <v>150</v>
      </c>
      <c r="J312">
        <f>(salidas26[[#This Row],[CANT BARRAS]]*salidas26[[#This Row],[PRECIO BARRA]])</f>
        <v>0</v>
      </c>
      <c r="K312">
        <v>150</v>
      </c>
      <c r="L312" t="s">
        <v>465</v>
      </c>
      <c r="M312" t="s">
        <v>572</v>
      </c>
    </row>
    <row r="313" spans="1:13">
      <c r="A313">
        <v>56</v>
      </c>
      <c r="B313">
        <v>8033</v>
      </c>
      <c r="C3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313" s="32">
        <v>46048</v>
      </c>
      <c r="E3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3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313">
        <v>1</v>
      </c>
      <c r="I313">
        <f>(salidas26[[#This Row],[CANT JUEGOS ]]*salidas26[[#This Row],[PRECIO JUEGO]])</f>
        <v>150</v>
      </c>
      <c r="J313">
        <f>(salidas26[[#This Row],[CANT BARRAS]]*salidas26[[#This Row],[PRECIO BARRA]])</f>
        <v>0</v>
      </c>
      <c r="K313">
        <v>140</v>
      </c>
      <c r="L313" t="s">
        <v>496</v>
      </c>
      <c r="M313" t="s">
        <v>492</v>
      </c>
    </row>
    <row r="314" spans="1:13">
      <c r="A314">
        <v>57</v>
      </c>
      <c r="B314">
        <v>5038</v>
      </c>
      <c r="C3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KDL-65X725E 2B</v>
      </c>
      <c r="D314" s="32">
        <v>46048</v>
      </c>
      <c r="E3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314">
        <v>2</v>
      </c>
      <c r="I314">
        <f>(salidas26[[#This Row],[CANT JUEGOS ]]*salidas26[[#This Row],[PRECIO JUEGO]])</f>
        <v>600</v>
      </c>
      <c r="J314">
        <f>(salidas26[[#This Row],[CANT BARRAS]]*salidas26[[#This Row],[PRECIO BARRA]])</f>
        <v>0</v>
      </c>
      <c r="K314">
        <v>600</v>
      </c>
      <c r="L314" t="s">
        <v>496</v>
      </c>
      <c r="M314" t="s">
        <v>573</v>
      </c>
    </row>
    <row r="315" spans="1:13">
      <c r="A315">
        <v>58</v>
      </c>
      <c r="B315">
        <v>4000</v>
      </c>
      <c r="C3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315" s="32">
        <v>46048</v>
      </c>
      <c r="E3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15">
        <v>1</v>
      </c>
      <c r="I315">
        <f>(salidas26[[#This Row],[CANT JUEGOS ]]*salidas26[[#This Row],[PRECIO JUEGO]])</f>
        <v>60</v>
      </c>
      <c r="J315">
        <f>(salidas26[[#This Row],[CANT BARRAS]]*salidas26[[#This Row],[PRECIO BARRA]])</f>
        <v>0</v>
      </c>
      <c r="K315">
        <v>60</v>
      </c>
      <c r="L315" t="s">
        <v>465</v>
      </c>
      <c r="M315" t="s">
        <v>536</v>
      </c>
    </row>
    <row r="316" spans="1:13">
      <c r="A316">
        <v>59</v>
      </c>
      <c r="B316">
        <v>7000</v>
      </c>
      <c r="C3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316" s="32">
        <v>46048</v>
      </c>
      <c r="E3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16">
        <v>1</v>
      </c>
      <c r="I316">
        <f>(salidas26[[#This Row],[CANT JUEGOS ]]*salidas26[[#This Row],[PRECIO JUEGO]])</f>
        <v>60</v>
      </c>
      <c r="J316">
        <f>(salidas26[[#This Row],[CANT BARRAS]]*salidas26[[#This Row],[PRECIO BARRA]])</f>
        <v>0</v>
      </c>
      <c r="K316">
        <v>60</v>
      </c>
      <c r="L316" t="s">
        <v>465</v>
      </c>
      <c r="M316" t="s">
        <v>482</v>
      </c>
    </row>
    <row r="317" spans="1:13">
      <c r="A317">
        <v>60</v>
      </c>
      <c r="B317">
        <v>8057</v>
      </c>
      <c r="C3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317" s="32">
        <v>46048</v>
      </c>
      <c r="E3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317">
        <v>1</v>
      </c>
      <c r="I317">
        <f>(salidas26[[#This Row],[CANT JUEGOS ]]*salidas26[[#This Row],[PRECIO JUEGO]])</f>
        <v>200</v>
      </c>
      <c r="J317">
        <f>(salidas26[[#This Row],[CANT BARRAS]]*salidas26[[#This Row],[PRECIO BARRA]])</f>
        <v>0</v>
      </c>
      <c r="K317">
        <v>200</v>
      </c>
      <c r="L317" t="s">
        <v>496</v>
      </c>
      <c r="M317" t="s">
        <v>566</v>
      </c>
    </row>
    <row r="318" spans="1:13">
      <c r="A318">
        <v>61</v>
      </c>
      <c r="B318">
        <v>2015</v>
      </c>
      <c r="C3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318" s="32">
        <v>46048</v>
      </c>
      <c r="E3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318">
        <v>1</v>
      </c>
      <c r="I318">
        <f>(salidas26[[#This Row],[CANT JUEGOS ]]*salidas26[[#This Row],[PRECIO JUEGO]])</f>
        <v>160</v>
      </c>
      <c r="J318">
        <f>(salidas26[[#This Row],[CANT BARRAS]]*salidas26[[#This Row],[PRECIO BARRA]])</f>
        <v>0</v>
      </c>
      <c r="K318">
        <v>150</v>
      </c>
      <c r="L318" t="s">
        <v>465</v>
      </c>
      <c r="M318" t="s">
        <v>574</v>
      </c>
    </row>
    <row r="319" spans="1:13">
      <c r="A319">
        <v>62</v>
      </c>
      <c r="B319">
        <v>4011</v>
      </c>
      <c r="C3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319" s="32">
        <v>46048</v>
      </c>
      <c r="E3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319">
        <v>1</v>
      </c>
      <c r="I319">
        <f>(salidas26[[#This Row],[CANT JUEGOS ]]*salidas26[[#This Row],[PRECIO JUEGO]])</f>
        <v>160</v>
      </c>
      <c r="J319">
        <f>(salidas26[[#This Row],[CANT BARRAS]]*salidas26[[#This Row],[PRECIO BARRA]])</f>
        <v>0</v>
      </c>
      <c r="K319">
        <v>150</v>
      </c>
      <c r="L319" t="s">
        <v>496</v>
      </c>
      <c r="M319" t="s">
        <v>494</v>
      </c>
    </row>
    <row r="320" spans="1:13">
      <c r="A320">
        <v>63</v>
      </c>
      <c r="B320">
        <v>8015</v>
      </c>
      <c r="C3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320" s="32">
        <v>46048</v>
      </c>
      <c r="E3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20">
        <v>1</v>
      </c>
      <c r="I320">
        <f>(salidas26[[#This Row],[CANT JUEGOS ]]*salidas26[[#This Row],[PRECIO JUEGO]])</f>
        <v>60</v>
      </c>
      <c r="J320">
        <f>(salidas26[[#This Row],[CANT BARRAS]]*salidas26[[#This Row],[PRECIO BARRA]])</f>
        <v>0</v>
      </c>
      <c r="K320">
        <v>60</v>
      </c>
      <c r="L320" t="s">
        <v>496</v>
      </c>
      <c r="M320" t="s">
        <v>494</v>
      </c>
    </row>
    <row r="321" spans="1:13" s="18" customFormat="1">
      <c r="A321" s="18">
        <v>64</v>
      </c>
      <c r="B321" s="18">
        <v>8123</v>
      </c>
      <c r="C321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321" s="75">
        <v>46048</v>
      </c>
      <c r="E321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21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21" s="18">
        <v>2</v>
      </c>
      <c r="I321" s="18">
        <f>(salidas26[[#This Row],[CANT JUEGOS ]]*salidas26[[#This Row],[PRECIO JUEGO]])</f>
        <v>0</v>
      </c>
      <c r="J321" s="18">
        <f>(salidas26[[#This Row],[CANT BARRAS]]*salidas26[[#This Row],[PRECIO BARRA]])</f>
        <v>7</v>
      </c>
      <c r="K321" s="18">
        <v>7</v>
      </c>
      <c r="L321" s="18" t="s">
        <v>465</v>
      </c>
      <c r="M321" s="18" t="s">
        <v>490</v>
      </c>
    </row>
    <row r="322" spans="1:13">
      <c r="A322">
        <v>65</v>
      </c>
      <c r="B322">
        <v>8123</v>
      </c>
      <c r="C3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322" s="32">
        <v>46048</v>
      </c>
      <c r="E3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22">
        <v>4</v>
      </c>
      <c r="I322">
        <f>(salidas26[[#This Row],[CANT JUEGOS ]]*salidas26[[#This Row],[PRECIO JUEGO]])</f>
        <v>0</v>
      </c>
      <c r="J322">
        <f>(salidas26[[#This Row],[CANT BARRAS]]*salidas26[[#This Row],[PRECIO BARRA]])</f>
        <v>14</v>
      </c>
      <c r="K322">
        <v>14</v>
      </c>
      <c r="L322" t="s">
        <v>465</v>
      </c>
      <c r="M322" t="s">
        <v>566</v>
      </c>
    </row>
    <row r="323" spans="1:13">
      <c r="A323">
        <v>66</v>
      </c>
      <c r="B323">
        <v>2036</v>
      </c>
      <c r="C3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323" s="32">
        <v>46048</v>
      </c>
      <c r="E3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3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323">
        <v>1</v>
      </c>
      <c r="I323">
        <f>(salidas26[[#This Row],[CANT JUEGOS ]]*salidas26[[#This Row],[PRECIO JUEGO]])</f>
        <v>220</v>
      </c>
      <c r="J323">
        <f>(salidas26[[#This Row],[CANT BARRAS]]*salidas26[[#This Row],[PRECIO BARRA]])</f>
        <v>0</v>
      </c>
      <c r="K323">
        <v>220</v>
      </c>
      <c r="L323" t="s">
        <v>465</v>
      </c>
      <c r="M323" t="s">
        <v>470</v>
      </c>
    </row>
    <row r="324" spans="1:13">
      <c r="A324">
        <v>67</v>
      </c>
      <c r="B324">
        <v>8024</v>
      </c>
      <c r="C3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324" s="32">
        <v>46048</v>
      </c>
      <c r="E3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3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324">
        <v>1</v>
      </c>
      <c r="I324">
        <f>(salidas26[[#This Row],[CANT JUEGOS ]]*salidas26[[#This Row],[PRECIO JUEGO]])</f>
        <v>150</v>
      </c>
      <c r="J324">
        <f>(salidas26[[#This Row],[CANT BARRAS]]*salidas26[[#This Row],[PRECIO BARRA]])</f>
        <v>0</v>
      </c>
      <c r="K324">
        <v>140</v>
      </c>
      <c r="L324" t="s">
        <v>496</v>
      </c>
      <c r="M324" t="s">
        <v>575</v>
      </c>
    </row>
    <row r="325" spans="1:13">
      <c r="A325">
        <v>69</v>
      </c>
      <c r="B325">
        <v>2012</v>
      </c>
      <c r="C3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325" s="32">
        <v>46049</v>
      </c>
      <c r="E3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325">
        <v>1</v>
      </c>
      <c r="I325">
        <f>(salidas26[[#This Row],[CANT JUEGOS ]]*salidas26[[#This Row],[PRECIO JUEGO]])</f>
        <v>160</v>
      </c>
      <c r="J325">
        <f>(salidas26[[#This Row],[CANT BARRAS]]*salidas26[[#This Row],[PRECIO BARRA]])</f>
        <v>0</v>
      </c>
      <c r="K325">
        <v>160</v>
      </c>
      <c r="L325" t="s">
        <v>496</v>
      </c>
      <c r="M325" t="s">
        <v>466</v>
      </c>
    </row>
    <row r="326" spans="1:13">
      <c r="A326">
        <v>70</v>
      </c>
      <c r="B326">
        <v>8003</v>
      </c>
      <c r="C3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326" s="32">
        <v>46049</v>
      </c>
      <c r="E3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3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326">
        <v>1</v>
      </c>
      <c r="I326">
        <f>(salidas26[[#This Row],[CANT JUEGOS ]]*salidas26[[#This Row],[PRECIO JUEGO]])</f>
        <v>70</v>
      </c>
      <c r="J326">
        <f>(salidas26[[#This Row],[CANT BARRAS]]*salidas26[[#This Row],[PRECIO BARRA]])</f>
        <v>0</v>
      </c>
      <c r="K326">
        <v>70</v>
      </c>
      <c r="L326" t="s">
        <v>496</v>
      </c>
      <c r="M326" t="s">
        <v>466</v>
      </c>
    </row>
    <row r="327" spans="1:13">
      <c r="A327">
        <v>71</v>
      </c>
      <c r="B327">
        <v>1015</v>
      </c>
      <c r="C3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327" s="32">
        <v>46049</v>
      </c>
      <c r="E3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3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327">
        <v>1</v>
      </c>
      <c r="I327">
        <f>(salidas26[[#This Row],[CANT JUEGOS ]]*salidas26[[#This Row],[PRECIO JUEGO]])</f>
        <v>80</v>
      </c>
      <c r="J327">
        <f>(salidas26[[#This Row],[CANT BARRAS]]*salidas26[[#This Row],[PRECIO BARRA]])</f>
        <v>0</v>
      </c>
      <c r="K327">
        <v>80</v>
      </c>
      <c r="L327" t="s">
        <v>465</v>
      </c>
      <c r="M327" t="s">
        <v>481</v>
      </c>
    </row>
    <row r="328" spans="1:13">
      <c r="A328">
        <v>72</v>
      </c>
      <c r="B328">
        <v>4001</v>
      </c>
      <c r="C3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D2900 TCL</v>
      </c>
      <c r="D328" s="32">
        <v>46049</v>
      </c>
      <c r="E3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28">
        <v>1</v>
      </c>
      <c r="I328">
        <f>(salidas26[[#This Row],[CANT JUEGOS ]]*salidas26[[#This Row],[PRECIO JUEGO]])</f>
        <v>60</v>
      </c>
      <c r="J328">
        <f>(salidas26[[#This Row],[CANT BARRAS]]*salidas26[[#This Row],[PRECIO BARRA]])</f>
        <v>0</v>
      </c>
      <c r="K328">
        <v>60</v>
      </c>
      <c r="L328" t="s">
        <v>465</v>
      </c>
      <c r="M328" t="s">
        <v>481</v>
      </c>
    </row>
    <row r="329" spans="1:13">
      <c r="A329">
        <v>73</v>
      </c>
      <c r="B329">
        <v>8095</v>
      </c>
      <c r="C3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329" s="32">
        <v>46049</v>
      </c>
      <c r="E3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29">
        <v>1</v>
      </c>
      <c r="I329">
        <f>(salidas26[[#This Row],[CANT JUEGOS ]]*salidas26[[#This Row],[PRECIO JUEGO]])</f>
        <v>300</v>
      </c>
      <c r="J329">
        <f>(salidas26[[#This Row],[CANT BARRAS]]*salidas26[[#This Row],[PRECIO BARRA]])</f>
        <v>0</v>
      </c>
      <c r="K329">
        <v>300</v>
      </c>
      <c r="L329" t="s">
        <v>465</v>
      </c>
      <c r="M329" t="s">
        <v>481</v>
      </c>
    </row>
    <row r="330" spans="1:13">
      <c r="A330">
        <v>74</v>
      </c>
      <c r="B330">
        <v>5021</v>
      </c>
      <c r="C3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 A400L PANASONIC/1B</v>
      </c>
      <c r="D330" s="32">
        <v>46049</v>
      </c>
      <c r="E3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3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I330">
        <f>(salidas26[[#This Row],[CANT JUEGOS ]]*salidas26[[#This Row],[PRECIO JUEGO]])</f>
        <v>0</v>
      </c>
      <c r="J330">
        <f>(salidas26[[#This Row],[CANT BARRAS]]*salidas26[[#This Row],[PRECIO BARRA]])</f>
        <v>0</v>
      </c>
      <c r="K330">
        <v>150</v>
      </c>
      <c r="L330" t="s">
        <v>496</v>
      </c>
      <c r="M330" t="s">
        <v>469</v>
      </c>
    </row>
    <row r="331" spans="1:13">
      <c r="A331">
        <v>75</v>
      </c>
      <c r="B331">
        <v>2024</v>
      </c>
      <c r="C3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331" s="32">
        <v>46049</v>
      </c>
      <c r="E3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331">
        <v>1</v>
      </c>
      <c r="I331">
        <f>(salidas26[[#This Row],[CANT JUEGOS ]]*salidas26[[#This Row],[PRECIO JUEGO]])</f>
        <v>180</v>
      </c>
      <c r="J331">
        <f>(salidas26[[#This Row],[CANT BARRAS]]*salidas26[[#This Row],[PRECIO BARRA]])</f>
        <v>0</v>
      </c>
      <c r="K331">
        <v>160</v>
      </c>
      <c r="L331" t="s">
        <v>496</v>
      </c>
      <c r="M331" t="s">
        <v>469</v>
      </c>
    </row>
    <row r="332" spans="1:13">
      <c r="A332">
        <v>76</v>
      </c>
      <c r="B332">
        <v>5015</v>
      </c>
      <c r="C3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KDL-40W655A/3B SONY</v>
      </c>
      <c r="D332" s="32">
        <v>46049</v>
      </c>
      <c r="E3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332">
        <v>1</v>
      </c>
      <c r="I332">
        <f>(salidas26[[#This Row],[CANT JUEGOS ]]*salidas26[[#This Row],[PRECIO JUEGO]])</f>
        <v>160</v>
      </c>
      <c r="J332">
        <f>(salidas26[[#This Row],[CANT BARRAS]]*salidas26[[#This Row],[PRECIO BARRA]])</f>
        <v>0</v>
      </c>
      <c r="K332">
        <v>160</v>
      </c>
      <c r="L332" t="s">
        <v>496</v>
      </c>
      <c r="M332" t="s">
        <v>469</v>
      </c>
    </row>
    <row r="333" spans="1:13">
      <c r="A333">
        <v>77</v>
      </c>
      <c r="B333">
        <v>2042</v>
      </c>
      <c r="C3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333" s="32">
        <v>46049</v>
      </c>
      <c r="E3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3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333">
        <v>1</v>
      </c>
      <c r="I333">
        <f>(salidas26[[#This Row],[CANT JUEGOS ]]*salidas26[[#This Row],[PRECIO JUEGO]])</f>
        <v>260</v>
      </c>
      <c r="J333">
        <f>(salidas26[[#This Row],[CANT BARRAS]]*salidas26[[#This Row],[PRECIO BARRA]])</f>
        <v>0</v>
      </c>
      <c r="K333">
        <v>250</v>
      </c>
      <c r="L333" t="s">
        <v>496</v>
      </c>
      <c r="M333" t="s">
        <v>576</v>
      </c>
    </row>
    <row r="334" spans="1:13">
      <c r="A334">
        <v>78</v>
      </c>
      <c r="B334">
        <v>2075</v>
      </c>
      <c r="C3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334" s="32">
        <v>46049</v>
      </c>
      <c r="E3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334">
        <v>1</v>
      </c>
      <c r="I334">
        <f>(salidas26[[#This Row],[CANT JUEGOS ]]*salidas26[[#This Row],[PRECIO JUEGO]])</f>
        <v>200</v>
      </c>
      <c r="J334">
        <f>(salidas26[[#This Row],[CANT BARRAS]]*salidas26[[#This Row],[PRECIO BARRA]])</f>
        <v>0</v>
      </c>
      <c r="K334">
        <v>180</v>
      </c>
      <c r="L334" t="s">
        <v>465</v>
      </c>
      <c r="M334" t="s">
        <v>490</v>
      </c>
    </row>
    <row r="335" spans="1:13">
      <c r="A335">
        <v>80</v>
      </c>
      <c r="B335">
        <v>8095</v>
      </c>
      <c r="C3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335" s="32">
        <v>46049</v>
      </c>
      <c r="E3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35">
        <v>1</v>
      </c>
      <c r="I335">
        <f>(salidas26[[#This Row],[CANT JUEGOS ]]*salidas26[[#This Row],[PRECIO JUEGO]])</f>
        <v>300</v>
      </c>
      <c r="J335">
        <f>(salidas26[[#This Row],[CANT BARRAS]]*salidas26[[#This Row],[PRECIO BARRA]])</f>
        <v>0</v>
      </c>
      <c r="K335">
        <v>300</v>
      </c>
      <c r="L335" t="s">
        <v>465</v>
      </c>
      <c r="M335" t="s">
        <v>516</v>
      </c>
    </row>
    <row r="336" spans="1:13">
      <c r="A336">
        <v>81</v>
      </c>
      <c r="B336">
        <v>1000</v>
      </c>
      <c r="C3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336" s="32">
        <v>46049</v>
      </c>
      <c r="E3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3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336">
        <v>1</v>
      </c>
      <c r="I336">
        <f>(salidas26[[#This Row],[CANT JUEGOS ]]*salidas26[[#This Row],[PRECIO JUEGO]])</f>
        <v>80</v>
      </c>
      <c r="J336">
        <f>(salidas26[[#This Row],[CANT BARRAS]]*salidas26[[#This Row],[PRECIO BARRA]])</f>
        <v>0</v>
      </c>
      <c r="K336">
        <v>90</v>
      </c>
      <c r="L336" t="s">
        <v>465</v>
      </c>
      <c r="M336" t="s">
        <v>466</v>
      </c>
    </row>
    <row r="337" spans="1:13">
      <c r="A337">
        <v>82</v>
      </c>
      <c r="B337">
        <v>2042</v>
      </c>
      <c r="C3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337" s="32">
        <v>46049</v>
      </c>
      <c r="E3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3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337">
        <v>1</v>
      </c>
      <c r="I337">
        <f>(salidas26[[#This Row],[CANT JUEGOS ]]*salidas26[[#This Row],[PRECIO JUEGO]])</f>
        <v>260</v>
      </c>
      <c r="J337">
        <f>(salidas26[[#This Row],[CANT BARRAS]]*salidas26[[#This Row],[PRECIO BARRA]])</f>
        <v>0</v>
      </c>
      <c r="K337">
        <v>250</v>
      </c>
      <c r="L337" t="s">
        <v>465</v>
      </c>
      <c r="M337" t="s">
        <v>555</v>
      </c>
    </row>
    <row r="338" spans="1:13">
      <c r="B338">
        <v>4011</v>
      </c>
      <c r="C3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338" s="32">
        <v>46049</v>
      </c>
      <c r="E3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338">
        <v>1</v>
      </c>
      <c r="I338">
        <f>(salidas26[[#This Row],[CANT JUEGOS ]]*salidas26[[#This Row],[PRECIO JUEGO]])</f>
        <v>160</v>
      </c>
      <c r="J338">
        <f>(salidas26[[#This Row],[CANT BARRAS]]*salidas26[[#This Row],[PRECIO BARRA]])</f>
        <v>0</v>
      </c>
      <c r="M338" t="s">
        <v>504</v>
      </c>
    </row>
    <row r="339" spans="1:13">
      <c r="A339">
        <v>83</v>
      </c>
      <c r="B339">
        <v>4011</v>
      </c>
      <c r="C3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339" s="32">
        <v>46049</v>
      </c>
      <c r="E3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3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H339">
        <v>1</v>
      </c>
      <c r="I339">
        <f>(salidas26[[#This Row],[CANT JUEGOS ]]*salidas26[[#This Row],[PRECIO JUEGO]])</f>
        <v>0</v>
      </c>
      <c r="J339">
        <f>(salidas26[[#This Row],[CANT BARRAS]]*salidas26[[#This Row],[PRECIO BARRA]])</f>
        <v>53.333333333333336</v>
      </c>
      <c r="K339">
        <v>30</v>
      </c>
      <c r="L339" t="s">
        <v>496</v>
      </c>
      <c r="M339" t="s">
        <v>577</v>
      </c>
    </row>
    <row r="340" spans="1:13">
      <c r="A340">
        <v>84</v>
      </c>
      <c r="B340">
        <v>1067</v>
      </c>
      <c r="C3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47LA6600/2B</v>
      </c>
      <c r="D340" s="32">
        <v>46049</v>
      </c>
      <c r="E3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3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340">
        <v>1</v>
      </c>
      <c r="I340">
        <f>(salidas26[[#This Row],[CANT JUEGOS ]]*salidas26[[#This Row],[PRECIO JUEGO]])</f>
        <v>250</v>
      </c>
      <c r="J340">
        <f>(salidas26[[#This Row],[CANT BARRAS]]*salidas26[[#This Row],[PRECIO BARRA]])</f>
        <v>0</v>
      </c>
      <c r="K340">
        <v>230</v>
      </c>
      <c r="L340" t="s">
        <v>465</v>
      </c>
      <c r="M340" t="s">
        <v>466</v>
      </c>
    </row>
    <row r="341" spans="1:13">
      <c r="A341">
        <v>85</v>
      </c>
      <c r="B341">
        <v>8003</v>
      </c>
      <c r="C3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341" s="32">
        <v>46049</v>
      </c>
      <c r="E3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3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H341">
        <v>1</v>
      </c>
      <c r="I341">
        <f>(salidas26[[#This Row],[CANT JUEGOS ]]*salidas26[[#This Row],[PRECIO JUEGO]])</f>
        <v>0</v>
      </c>
      <c r="J341">
        <f>(salidas26[[#This Row],[CANT BARRAS]]*salidas26[[#This Row],[PRECIO BARRA]])</f>
        <v>35</v>
      </c>
      <c r="K341">
        <v>50</v>
      </c>
      <c r="L341" t="s">
        <v>465</v>
      </c>
      <c r="M341" t="s">
        <v>481</v>
      </c>
    </row>
    <row r="342" spans="1:13" s="18" customFormat="1">
      <c r="A342" s="18">
        <v>86</v>
      </c>
      <c r="B342" s="18">
        <v>5006</v>
      </c>
      <c r="C342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342" s="75">
        <v>46049</v>
      </c>
      <c r="E342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342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42" s="18">
        <v>1</v>
      </c>
      <c r="I342" s="18">
        <f>(salidas26[[#This Row],[CANT JUEGOS ]]*salidas26[[#This Row],[PRECIO JUEGO]])</f>
        <v>90</v>
      </c>
      <c r="J342" s="18">
        <f>(salidas26[[#This Row],[CANT BARRAS]]*salidas26[[#This Row],[PRECIO BARRA]])</f>
        <v>0</v>
      </c>
      <c r="K342" s="18">
        <v>80</v>
      </c>
      <c r="L342" s="18" t="s">
        <v>465</v>
      </c>
      <c r="M342" s="18" t="s">
        <v>490</v>
      </c>
    </row>
    <row r="343" spans="1:13" s="91" customFormat="1">
      <c r="A343" s="91">
        <v>87</v>
      </c>
      <c r="B343" s="91">
        <v>8095</v>
      </c>
      <c r="C343" s="9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343" s="92">
        <v>46050</v>
      </c>
      <c r="E343" s="9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43" s="9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43" s="91">
        <v>1</v>
      </c>
      <c r="I343" s="91">
        <f>(salidas26[[#This Row],[CANT JUEGOS ]]*salidas26[[#This Row],[PRECIO JUEGO]])</f>
        <v>300</v>
      </c>
      <c r="J343" s="91">
        <f>(salidas26[[#This Row],[CANT BARRAS]]*salidas26[[#This Row],[PRECIO BARRA]])</f>
        <v>0</v>
      </c>
      <c r="K343" s="91">
        <v>300</v>
      </c>
      <c r="L343" s="91" t="s">
        <v>465</v>
      </c>
      <c r="M343" s="91" t="s">
        <v>495</v>
      </c>
    </row>
    <row r="344" spans="1:13">
      <c r="A344">
        <v>88</v>
      </c>
      <c r="B344">
        <v>8123</v>
      </c>
      <c r="C3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344" s="32">
        <v>46050</v>
      </c>
      <c r="E3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44">
        <v>38</v>
      </c>
      <c r="I344">
        <f>(salidas26[[#This Row],[CANT JUEGOS ]]*salidas26[[#This Row],[PRECIO JUEGO]])</f>
        <v>0</v>
      </c>
      <c r="J344">
        <f>(salidas26[[#This Row],[CANT BARRAS]]*salidas26[[#This Row],[PRECIO BARRA]])</f>
        <v>133</v>
      </c>
      <c r="K344">
        <v>132</v>
      </c>
      <c r="L344" t="s">
        <v>496</v>
      </c>
      <c r="M344" t="s">
        <v>578</v>
      </c>
    </row>
    <row r="345" spans="1:13" s="18" customFormat="1">
      <c r="A345" s="18">
        <v>89</v>
      </c>
      <c r="B345" s="18">
        <v>5018</v>
      </c>
      <c r="C345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345" s="75">
        <v>46050</v>
      </c>
      <c r="E345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45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345" s="18">
        <v>1</v>
      </c>
      <c r="I345" s="18">
        <f>(salidas26[[#This Row],[CANT JUEGOS ]]*salidas26[[#This Row],[PRECIO JUEGO]])</f>
        <v>200</v>
      </c>
      <c r="J345" s="18">
        <f>(salidas26[[#This Row],[CANT BARRAS]]*salidas26[[#This Row],[PRECIO BARRA]])</f>
        <v>0</v>
      </c>
      <c r="K345" s="18">
        <v>180</v>
      </c>
      <c r="L345" s="18" t="s">
        <v>465</v>
      </c>
      <c r="M345" s="18" t="s">
        <v>540</v>
      </c>
    </row>
    <row r="346" spans="1:13">
      <c r="A346">
        <v>90</v>
      </c>
      <c r="B346">
        <v>8055</v>
      </c>
      <c r="C3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346" s="32">
        <v>46050</v>
      </c>
      <c r="E3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346">
        <v>1</v>
      </c>
      <c r="I346">
        <f>(salidas26[[#This Row],[CANT JUEGOS ]]*salidas26[[#This Row],[PRECIO JUEGO]])</f>
        <v>180</v>
      </c>
      <c r="J346">
        <f>(salidas26[[#This Row],[CANT BARRAS]]*salidas26[[#This Row],[PRECIO BARRA]])</f>
        <v>0</v>
      </c>
      <c r="K346">
        <v>180</v>
      </c>
      <c r="L346" t="s">
        <v>465</v>
      </c>
      <c r="M346" t="s">
        <v>575</v>
      </c>
    </row>
    <row r="347" spans="1:13">
      <c r="A347">
        <v>91</v>
      </c>
      <c r="B347">
        <v>1069</v>
      </c>
      <c r="C3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347" s="32">
        <v>46050</v>
      </c>
      <c r="E3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3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347">
        <v>1</v>
      </c>
      <c r="I347">
        <f>(salidas26[[#This Row],[CANT JUEGOS ]]*salidas26[[#This Row],[PRECIO JUEGO]])</f>
        <v>250</v>
      </c>
      <c r="J347">
        <f>(salidas26[[#This Row],[CANT BARRAS]]*salidas26[[#This Row],[PRECIO BARRA]])</f>
        <v>0</v>
      </c>
      <c r="K347">
        <v>200</v>
      </c>
      <c r="L347" t="s">
        <v>465</v>
      </c>
      <c r="M347" t="s">
        <v>490</v>
      </c>
    </row>
    <row r="348" spans="1:13">
      <c r="A348">
        <v>92</v>
      </c>
      <c r="B348">
        <v>8123</v>
      </c>
      <c r="C3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348" s="32">
        <v>46050</v>
      </c>
      <c r="E3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48">
        <v>70</v>
      </c>
      <c r="I348">
        <f>(salidas26[[#This Row],[CANT JUEGOS ]]*salidas26[[#This Row],[PRECIO JUEGO]])</f>
        <v>0</v>
      </c>
      <c r="J348">
        <f>(salidas26[[#This Row],[CANT BARRAS]]*salidas26[[#This Row],[PRECIO BARRA]])</f>
        <v>245</v>
      </c>
      <c r="K348">
        <v>245</v>
      </c>
      <c r="L348" t="s">
        <v>496</v>
      </c>
      <c r="M348" t="s">
        <v>468</v>
      </c>
    </row>
    <row r="349" spans="1:13">
      <c r="A349">
        <v>93</v>
      </c>
      <c r="B349">
        <v>8101</v>
      </c>
      <c r="C3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LT-65 KB608 JVC /12B</v>
      </c>
      <c r="D349" s="32">
        <v>46050</v>
      </c>
      <c r="E3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3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349">
        <v>1</v>
      </c>
      <c r="I349">
        <f>(salidas26[[#This Row],[CANT JUEGOS ]]*salidas26[[#This Row],[PRECIO JUEGO]])</f>
        <v>400</v>
      </c>
      <c r="J349">
        <f>(salidas26[[#This Row],[CANT BARRAS]]*salidas26[[#This Row],[PRECIO BARRA]])</f>
        <v>0</v>
      </c>
      <c r="K349">
        <v>380</v>
      </c>
      <c r="L349" t="s">
        <v>465</v>
      </c>
      <c r="M349" t="s">
        <v>579</v>
      </c>
    </row>
    <row r="350" spans="1:13">
      <c r="A350">
        <v>94</v>
      </c>
      <c r="B350">
        <v>8095</v>
      </c>
      <c r="C3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350" s="32">
        <v>46050</v>
      </c>
      <c r="E3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50">
        <v>1</v>
      </c>
      <c r="I350">
        <f>(salidas26[[#This Row],[CANT JUEGOS ]]*salidas26[[#This Row],[PRECIO JUEGO]])</f>
        <v>300</v>
      </c>
      <c r="J350">
        <f>(salidas26[[#This Row],[CANT BARRAS]]*salidas26[[#This Row],[PRECIO BARRA]])</f>
        <v>0</v>
      </c>
      <c r="K350">
        <v>270</v>
      </c>
      <c r="L350" t="s">
        <v>465</v>
      </c>
      <c r="M350" t="s">
        <v>580</v>
      </c>
    </row>
    <row r="351" spans="1:13">
      <c r="A351">
        <v>95</v>
      </c>
      <c r="B351">
        <v>2090</v>
      </c>
      <c r="C3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351" s="32">
        <v>46050</v>
      </c>
      <c r="E3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3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351">
        <v>1</v>
      </c>
      <c r="I351">
        <f>(salidas26[[#This Row],[CANT JUEGOS ]]*salidas26[[#This Row],[PRECIO JUEGO]])</f>
        <v>350</v>
      </c>
      <c r="J351">
        <f>(salidas26[[#This Row],[CANT BARRAS]]*salidas26[[#This Row],[PRECIO BARRA]])</f>
        <v>0</v>
      </c>
      <c r="K351">
        <v>350</v>
      </c>
      <c r="L351" t="s">
        <v>465</v>
      </c>
      <c r="M351" t="s">
        <v>581</v>
      </c>
    </row>
    <row r="352" spans="1:13">
      <c r="A352">
        <v>96</v>
      </c>
      <c r="B352">
        <v>2033</v>
      </c>
      <c r="C3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UN46F5000 - F6400 /16B</v>
      </c>
      <c r="D352" s="32">
        <v>46050</v>
      </c>
      <c r="E3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3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21.875</v>
      </c>
      <c r="G352">
        <v>1</v>
      </c>
      <c r="I352">
        <f>(salidas26[[#This Row],[CANT JUEGOS ]]*salidas26[[#This Row],[PRECIO JUEGO]])</f>
        <v>350</v>
      </c>
      <c r="J352">
        <f>(salidas26[[#This Row],[CANT BARRAS]]*salidas26[[#This Row],[PRECIO BARRA]])</f>
        <v>0</v>
      </c>
      <c r="K352">
        <v>320</v>
      </c>
      <c r="L352" t="s">
        <v>496</v>
      </c>
      <c r="M352" t="s">
        <v>582</v>
      </c>
    </row>
    <row r="353" spans="1:13" s="18" customFormat="1">
      <c r="A353" s="18">
        <v>97</v>
      </c>
      <c r="B353" s="18">
        <v>1012</v>
      </c>
      <c r="C353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353" s="75">
        <v>46050</v>
      </c>
      <c r="E353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353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53" s="18">
        <v>1</v>
      </c>
      <c r="I353" s="18">
        <f>(salidas26[[#This Row],[CANT JUEGOS ]]*salidas26[[#This Row],[PRECIO JUEGO]])</f>
        <v>90</v>
      </c>
      <c r="J353" s="18">
        <f>(salidas26[[#This Row],[CANT BARRAS]]*salidas26[[#This Row],[PRECIO BARRA]])</f>
        <v>0</v>
      </c>
      <c r="K353" s="18">
        <v>90</v>
      </c>
      <c r="L353" s="18" t="s">
        <v>496</v>
      </c>
      <c r="M353" s="18" t="s">
        <v>509</v>
      </c>
    </row>
    <row r="354" spans="1:13" s="18" customFormat="1">
      <c r="A354" s="18">
        <v>98</v>
      </c>
      <c r="B354" s="18">
        <v>1069</v>
      </c>
      <c r="C354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354" s="75">
        <v>46050</v>
      </c>
      <c r="E354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354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354" s="18">
        <v>1</v>
      </c>
      <c r="I354" s="18">
        <f>(salidas26[[#This Row],[CANT JUEGOS ]]*salidas26[[#This Row],[PRECIO JUEGO]])</f>
        <v>250</v>
      </c>
      <c r="J354" s="18">
        <f>(salidas26[[#This Row],[CANT BARRAS]]*salidas26[[#This Row],[PRECIO BARRA]])</f>
        <v>0</v>
      </c>
      <c r="K354" s="18">
        <v>225</v>
      </c>
      <c r="L354" s="18" t="s">
        <v>496</v>
      </c>
      <c r="M354" s="18" t="s">
        <v>509</v>
      </c>
    </row>
    <row r="355" spans="1:13">
      <c r="A355">
        <v>99</v>
      </c>
      <c r="B355">
        <v>1063</v>
      </c>
      <c r="C3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D355" s="32">
        <v>46050</v>
      </c>
      <c r="E3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355">
        <v>1</v>
      </c>
      <c r="I355">
        <f>(salidas26[[#This Row],[CANT JUEGOS ]]*salidas26[[#This Row],[PRECIO JUEGO]])</f>
        <v>180</v>
      </c>
      <c r="J355">
        <f>(salidas26[[#This Row],[CANT BARRAS]]*salidas26[[#This Row],[PRECIO BARRA]])</f>
        <v>0</v>
      </c>
      <c r="K355">
        <v>180</v>
      </c>
      <c r="L355" t="s">
        <v>465</v>
      </c>
      <c r="M355" t="s">
        <v>466</v>
      </c>
    </row>
    <row r="356" spans="1:13">
      <c r="B356">
        <v>2027</v>
      </c>
      <c r="C3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356" s="32">
        <v>46050</v>
      </c>
      <c r="E3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356">
        <v>1</v>
      </c>
      <c r="I356">
        <f>(salidas26[[#This Row],[CANT JUEGOS ]]*salidas26[[#This Row],[PRECIO JUEGO]])</f>
        <v>180</v>
      </c>
      <c r="J356">
        <f>(salidas26[[#This Row],[CANT BARRAS]]*salidas26[[#This Row],[PRECIO BARRA]])</f>
        <v>0</v>
      </c>
      <c r="M356" t="s">
        <v>504</v>
      </c>
    </row>
    <row r="357" spans="1:13">
      <c r="A357">
        <v>100</v>
      </c>
      <c r="B357">
        <v>2027</v>
      </c>
      <c r="C3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357" s="32">
        <v>46050</v>
      </c>
      <c r="E3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357">
        <v>6</v>
      </c>
      <c r="I357">
        <f>(salidas26[[#This Row],[CANT JUEGOS ]]*salidas26[[#This Row],[PRECIO JUEGO]])</f>
        <v>0</v>
      </c>
      <c r="J357">
        <f>(salidas26[[#This Row],[CANT BARRAS]]*salidas26[[#This Row],[PRECIO BARRA]])</f>
        <v>135</v>
      </c>
      <c r="K357">
        <v>130</v>
      </c>
      <c r="L357" t="s">
        <v>465</v>
      </c>
      <c r="M357" t="s">
        <v>583</v>
      </c>
    </row>
    <row r="358" spans="1:13">
      <c r="A358">
        <v>102</v>
      </c>
      <c r="B358">
        <v>8069</v>
      </c>
      <c r="C3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358" s="32">
        <v>46051</v>
      </c>
      <c r="E3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3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358">
        <v>1</v>
      </c>
      <c r="I358">
        <f>(salidas26[[#This Row],[CANT JUEGOS ]]*salidas26[[#This Row],[PRECIO JUEGO]])</f>
        <v>220</v>
      </c>
      <c r="J358">
        <f>(salidas26[[#This Row],[CANT BARRAS]]*salidas26[[#This Row],[PRECIO BARRA]])</f>
        <v>0</v>
      </c>
      <c r="K358">
        <v>220</v>
      </c>
      <c r="L358" t="s">
        <v>496</v>
      </c>
      <c r="M358" t="s">
        <v>508</v>
      </c>
    </row>
    <row r="359" spans="1:13">
      <c r="A359">
        <v>103</v>
      </c>
      <c r="B359">
        <v>6016</v>
      </c>
      <c r="C3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359" s="32">
        <v>46051</v>
      </c>
      <c r="E3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3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59">
        <v>1</v>
      </c>
      <c r="I359">
        <f>(salidas26[[#This Row],[CANT JUEGOS ]]*salidas26[[#This Row],[PRECIO JUEGO]])</f>
        <v>240</v>
      </c>
      <c r="J359">
        <f>(salidas26[[#This Row],[CANT BARRAS]]*salidas26[[#This Row],[PRECIO BARRA]])</f>
        <v>0</v>
      </c>
      <c r="K359">
        <v>100</v>
      </c>
      <c r="L359" t="s">
        <v>465</v>
      </c>
      <c r="M359" t="s">
        <v>584</v>
      </c>
    </row>
    <row r="360" spans="1:13">
      <c r="A360">
        <v>104</v>
      </c>
      <c r="B360">
        <v>6006</v>
      </c>
      <c r="C3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360" s="32">
        <v>46051</v>
      </c>
      <c r="E3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3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360">
        <v>1</v>
      </c>
      <c r="I360">
        <f>(salidas26[[#This Row],[CANT JUEGOS ]]*salidas26[[#This Row],[PRECIO JUEGO]])</f>
        <v>140</v>
      </c>
      <c r="J360">
        <f>(salidas26[[#This Row],[CANT BARRAS]]*salidas26[[#This Row],[PRECIO BARRA]])</f>
        <v>0</v>
      </c>
      <c r="K360">
        <v>140</v>
      </c>
      <c r="L360" t="s">
        <v>465</v>
      </c>
      <c r="M360" t="s">
        <v>520</v>
      </c>
    </row>
    <row r="361" spans="1:13">
      <c r="A361">
        <v>105</v>
      </c>
      <c r="B361">
        <v>1099</v>
      </c>
      <c r="C3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49UJ6560-LUPA GIGANTE/4B</v>
      </c>
      <c r="D361" s="32">
        <v>46051</v>
      </c>
      <c r="E3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3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361">
        <v>1</v>
      </c>
      <c r="I361">
        <f>(salidas26[[#This Row],[CANT JUEGOS ]]*salidas26[[#This Row],[PRECIO JUEGO]])</f>
        <v>220</v>
      </c>
      <c r="J361">
        <f>(salidas26[[#This Row],[CANT BARRAS]]*salidas26[[#This Row],[PRECIO BARRA]])</f>
        <v>0</v>
      </c>
      <c r="K361">
        <v>220</v>
      </c>
      <c r="L361" t="s">
        <v>496</v>
      </c>
      <c r="M361" t="s">
        <v>474</v>
      </c>
    </row>
    <row r="362" spans="1:13">
      <c r="A362">
        <v>106</v>
      </c>
      <c r="B362">
        <v>8015</v>
      </c>
      <c r="C3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362" s="32">
        <v>46051</v>
      </c>
      <c r="E3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62">
        <v>2</v>
      </c>
      <c r="I362">
        <f>(salidas26[[#This Row],[CANT JUEGOS ]]*salidas26[[#This Row],[PRECIO JUEGO]])</f>
        <v>120</v>
      </c>
      <c r="J362">
        <f>(salidas26[[#This Row],[CANT BARRAS]]*salidas26[[#This Row],[PRECIO BARRA]])</f>
        <v>0</v>
      </c>
      <c r="K362">
        <v>100</v>
      </c>
      <c r="L362" t="s">
        <v>496</v>
      </c>
      <c r="M362" t="s">
        <v>474</v>
      </c>
    </row>
    <row r="363" spans="1:13">
      <c r="A363">
        <v>107</v>
      </c>
      <c r="B363">
        <v>2024</v>
      </c>
      <c r="C3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363" s="32">
        <v>46051</v>
      </c>
      <c r="E3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363">
        <v>1</v>
      </c>
      <c r="I363">
        <f>(salidas26[[#This Row],[CANT JUEGOS ]]*salidas26[[#This Row],[PRECIO JUEGO]])</f>
        <v>180</v>
      </c>
      <c r="J363">
        <f>(salidas26[[#This Row],[CANT BARRAS]]*salidas26[[#This Row],[PRECIO BARRA]])</f>
        <v>0</v>
      </c>
      <c r="K363">
        <v>170</v>
      </c>
      <c r="L363" t="s">
        <v>496</v>
      </c>
      <c r="M363" t="s">
        <v>585</v>
      </c>
    </row>
    <row r="364" spans="1:13">
      <c r="A364">
        <v>108</v>
      </c>
      <c r="B364">
        <v>1033</v>
      </c>
      <c r="C3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364" s="32">
        <v>46051</v>
      </c>
      <c r="E3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364">
        <v>1</v>
      </c>
      <c r="I364">
        <f>(salidas26[[#This Row],[CANT JUEGOS ]]*salidas26[[#This Row],[PRECIO JUEGO]])</f>
        <v>180</v>
      </c>
      <c r="J364">
        <f>(salidas26[[#This Row],[CANT BARRAS]]*salidas26[[#This Row],[PRECIO BARRA]])</f>
        <v>0</v>
      </c>
      <c r="K364">
        <v>180</v>
      </c>
      <c r="L364" t="s">
        <v>496</v>
      </c>
      <c r="M364" t="s">
        <v>586</v>
      </c>
    </row>
    <row r="365" spans="1:13">
      <c r="A365">
        <v>109</v>
      </c>
      <c r="B365">
        <v>2051</v>
      </c>
      <c r="C3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365" s="32">
        <v>46051</v>
      </c>
      <c r="E3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3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365">
        <v>1</v>
      </c>
      <c r="I365">
        <f>(salidas26[[#This Row],[CANT JUEGOS ]]*salidas26[[#This Row],[PRECIO JUEGO]])</f>
        <v>260</v>
      </c>
      <c r="J365">
        <f>(salidas26[[#This Row],[CANT BARRAS]]*salidas26[[#This Row],[PRECIO BARRA]])</f>
        <v>0</v>
      </c>
      <c r="K365">
        <v>250</v>
      </c>
      <c r="L365" t="s">
        <v>496</v>
      </c>
      <c r="M365" t="s">
        <v>586</v>
      </c>
    </row>
    <row r="366" spans="1:13" s="18" customFormat="1">
      <c r="A366" s="18">
        <v>110</v>
      </c>
      <c r="B366" s="18">
        <v>4021</v>
      </c>
      <c r="C366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366" s="75">
        <v>46051</v>
      </c>
      <c r="E366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66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366" s="18">
        <v>1</v>
      </c>
      <c r="I366" s="18">
        <f>(salidas26[[#This Row],[CANT JUEGOS ]]*salidas26[[#This Row],[PRECIO JUEGO]])</f>
        <v>200</v>
      </c>
      <c r="J366" s="18">
        <f>(salidas26[[#This Row],[CANT BARRAS]]*salidas26[[#This Row],[PRECIO BARRA]])</f>
        <v>0</v>
      </c>
      <c r="K366" s="18">
        <v>200</v>
      </c>
      <c r="L366" s="18" t="s">
        <v>496</v>
      </c>
      <c r="M366" s="18" t="s">
        <v>490</v>
      </c>
    </row>
    <row r="367" spans="1:13">
      <c r="A367">
        <v>111</v>
      </c>
      <c r="B367">
        <v>2097</v>
      </c>
      <c r="C3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367" s="32">
        <v>46052</v>
      </c>
      <c r="E3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3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367">
        <v>1</v>
      </c>
      <c r="I367">
        <f>(salidas26[[#This Row],[CANT JUEGOS ]]*salidas26[[#This Row],[PRECIO JUEGO]])</f>
        <v>320</v>
      </c>
      <c r="J367">
        <f>(salidas26[[#This Row],[CANT BARRAS]]*salidas26[[#This Row],[PRECIO BARRA]])</f>
        <v>0</v>
      </c>
      <c r="K367">
        <v>300</v>
      </c>
      <c r="L367" t="s">
        <v>465</v>
      </c>
      <c r="M367" t="s">
        <v>527</v>
      </c>
    </row>
    <row r="368" spans="1:13">
      <c r="A368">
        <v>112</v>
      </c>
      <c r="B368">
        <v>8123</v>
      </c>
      <c r="C3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368" s="32">
        <v>46052</v>
      </c>
      <c r="E3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68">
        <v>40</v>
      </c>
      <c r="I368">
        <f>(salidas26[[#This Row],[CANT JUEGOS ]]*salidas26[[#This Row],[PRECIO JUEGO]])</f>
        <v>0</v>
      </c>
      <c r="J368">
        <f>(salidas26[[#This Row],[CANT BARRAS]]*salidas26[[#This Row],[PRECIO BARRA]])</f>
        <v>140</v>
      </c>
      <c r="K368">
        <v>128</v>
      </c>
      <c r="L368" t="s">
        <v>465</v>
      </c>
      <c r="M368" t="s">
        <v>527</v>
      </c>
    </row>
    <row r="369" spans="1:13">
      <c r="A369">
        <v>113</v>
      </c>
      <c r="B369">
        <v>6022</v>
      </c>
      <c r="C3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E3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3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369">
        <v>1</v>
      </c>
      <c r="I369">
        <f>(salidas26[[#This Row],[CANT JUEGOS ]]*salidas26[[#This Row],[PRECIO JUEGO]])</f>
        <v>350</v>
      </c>
      <c r="J369">
        <f>(salidas26[[#This Row],[CANT BARRAS]]*salidas26[[#This Row],[PRECIO BARRA]])</f>
        <v>0</v>
      </c>
      <c r="K369">
        <v>280</v>
      </c>
      <c r="L369" t="s">
        <v>496</v>
      </c>
      <c r="M369" t="s">
        <v>490</v>
      </c>
    </row>
    <row r="370" spans="1:13">
      <c r="A370">
        <v>114</v>
      </c>
      <c r="B370">
        <v>8095</v>
      </c>
      <c r="C3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E3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70">
        <v>1</v>
      </c>
      <c r="I370">
        <f>(salidas26[[#This Row],[CANT JUEGOS ]]*salidas26[[#This Row],[PRECIO JUEGO]])</f>
        <v>300</v>
      </c>
      <c r="J370">
        <f>(salidas26[[#This Row],[CANT BARRAS]]*salidas26[[#This Row],[PRECIO BARRA]])</f>
        <v>0</v>
      </c>
      <c r="K370">
        <v>380</v>
      </c>
      <c r="L370" t="s">
        <v>465</v>
      </c>
      <c r="M370" t="s">
        <v>489</v>
      </c>
    </row>
    <row r="371" spans="1:13">
      <c r="A371">
        <v>115</v>
      </c>
      <c r="B371">
        <v>8098</v>
      </c>
      <c r="C3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E3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3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371">
        <v>1</v>
      </c>
      <c r="I371">
        <f>(salidas26[[#This Row],[CANT JUEGOS ]]*salidas26[[#This Row],[PRECIO JUEGO]])</f>
        <v>420</v>
      </c>
      <c r="J371">
        <f>(salidas26[[#This Row],[CANT BARRAS]]*salidas26[[#This Row],[PRECIO BARRA]])</f>
        <v>0</v>
      </c>
      <c r="K371">
        <v>380</v>
      </c>
      <c r="L371" t="s">
        <v>465</v>
      </c>
      <c r="M371" t="s">
        <v>544</v>
      </c>
    </row>
    <row r="372" spans="1:13">
      <c r="A372">
        <v>116</v>
      </c>
      <c r="B372">
        <v>8124</v>
      </c>
      <c r="C3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E3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72">
        <v>10</v>
      </c>
      <c r="I372">
        <f>(salidas26[[#This Row],[CANT JUEGOS ]]*salidas26[[#This Row],[PRECIO JUEGO]])</f>
        <v>0</v>
      </c>
      <c r="J372">
        <f>(salidas26[[#This Row],[CANT BARRAS]]*salidas26[[#This Row],[PRECIO BARRA]])</f>
        <v>35</v>
      </c>
      <c r="K372">
        <v>35</v>
      </c>
      <c r="L372" t="s">
        <v>465</v>
      </c>
      <c r="M372" t="s">
        <v>587</v>
      </c>
    </row>
    <row r="373" spans="1:13">
      <c r="A373">
        <v>117</v>
      </c>
      <c r="B373">
        <v>8015</v>
      </c>
      <c r="C3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3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73">
        <v>2</v>
      </c>
      <c r="I373">
        <f>(salidas26[[#This Row],[CANT JUEGOS ]]*salidas26[[#This Row],[PRECIO JUEGO]])</f>
        <v>120</v>
      </c>
      <c r="J373">
        <f>(salidas26[[#This Row],[CANT BARRAS]]*salidas26[[#This Row],[PRECIO BARRA]])</f>
        <v>0</v>
      </c>
      <c r="K373">
        <v>100</v>
      </c>
      <c r="L373" t="s">
        <v>496</v>
      </c>
      <c r="M373" t="s">
        <v>474</v>
      </c>
    </row>
    <row r="374" spans="1:13">
      <c r="A374">
        <v>118</v>
      </c>
      <c r="B374">
        <v>8123</v>
      </c>
      <c r="C3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E3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74">
        <v>10</v>
      </c>
      <c r="I374">
        <f>(salidas26[[#This Row],[CANT JUEGOS ]]*salidas26[[#This Row],[PRECIO JUEGO]])</f>
        <v>0</v>
      </c>
      <c r="J374">
        <f>(salidas26[[#This Row],[CANT BARRAS]]*salidas26[[#This Row],[PRECIO BARRA]])</f>
        <v>35</v>
      </c>
      <c r="K374">
        <v>35</v>
      </c>
      <c r="L374" t="s">
        <v>496</v>
      </c>
      <c r="M374" t="s">
        <v>474</v>
      </c>
    </row>
    <row r="375" spans="1:13">
      <c r="A375">
        <v>119</v>
      </c>
      <c r="B375">
        <v>4000</v>
      </c>
      <c r="C3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E3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75">
        <v>2</v>
      </c>
      <c r="I375">
        <f>(salidas26[[#This Row],[CANT JUEGOS ]]*salidas26[[#This Row],[PRECIO JUEGO]])</f>
        <v>120</v>
      </c>
      <c r="J375">
        <f>(salidas26[[#This Row],[CANT BARRAS]]*salidas26[[#This Row],[PRECIO BARRA]])</f>
        <v>0</v>
      </c>
      <c r="K375">
        <v>96</v>
      </c>
      <c r="L375" t="s">
        <v>465</v>
      </c>
      <c r="M375" t="s">
        <v>497</v>
      </c>
    </row>
    <row r="376" spans="1:13">
      <c r="A376">
        <v>120</v>
      </c>
      <c r="B376">
        <v>1018</v>
      </c>
      <c r="C3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LH 5100-2B/5L</v>
      </c>
      <c r="E3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3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376">
        <v>1</v>
      </c>
      <c r="I376">
        <f>(salidas26[[#This Row],[CANT JUEGOS ]]*salidas26[[#This Row],[PRECIO JUEGO]])</f>
        <v>80</v>
      </c>
      <c r="J376">
        <f>(salidas26[[#This Row],[CANT BARRAS]]*salidas26[[#This Row],[PRECIO BARRA]])</f>
        <v>0</v>
      </c>
      <c r="K376">
        <v>64</v>
      </c>
      <c r="L376" t="s">
        <v>465</v>
      </c>
      <c r="M376" t="s">
        <v>497</v>
      </c>
    </row>
    <row r="377" spans="1:13">
      <c r="A377">
        <v>121</v>
      </c>
      <c r="B377">
        <v>1076</v>
      </c>
      <c r="C3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UJ6500 /8B</v>
      </c>
      <c r="E3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3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377">
        <v>1</v>
      </c>
      <c r="I377">
        <f>(salidas26[[#This Row],[CANT JUEGOS ]]*salidas26[[#This Row],[PRECIO JUEGO]])</f>
        <v>250</v>
      </c>
      <c r="J377">
        <f>(salidas26[[#This Row],[CANT BARRAS]]*salidas26[[#This Row],[PRECIO BARRA]])</f>
        <v>0</v>
      </c>
      <c r="K377">
        <v>200</v>
      </c>
      <c r="L377" t="s">
        <v>465</v>
      </c>
      <c r="M377" t="s">
        <v>497</v>
      </c>
    </row>
    <row r="378" spans="1:13">
      <c r="A378">
        <v>122</v>
      </c>
      <c r="B378">
        <v>2003</v>
      </c>
      <c r="C3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E3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3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378">
        <v>2</v>
      </c>
      <c r="I378">
        <f>(salidas26[[#This Row],[CANT JUEGOS ]]*salidas26[[#This Row],[PRECIO JUEGO]])</f>
        <v>0</v>
      </c>
      <c r="J378">
        <f>(salidas26[[#This Row],[CANT BARRAS]]*salidas26[[#This Row],[PRECIO BARRA]])</f>
        <v>52</v>
      </c>
      <c r="K378">
        <v>50</v>
      </c>
      <c r="L378" t="s">
        <v>465</v>
      </c>
      <c r="M378" s="83" t="s">
        <v>588</v>
      </c>
    </row>
    <row r="379" spans="1:13">
      <c r="A379">
        <v>123</v>
      </c>
      <c r="B379">
        <v>2001</v>
      </c>
      <c r="C3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UN32EH4000 4B/3V</v>
      </c>
      <c r="E3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3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379">
        <v>1</v>
      </c>
      <c r="I379">
        <f>(salidas26[[#This Row],[CANT JUEGOS ]]*salidas26[[#This Row],[PRECIO JUEGO]])</f>
        <v>150</v>
      </c>
      <c r="J379">
        <f>(salidas26[[#This Row],[CANT BARRAS]]*salidas26[[#This Row],[PRECIO BARRA]])</f>
        <v>0</v>
      </c>
      <c r="K379">
        <v>150</v>
      </c>
      <c r="L379" t="s">
        <v>465</v>
      </c>
      <c r="M379" t="s">
        <v>589</v>
      </c>
    </row>
    <row r="380" spans="1:13">
      <c r="B380">
        <v>8000</v>
      </c>
      <c r="C3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E3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80">
        <v>1</v>
      </c>
      <c r="I380">
        <f>(salidas26[[#This Row],[CANT JUEGOS ]]*salidas26[[#This Row],[PRECIO JUEGO]])</f>
        <v>60</v>
      </c>
      <c r="J380">
        <f>(salidas26[[#This Row],[CANT BARRAS]]*salidas26[[#This Row],[PRECIO BARRA]])</f>
        <v>0</v>
      </c>
      <c r="M380" t="s">
        <v>504</v>
      </c>
    </row>
    <row r="381" spans="1:13">
      <c r="A381">
        <v>124</v>
      </c>
      <c r="B381">
        <v>8000</v>
      </c>
      <c r="C3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E3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381">
        <v>1</v>
      </c>
      <c r="I381">
        <f>(salidas26[[#This Row],[CANT JUEGOS ]]*salidas26[[#This Row],[PRECIO JUEGO]])</f>
        <v>0</v>
      </c>
      <c r="J381">
        <f>(salidas26[[#This Row],[CANT BARRAS]]*salidas26[[#This Row],[PRECIO BARRA]])</f>
        <v>30</v>
      </c>
      <c r="K381">
        <v>40</v>
      </c>
      <c r="L381" t="s">
        <v>465</v>
      </c>
      <c r="M381" t="s">
        <v>590</v>
      </c>
    </row>
    <row r="382" spans="1:13">
      <c r="A382">
        <v>125</v>
      </c>
      <c r="B382">
        <v>8095</v>
      </c>
      <c r="C3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E3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82">
        <v>1</v>
      </c>
      <c r="I382">
        <f>(salidas26[[#This Row],[CANT JUEGOS ]]*salidas26[[#This Row],[PRECIO JUEGO]])</f>
        <v>300</v>
      </c>
      <c r="J382">
        <f>(salidas26[[#This Row],[CANT BARRAS]]*salidas26[[#This Row],[PRECIO BARRA]])</f>
        <v>0</v>
      </c>
      <c r="K382">
        <v>300</v>
      </c>
      <c r="L382" t="s">
        <v>496</v>
      </c>
      <c r="M382" t="s">
        <v>591</v>
      </c>
    </row>
    <row r="383" spans="1:13">
      <c r="A383">
        <v>126</v>
      </c>
      <c r="B383">
        <v>8015</v>
      </c>
      <c r="C3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3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83">
        <v>1</v>
      </c>
      <c r="I383">
        <f>(salidas26[[#This Row],[CANT JUEGOS ]]*salidas26[[#This Row],[PRECIO JUEGO]])</f>
        <v>60</v>
      </c>
      <c r="J383">
        <f>(salidas26[[#This Row],[CANT BARRAS]]*salidas26[[#This Row],[PRECIO BARRA]])</f>
        <v>0</v>
      </c>
      <c r="K383">
        <v>60</v>
      </c>
      <c r="L383" t="s">
        <v>496</v>
      </c>
      <c r="M383" t="s">
        <v>476</v>
      </c>
    </row>
    <row r="384" spans="1:13" s="18" customFormat="1">
      <c r="A384" s="18">
        <v>128</v>
      </c>
      <c r="B384" s="18">
        <v>5029</v>
      </c>
      <c r="C384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 PANASONIC EDGE</v>
      </c>
      <c r="E384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84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384" s="18">
        <v>1</v>
      </c>
      <c r="I384" s="18">
        <f>(salidas26[[#This Row],[CANT JUEGOS ]]*salidas26[[#This Row],[PRECIO JUEGO]])</f>
        <v>200</v>
      </c>
      <c r="J384" s="18">
        <f>(salidas26[[#This Row],[CANT BARRAS]]*salidas26[[#This Row],[PRECIO BARRA]])</f>
        <v>0</v>
      </c>
      <c r="K384" s="18">
        <v>120</v>
      </c>
      <c r="L384" s="18" t="s">
        <v>496</v>
      </c>
      <c r="M384" s="18" t="s">
        <v>490</v>
      </c>
    </row>
    <row r="385" spans="1:13" s="18" customFormat="1">
      <c r="A385" s="18">
        <v>129</v>
      </c>
      <c r="B385" s="18">
        <v>1063</v>
      </c>
      <c r="C385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E385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85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385" s="18">
        <v>1</v>
      </c>
      <c r="I385" s="18">
        <f>(salidas26[[#This Row],[CANT JUEGOS ]]*salidas26[[#This Row],[PRECIO JUEGO]])</f>
        <v>180</v>
      </c>
      <c r="J385" s="18">
        <f>(salidas26[[#This Row],[CANT BARRAS]]*salidas26[[#This Row],[PRECIO BARRA]])</f>
        <v>0</v>
      </c>
      <c r="K385" s="18">
        <v>180</v>
      </c>
      <c r="L385" s="18" t="s">
        <v>465</v>
      </c>
      <c r="M385" s="18" t="s">
        <v>592</v>
      </c>
    </row>
    <row r="386" spans="1:13">
      <c r="A386">
        <v>130</v>
      </c>
      <c r="B386">
        <v>8129</v>
      </c>
      <c r="C3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6V/2W S/C DIF. 180º</v>
      </c>
      <c r="E3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3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386">
        <v>5</v>
      </c>
      <c r="I386">
        <f>(salidas26[[#This Row],[CANT JUEGOS ]]*salidas26[[#This Row],[PRECIO JUEGO]])</f>
        <v>0</v>
      </c>
      <c r="J386">
        <f>(salidas26[[#This Row],[CANT BARRAS]]*salidas26[[#This Row],[PRECIO BARRA]])</f>
        <v>17.5</v>
      </c>
      <c r="K386">
        <v>17.5</v>
      </c>
      <c r="L386" t="s">
        <v>496</v>
      </c>
      <c r="M386" t="s">
        <v>469</v>
      </c>
    </row>
    <row r="387" spans="1:13">
      <c r="A387">
        <v>131</v>
      </c>
      <c r="B387">
        <v>8015</v>
      </c>
      <c r="C3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3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87">
        <v>1</v>
      </c>
      <c r="I387">
        <f>(salidas26[[#This Row],[CANT JUEGOS ]]*salidas26[[#This Row],[PRECIO JUEGO]])</f>
        <v>60</v>
      </c>
      <c r="J387">
        <f>(salidas26[[#This Row],[CANT BARRAS]]*salidas26[[#This Row],[PRECIO BARRA]])</f>
        <v>0</v>
      </c>
      <c r="K387">
        <v>60</v>
      </c>
      <c r="L387" t="s">
        <v>496</v>
      </c>
      <c r="M387" t="s">
        <v>469</v>
      </c>
    </row>
    <row r="388" spans="1:13">
      <c r="A388">
        <v>132</v>
      </c>
      <c r="B388">
        <v>3012</v>
      </c>
      <c r="C3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48M600 10B/6-7LEDS Y 4 -8LEDS/3V </v>
      </c>
      <c r="E3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3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388">
        <v>2</v>
      </c>
      <c r="I388">
        <f>(salidas26[[#This Row],[CANT JUEGOS ]]*salidas26[[#This Row],[PRECIO JUEGO]])</f>
        <v>0</v>
      </c>
      <c r="J388">
        <f>(salidas26[[#This Row],[CANT BARRAS]]*salidas26[[#This Row],[PRECIO BARRA]])</f>
        <v>52</v>
      </c>
      <c r="K388">
        <v>50</v>
      </c>
      <c r="L388" t="s">
        <v>465</v>
      </c>
      <c r="M388" t="s">
        <v>481</v>
      </c>
    </row>
    <row r="389" spans="1:13">
      <c r="A389">
        <v>135</v>
      </c>
      <c r="B389">
        <v>8013</v>
      </c>
      <c r="C3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CD2000 6L/3V/3B</v>
      </c>
      <c r="E3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3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389">
        <v>1</v>
      </c>
      <c r="I389">
        <f>(salidas26[[#This Row],[CANT JUEGOS ]]*salidas26[[#This Row],[PRECIO JUEGO]])</f>
        <v>100</v>
      </c>
      <c r="J389">
        <f>(salidas26[[#This Row],[CANT BARRAS]]*salidas26[[#This Row],[PRECIO BARRA]])</f>
        <v>0</v>
      </c>
      <c r="K389">
        <v>100</v>
      </c>
      <c r="L389" t="s">
        <v>465</v>
      </c>
      <c r="M389" t="s">
        <v>481</v>
      </c>
    </row>
    <row r="390" spans="1:13">
      <c r="A390">
        <v>136</v>
      </c>
      <c r="B390">
        <v>7000</v>
      </c>
      <c r="C3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E3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90">
        <v>1</v>
      </c>
      <c r="I390">
        <f>(salidas26[[#This Row],[CANT JUEGOS ]]*salidas26[[#This Row],[PRECIO JUEGO]])</f>
        <v>60</v>
      </c>
      <c r="J390">
        <f>(salidas26[[#This Row],[CANT BARRAS]]*salidas26[[#This Row],[PRECIO BARRA]])</f>
        <v>0</v>
      </c>
      <c r="K390">
        <v>60</v>
      </c>
      <c r="L390" t="s">
        <v>496</v>
      </c>
      <c r="M390" t="s">
        <v>481</v>
      </c>
    </row>
    <row r="391" spans="1:13">
      <c r="A391">
        <v>137</v>
      </c>
      <c r="B391">
        <v>1033</v>
      </c>
      <c r="C3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3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3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391">
        <v>1</v>
      </c>
      <c r="I391">
        <f>(salidas26[[#This Row],[CANT JUEGOS ]]*salidas26[[#This Row],[PRECIO JUEGO]])</f>
        <v>180</v>
      </c>
      <c r="J391">
        <f>(salidas26[[#This Row],[CANT BARRAS]]*salidas26[[#This Row],[PRECIO BARRA]])</f>
        <v>0</v>
      </c>
      <c r="K391">
        <v>180</v>
      </c>
      <c r="L391" t="s">
        <v>496</v>
      </c>
      <c r="M391" t="s">
        <v>466</v>
      </c>
    </row>
    <row r="392" spans="1:13">
      <c r="A392">
        <v>139</v>
      </c>
      <c r="B392" s="84">
        <v>6022</v>
      </c>
      <c r="C3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E3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3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392">
        <v>1</v>
      </c>
      <c r="I392">
        <f>(salidas26[[#This Row],[CANT JUEGOS ]]*salidas26[[#This Row],[PRECIO JUEGO]])</f>
        <v>350</v>
      </c>
      <c r="J392">
        <f>(salidas26[[#This Row],[CANT BARRAS]]*salidas26[[#This Row],[PRECIO BARRA]])</f>
        <v>0</v>
      </c>
      <c r="K392">
        <v>350</v>
      </c>
      <c r="L392" t="s">
        <v>496</v>
      </c>
      <c r="M392" t="s">
        <v>492</v>
      </c>
    </row>
    <row r="393" spans="1:13">
      <c r="A393">
        <v>140</v>
      </c>
      <c r="B393">
        <v>8015</v>
      </c>
      <c r="C3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3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3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93">
        <v>1</v>
      </c>
      <c r="I393">
        <f>(salidas26[[#This Row],[CANT JUEGOS ]]*salidas26[[#This Row],[PRECIO JUEGO]])</f>
        <v>60</v>
      </c>
      <c r="J393">
        <f>(salidas26[[#This Row],[CANT BARRAS]]*salidas26[[#This Row],[PRECIO BARRA]])</f>
        <v>0</v>
      </c>
      <c r="K393">
        <v>50</v>
      </c>
      <c r="L393" t="s">
        <v>496</v>
      </c>
      <c r="M393" t="s">
        <v>492</v>
      </c>
    </row>
    <row r="394" spans="1:13">
      <c r="A394">
        <v>141</v>
      </c>
      <c r="B394">
        <v>8095</v>
      </c>
      <c r="C3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E3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3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394">
        <v>1</v>
      </c>
      <c r="I394">
        <f>(salidas26[[#This Row],[CANT JUEGOS ]]*salidas26[[#This Row],[PRECIO JUEGO]])</f>
        <v>300</v>
      </c>
      <c r="J394">
        <f>(salidas26[[#This Row],[CANT BARRAS]]*salidas26[[#This Row],[PRECIO BARRA]])</f>
        <v>0</v>
      </c>
      <c r="K394">
        <v>290</v>
      </c>
      <c r="L394" t="s">
        <v>465</v>
      </c>
      <c r="M394" t="s">
        <v>593</v>
      </c>
    </row>
    <row r="395" spans="1:13">
      <c r="A395">
        <v>142</v>
      </c>
      <c r="B395">
        <v>2003</v>
      </c>
      <c r="C3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E3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3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395">
        <v>1</v>
      </c>
      <c r="I395">
        <f>(salidas26[[#This Row],[CANT JUEGOS ]]*salidas26[[#This Row],[PRECIO JUEGO]])</f>
        <v>130</v>
      </c>
      <c r="J395">
        <f>(salidas26[[#This Row],[CANT BARRAS]]*salidas26[[#This Row],[PRECIO BARRA]])</f>
        <v>0</v>
      </c>
      <c r="K395">
        <v>130</v>
      </c>
      <c r="L395" t="s">
        <v>496</v>
      </c>
      <c r="M395" t="s">
        <v>473</v>
      </c>
    </row>
    <row r="396" spans="1:13">
      <c r="A396">
        <v>144</v>
      </c>
      <c r="B396">
        <v>9002</v>
      </c>
      <c r="C3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 KB527 14B/7L</v>
      </c>
      <c r="E3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3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32.142857142857146</v>
      </c>
      <c r="G396">
        <v>1</v>
      </c>
      <c r="I396">
        <f>(salidas26[[#This Row],[CANT JUEGOS ]]*salidas26[[#This Row],[PRECIO JUEGO]])</f>
        <v>450</v>
      </c>
      <c r="J396">
        <f>(salidas26[[#This Row],[CANT BARRAS]]*salidas26[[#This Row],[PRECIO BARRA]])</f>
        <v>0</v>
      </c>
      <c r="K396">
        <v>450</v>
      </c>
      <c r="L396" t="s">
        <v>465</v>
      </c>
      <c r="M396" t="s">
        <v>588</v>
      </c>
    </row>
    <row r="397" spans="1:13">
      <c r="A397">
        <v>145</v>
      </c>
      <c r="B397">
        <v>6006</v>
      </c>
      <c r="C3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E3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3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397">
        <v>1</v>
      </c>
      <c r="I397">
        <f>(salidas26[[#This Row],[CANT JUEGOS ]]*salidas26[[#This Row],[PRECIO JUEGO]])</f>
        <v>140</v>
      </c>
      <c r="J397">
        <f>(salidas26[[#This Row],[CANT BARRAS]]*salidas26[[#This Row],[PRECIO BARRA]])</f>
        <v>0</v>
      </c>
      <c r="K397">
        <v>144</v>
      </c>
      <c r="L397" t="s">
        <v>496</v>
      </c>
      <c r="M397" t="s">
        <v>509</v>
      </c>
    </row>
    <row r="398" spans="1:13" s="91" customFormat="1">
      <c r="A398" s="91">
        <v>146</v>
      </c>
      <c r="B398" s="91">
        <v>8057</v>
      </c>
      <c r="C398" s="9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E398" s="9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398" s="9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398" s="91">
        <v>1</v>
      </c>
      <c r="I398" s="91">
        <f>(salidas26[[#This Row],[CANT JUEGOS ]]*salidas26[[#This Row],[PRECIO JUEGO]])</f>
        <v>200</v>
      </c>
      <c r="J398" s="91">
        <f>(salidas26[[#This Row],[CANT BARRAS]]*salidas26[[#This Row],[PRECIO BARRA]])</f>
        <v>0</v>
      </c>
      <c r="K398" s="91">
        <v>200</v>
      </c>
      <c r="L398" s="91" t="s">
        <v>594</v>
      </c>
      <c r="M398" s="91" t="s">
        <v>495</v>
      </c>
    </row>
    <row r="399" spans="1:13">
      <c r="A399">
        <v>147</v>
      </c>
      <c r="B399">
        <v>1015</v>
      </c>
      <c r="C3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E3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3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399">
        <v>2</v>
      </c>
      <c r="I399">
        <f>(salidas26[[#This Row],[CANT JUEGOS ]]*salidas26[[#This Row],[PRECIO JUEGO]])</f>
        <v>160</v>
      </c>
      <c r="J399">
        <f>(salidas26[[#This Row],[CANT BARRAS]]*salidas26[[#This Row],[PRECIO BARRA]])</f>
        <v>0</v>
      </c>
      <c r="K399">
        <v>180</v>
      </c>
      <c r="L399" t="s">
        <v>496</v>
      </c>
      <c r="M399" t="s">
        <v>509</v>
      </c>
    </row>
    <row r="400" spans="1:13">
      <c r="A400">
        <v>148</v>
      </c>
      <c r="B400">
        <v>1033</v>
      </c>
      <c r="C4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4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400">
        <v>1</v>
      </c>
      <c r="I400">
        <f>(salidas26[[#This Row],[CANT JUEGOS ]]*salidas26[[#This Row],[PRECIO JUEGO]])</f>
        <v>180</v>
      </c>
      <c r="J400">
        <f>(salidas26[[#This Row],[CANT BARRAS]]*salidas26[[#This Row],[PRECIO BARRA]])</f>
        <v>0</v>
      </c>
      <c r="K400">
        <v>180</v>
      </c>
      <c r="L400" t="s">
        <v>465</v>
      </c>
      <c r="M400" t="s">
        <v>575</v>
      </c>
    </row>
    <row r="401" spans="1:13">
      <c r="A401">
        <v>149</v>
      </c>
      <c r="B401">
        <v>1060</v>
      </c>
      <c r="C4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43LH-LF 5100/6B</v>
      </c>
      <c r="E4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01">
        <v>1</v>
      </c>
      <c r="I401">
        <f>(salidas26[[#This Row],[CANT JUEGOS ]]*salidas26[[#This Row],[PRECIO JUEGO]])</f>
        <v>180</v>
      </c>
      <c r="J401">
        <f>(salidas26[[#This Row],[CANT BARRAS]]*salidas26[[#This Row],[PRECIO BARRA]])</f>
        <v>0</v>
      </c>
      <c r="K401">
        <v>220</v>
      </c>
      <c r="L401" t="s">
        <v>465</v>
      </c>
      <c r="M401" t="s">
        <v>469</v>
      </c>
    </row>
    <row r="402" spans="1:13">
      <c r="A402">
        <v>150</v>
      </c>
      <c r="B402">
        <v>6001</v>
      </c>
      <c r="C4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E4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402">
        <v>1</v>
      </c>
      <c r="I402">
        <f>(salidas26[[#This Row],[CANT JUEGOS ]]*salidas26[[#This Row],[PRECIO JUEGO]])</f>
        <v>80</v>
      </c>
      <c r="J402">
        <f>(salidas26[[#This Row],[CANT BARRAS]]*salidas26[[#This Row],[PRECIO BARRA]])</f>
        <v>0</v>
      </c>
      <c r="K402">
        <v>70</v>
      </c>
      <c r="L402" t="s">
        <v>465</v>
      </c>
      <c r="M402" t="s">
        <v>469</v>
      </c>
    </row>
    <row r="403" spans="1:13">
      <c r="A403">
        <v>151</v>
      </c>
      <c r="B403">
        <v>2003</v>
      </c>
      <c r="C4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E4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4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403">
        <v>1</v>
      </c>
      <c r="I403">
        <f>(salidas26[[#This Row],[CANT JUEGOS ]]*salidas26[[#This Row],[PRECIO JUEGO]])</f>
        <v>130</v>
      </c>
      <c r="J403">
        <f>(salidas26[[#This Row],[CANT BARRAS]]*salidas26[[#This Row],[PRECIO BARRA]])</f>
        <v>0</v>
      </c>
      <c r="K403">
        <v>120</v>
      </c>
      <c r="L403" t="s">
        <v>465</v>
      </c>
      <c r="M403" t="s">
        <v>595</v>
      </c>
    </row>
    <row r="404" spans="1:13">
      <c r="A404">
        <v>152</v>
      </c>
      <c r="B404">
        <v>8015</v>
      </c>
      <c r="C4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4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04">
        <v>1</v>
      </c>
      <c r="I404">
        <f>(salidas26[[#This Row],[CANT JUEGOS ]]*salidas26[[#This Row],[PRECIO JUEGO]])</f>
        <v>60</v>
      </c>
      <c r="J404">
        <f>(salidas26[[#This Row],[CANT BARRAS]]*salidas26[[#This Row],[PRECIO BARRA]])</f>
        <v>0</v>
      </c>
      <c r="K404">
        <v>60</v>
      </c>
      <c r="L404" t="s">
        <v>465</v>
      </c>
      <c r="M404" t="s">
        <v>595</v>
      </c>
    </row>
    <row r="405" spans="1:13">
      <c r="A405">
        <v>153</v>
      </c>
      <c r="B405">
        <v>7003</v>
      </c>
      <c r="C4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8L/6V/3B</v>
      </c>
      <c r="E4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05">
        <v>1</v>
      </c>
      <c r="I405">
        <f>(salidas26[[#This Row],[CANT JUEGOS ]]*salidas26[[#This Row],[PRECIO JUEGO]])</f>
        <v>150</v>
      </c>
      <c r="J405">
        <f>(salidas26[[#This Row],[CANT BARRAS]]*salidas26[[#This Row],[PRECIO BARRA]])</f>
        <v>0</v>
      </c>
      <c r="K405">
        <v>140</v>
      </c>
      <c r="L405" t="s">
        <v>465</v>
      </c>
      <c r="M405" t="s">
        <v>596</v>
      </c>
    </row>
    <row r="406" spans="1:13" s="91" customFormat="1">
      <c r="A406" s="91">
        <v>155</v>
      </c>
      <c r="B406" s="91">
        <v>6015</v>
      </c>
      <c r="C406" s="97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E406" s="97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406" s="97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406" s="91">
        <v>1</v>
      </c>
      <c r="I406" s="91">
        <f>(salidas26[[#This Row],[CANT JUEGOS ]]*salidas26[[#This Row],[PRECIO JUEGO]])</f>
        <v>220</v>
      </c>
      <c r="J406" s="91">
        <f>(salidas26[[#This Row],[CANT BARRAS]]*salidas26[[#This Row],[PRECIO BARRA]])</f>
        <v>0</v>
      </c>
      <c r="K406" s="91">
        <v>220</v>
      </c>
      <c r="L406" s="91" t="s">
        <v>594</v>
      </c>
      <c r="M406" s="91" t="s">
        <v>495</v>
      </c>
    </row>
    <row r="407" spans="1:13">
      <c r="A407">
        <v>156</v>
      </c>
      <c r="B407">
        <v>8069</v>
      </c>
      <c r="C4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E4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4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407">
        <v>1</v>
      </c>
      <c r="I407">
        <f>(salidas26[[#This Row],[CANT JUEGOS ]]*salidas26[[#This Row],[PRECIO JUEGO]])</f>
        <v>220</v>
      </c>
      <c r="J407">
        <f>(salidas26[[#This Row],[CANT BARRAS]]*salidas26[[#This Row],[PRECIO BARRA]])</f>
        <v>0</v>
      </c>
      <c r="K407">
        <v>200</v>
      </c>
      <c r="L407" t="s">
        <v>465</v>
      </c>
      <c r="M407" t="s">
        <v>476</v>
      </c>
    </row>
    <row r="408" spans="1:13">
      <c r="A408">
        <v>157</v>
      </c>
      <c r="B408">
        <v>6023</v>
      </c>
      <c r="C4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TOSHIBA C350KB / 10L/4B</v>
      </c>
      <c r="E4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4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75</v>
      </c>
      <c r="G408">
        <v>1</v>
      </c>
      <c r="I408">
        <f>(salidas26[[#This Row],[CANT JUEGOS ]]*salidas26[[#This Row],[PRECIO JUEGO]])</f>
        <v>300</v>
      </c>
      <c r="J408">
        <f>(salidas26[[#This Row],[CANT BARRAS]]*salidas26[[#This Row],[PRECIO BARRA]])</f>
        <v>0</v>
      </c>
      <c r="K408">
        <v>280</v>
      </c>
      <c r="L408" t="s">
        <v>465</v>
      </c>
      <c r="M408" t="s">
        <v>466</v>
      </c>
    </row>
    <row r="409" spans="1:13">
      <c r="A409">
        <v>158</v>
      </c>
      <c r="B409">
        <v>2000</v>
      </c>
      <c r="C4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E4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409">
        <v>1</v>
      </c>
      <c r="I409">
        <f>(salidas26[[#This Row],[CANT JUEGOS ]]*salidas26[[#This Row],[PRECIO JUEGO]])</f>
        <v>80</v>
      </c>
      <c r="J409">
        <f>(salidas26[[#This Row],[CANT BARRAS]]*salidas26[[#This Row],[PRECIO BARRA]])</f>
        <v>0</v>
      </c>
      <c r="K409">
        <v>81</v>
      </c>
      <c r="L409" t="s">
        <v>496</v>
      </c>
      <c r="M409" t="s">
        <v>509</v>
      </c>
    </row>
    <row r="410" spans="1:13">
      <c r="A410">
        <v>159</v>
      </c>
      <c r="B410">
        <v>1033</v>
      </c>
      <c r="C4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4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410">
        <v>1</v>
      </c>
      <c r="I410">
        <f>(salidas26[[#This Row],[CANT JUEGOS ]]*salidas26[[#This Row],[PRECIO JUEGO]])</f>
        <v>180</v>
      </c>
      <c r="J410">
        <f>(salidas26[[#This Row],[CANT BARRAS]]*salidas26[[#This Row],[PRECIO BARRA]])</f>
        <v>0</v>
      </c>
      <c r="K410">
        <v>198</v>
      </c>
      <c r="L410" t="s">
        <v>496</v>
      </c>
      <c r="M410" t="s">
        <v>509</v>
      </c>
    </row>
    <row r="411" spans="1:13">
      <c r="A411">
        <v>160</v>
      </c>
      <c r="B411">
        <v>8076</v>
      </c>
      <c r="C4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XIAOMI L55M6A</v>
      </c>
      <c r="E4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4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411">
        <v>1</v>
      </c>
      <c r="I411">
        <f>(salidas26[[#This Row],[CANT JUEGOS ]]*salidas26[[#This Row],[PRECIO JUEGO]])</f>
        <v>300</v>
      </c>
      <c r="J411">
        <f>(salidas26[[#This Row],[CANT BARRAS]]*salidas26[[#This Row],[PRECIO BARRA]])</f>
        <v>0</v>
      </c>
      <c r="K411">
        <v>250</v>
      </c>
      <c r="L411" t="s">
        <v>465</v>
      </c>
      <c r="M411" t="s">
        <v>490</v>
      </c>
    </row>
    <row r="412" spans="1:13">
      <c r="A412">
        <v>161</v>
      </c>
      <c r="B412">
        <v>7000</v>
      </c>
      <c r="C4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E4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12">
        <v>1</v>
      </c>
      <c r="I412">
        <f>(salidas26[[#This Row],[CANT JUEGOS ]]*salidas26[[#This Row],[PRECIO JUEGO]])</f>
        <v>60</v>
      </c>
      <c r="J412">
        <f>(salidas26[[#This Row],[CANT BARRAS]]*salidas26[[#This Row],[PRECIO BARRA]])</f>
        <v>0</v>
      </c>
      <c r="K412">
        <v>50</v>
      </c>
      <c r="L412" t="s">
        <v>465</v>
      </c>
      <c r="M412" t="s">
        <v>468</v>
      </c>
    </row>
    <row r="413" spans="1:13">
      <c r="A413">
        <v>162</v>
      </c>
      <c r="B413">
        <v>2003</v>
      </c>
      <c r="C4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E4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4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413">
        <v>2</v>
      </c>
      <c r="I413">
        <f>(salidas26[[#This Row],[CANT JUEGOS ]]*salidas26[[#This Row],[PRECIO JUEGO]])</f>
        <v>0</v>
      </c>
      <c r="J413">
        <f>(salidas26[[#This Row],[CANT BARRAS]]*salidas26[[#This Row],[PRECIO BARRA]])</f>
        <v>52</v>
      </c>
      <c r="K413">
        <v>50</v>
      </c>
      <c r="L413" t="s">
        <v>465</v>
      </c>
      <c r="M413" t="s">
        <v>468</v>
      </c>
    </row>
    <row r="414" spans="1:13">
      <c r="A414">
        <v>163</v>
      </c>
      <c r="B414">
        <v>4010</v>
      </c>
      <c r="C4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E4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4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414">
        <v>1</v>
      </c>
      <c r="I414">
        <f>(salidas26[[#This Row],[CANT JUEGOS ]]*salidas26[[#This Row],[PRECIO JUEGO]])</f>
        <v>160</v>
      </c>
      <c r="J414">
        <f>(salidas26[[#This Row],[CANT BARRAS]]*salidas26[[#This Row],[PRECIO BARRA]])</f>
        <v>0</v>
      </c>
      <c r="K414">
        <v>150</v>
      </c>
      <c r="L414" t="s">
        <v>594</v>
      </c>
      <c r="M414" t="s">
        <v>468</v>
      </c>
    </row>
    <row r="415" spans="1:13">
      <c r="A415">
        <v>164</v>
      </c>
      <c r="B415">
        <v>6006</v>
      </c>
      <c r="C4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E4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4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415">
        <v>1</v>
      </c>
      <c r="I415">
        <f>(salidas26[[#This Row],[CANT JUEGOS ]]*salidas26[[#This Row],[PRECIO JUEGO]])</f>
        <v>140</v>
      </c>
      <c r="J415">
        <f>(salidas26[[#This Row],[CANT BARRAS]]*salidas26[[#This Row],[PRECIO BARRA]])</f>
        <v>0</v>
      </c>
      <c r="K415">
        <v>140</v>
      </c>
      <c r="L415" t="s">
        <v>496</v>
      </c>
      <c r="M415" t="s">
        <v>474</v>
      </c>
    </row>
    <row r="416" spans="1:13">
      <c r="A416">
        <v>165</v>
      </c>
      <c r="B416">
        <v>1102</v>
      </c>
      <c r="C4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E4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4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416">
        <v>1</v>
      </c>
      <c r="I416">
        <f>(salidas26[[#This Row],[CANT JUEGOS ]]*salidas26[[#This Row],[PRECIO JUEGO]])</f>
        <v>280</v>
      </c>
      <c r="J416">
        <f>(salidas26[[#This Row],[CANT BARRAS]]*salidas26[[#This Row],[PRECIO BARRA]])</f>
        <v>0</v>
      </c>
      <c r="K416">
        <v>250</v>
      </c>
      <c r="L416" t="s">
        <v>496</v>
      </c>
      <c r="M416" t="s">
        <v>474</v>
      </c>
    </row>
    <row r="417" spans="1:13">
      <c r="A417">
        <v>166</v>
      </c>
      <c r="B417">
        <v>8033</v>
      </c>
      <c r="C4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17">
        <v>1</v>
      </c>
      <c r="I417">
        <f>(salidas26[[#This Row],[CANT JUEGOS ]]*salidas26[[#This Row],[PRECIO JUEGO]])</f>
        <v>150</v>
      </c>
      <c r="J417">
        <f>(salidas26[[#This Row],[CANT BARRAS]]*salidas26[[#This Row],[PRECIO BARRA]])</f>
        <v>0</v>
      </c>
      <c r="K417">
        <v>140</v>
      </c>
      <c r="L417" t="s">
        <v>496</v>
      </c>
      <c r="M417" t="s">
        <v>466</v>
      </c>
    </row>
    <row r="418" spans="1:13">
      <c r="A418">
        <v>167</v>
      </c>
      <c r="B418">
        <v>1036</v>
      </c>
      <c r="C4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E4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418">
        <v>1</v>
      </c>
      <c r="I418">
        <f>(salidas26[[#This Row],[CANT JUEGOS ]]*salidas26[[#This Row],[PRECIO JUEGO]])</f>
        <v>180</v>
      </c>
      <c r="J418">
        <f>(salidas26[[#This Row],[CANT BARRAS]]*salidas26[[#This Row],[PRECIO BARRA]])</f>
        <v>0</v>
      </c>
      <c r="K418">
        <v>180</v>
      </c>
      <c r="L418" t="s">
        <v>594</v>
      </c>
      <c r="M418" t="s">
        <v>470</v>
      </c>
    </row>
    <row r="419" spans="1:13">
      <c r="A419">
        <v>168</v>
      </c>
      <c r="B419">
        <v>8015</v>
      </c>
      <c r="C4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4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19">
        <v>1</v>
      </c>
      <c r="I419">
        <f>(salidas26[[#This Row],[CANT JUEGOS ]]*salidas26[[#This Row],[PRECIO JUEGO]])</f>
        <v>60</v>
      </c>
      <c r="J419">
        <f>(salidas26[[#This Row],[CANT BARRAS]]*salidas26[[#This Row],[PRECIO BARRA]])</f>
        <v>0</v>
      </c>
      <c r="K419">
        <v>50</v>
      </c>
      <c r="L419" t="s">
        <v>594</v>
      </c>
      <c r="M419" t="s">
        <v>542</v>
      </c>
    </row>
    <row r="420" spans="1:13">
      <c r="A420">
        <v>169</v>
      </c>
      <c r="B420">
        <v>8123</v>
      </c>
      <c r="C4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E4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4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420">
        <v>42</v>
      </c>
      <c r="I420">
        <f>(salidas26[[#This Row],[CANT JUEGOS ]]*salidas26[[#This Row],[PRECIO JUEGO]])</f>
        <v>0</v>
      </c>
      <c r="J420">
        <f>(salidas26[[#This Row],[CANT BARRAS]]*salidas26[[#This Row],[PRECIO BARRA]])</f>
        <v>147</v>
      </c>
      <c r="K420">
        <v>150</v>
      </c>
      <c r="L420" t="s">
        <v>594</v>
      </c>
      <c r="M420" t="s">
        <v>542</v>
      </c>
    </row>
    <row r="421" spans="1:13">
      <c r="B421">
        <v>8013</v>
      </c>
      <c r="C4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CD2000 6L/3V/3B</v>
      </c>
      <c r="E4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4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421">
        <v>1</v>
      </c>
      <c r="I421">
        <f>(salidas26[[#This Row],[CANT JUEGOS ]]*salidas26[[#This Row],[PRECIO JUEGO]])</f>
        <v>100</v>
      </c>
      <c r="J421">
        <f>(salidas26[[#This Row],[CANT BARRAS]]*salidas26[[#This Row],[PRECIO BARRA]])</f>
        <v>0</v>
      </c>
      <c r="M421" t="s">
        <v>504</v>
      </c>
    </row>
    <row r="422" spans="1:13">
      <c r="A422">
        <v>171</v>
      </c>
      <c r="B422">
        <v>8013</v>
      </c>
      <c r="C4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CD2000 6L/3V/3B</v>
      </c>
      <c r="E4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4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422">
        <v>1</v>
      </c>
      <c r="H422">
        <v>1</v>
      </c>
      <c r="I422">
        <f>(salidas26[[#This Row],[CANT JUEGOS ]]*salidas26[[#This Row],[PRECIO JUEGO]])</f>
        <v>100</v>
      </c>
      <c r="J422">
        <f>(salidas26[[#This Row],[CANT BARRAS]]*salidas26[[#This Row],[PRECIO BARRA]])</f>
        <v>33.333333333333336</v>
      </c>
      <c r="K422">
        <v>120</v>
      </c>
      <c r="L422" t="s">
        <v>594</v>
      </c>
      <c r="M422" t="s">
        <v>575</v>
      </c>
    </row>
    <row r="423" spans="1:13">
      <c r="A423">
        <v>172</v>
      </c>
      <c r="B423">
        <v>3001</v>
      </c>
      <c r="C4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E4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4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423">
        <v>2</v>
      </c>
      <c r="I423">
        <f>(salidas26[[#This Row],[CANT JUEGOS ]]*salidas26[[#This Row],[PRECIO JUEGO]])</f>
        <v>200</v>
      </c>
      <c r="J423">
        <f>(salidas26[[#This Row],[CANT BARRAS]]*salidas26[[#This Row],[PRECIO BARRA]])</f>
        <v>0</v>
      </c>
      <c r="K423">
        <v>160</v>
      </c>
      <c r="L423" t="s">
        <v>594</v>
      </c>
      <c r="M423" t="s">
        <v>497</v>
      </c>
    </row>
    <row r="424" spans="1:13">
      <c r="A424">
        <v>173</v>
      </c>
      <c r="B424">
        <v>6022</v>
      </c>
      <c r="C4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E4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4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424">
        <v>1</v>
      </c>
      <c r="I424">
        <f>(salidas26[[#This Row],[CANT JUEGOS ]]*salidas26[[#This Row],[PRECIO JUEGO]])</f>
        <v>350</v>
      </c>
      <c r="J424">
        <f>(salidas26[[#This Row],[CANT BARRAS]]*salidas26[[#This Row],[PRECIO BARRA]])</f>
        <v>0</v>
      </c>
      <c r="K424">
        <v>280</v>
      </c>
      <c r="L424" t="s">
        <v>594</v>
      </c>
      <c r="M424" t="s">
        <v>497</v>
      </c>
    </row>
    <row r="425" spans="1:13">
      <c r="A425">
        <v>174</v>
      </c>
      <c r="B425">
        <v>7002</v>
      </c>
      <c r="C4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E4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4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425">
        <v>1</v>
      </c>
      <c r="I425">
        <f>(salidas26[[#This Row],[CANT JUEGOS ]]*salidas26[[#This Row],[PRECIO JUEGO]])</f>
        <v>70</v>
      </c>
      <c r="J425">
        <f>(salidas26[[#This Row],[CANT BARRAS]]*salidas26[[#This Row],[PRECIO BARRA]])</f>
        <v>0</v>
      </c>
      <c r="K425">
        <v>54</v>
      </c>
      <c r="L425" t="s">
        <v>594</v>
      </c>
      <c r="M425" t="s">
        <v>497</v>
      </c>
    </row>
    <row r="426" spans="1:13">
      <c r="A426">
        <v>175</v>
      </c>
      <c r="B426">
        <v>2045</v>
      </c>
      <c r="C4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UN49KU6500-UN49MU6500/2B</v>
      </c>
      <c r="E4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4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426">
        <v>1</v>
      </c>
      <c r="I426">
        <f>(salidas26[[#This Row],[CANT JUEGOS ]]*salidas26[[#This Row],[PRECIO JUEGO]])</f>
        <v>400</v>
      </c>
      <c r="J426">
        <f>(salidas26[[#This Row],[CANT BARRAS]]*salidas26[[#This Row],[PRECIO BARRA]])</f>
        <v>0</v>
      </c>
      <c r="K426">
        <v>350</v>
      </c>
      <c r="L426" t="s">
        <v>496</v>
      </c>
      <c r="M426" t="s">
        <v>489</v>
      </c>
    </row>
    <row r="427" spans="1:13">
      <c r="A427">
        <v>176</v>
      </c>
      <c r="B427">
        <v>8015</v>
      </c>
      <c r="C4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4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27">
        <v>1</v>
      </c>
      <c r="I427">
        <f>(salidas26[[#This Row],[CANT JUEGOS ]]*salidas26[[#This Row],[PRECIO JUEGO]])</f>
        <v>60</v>
      </c>
      <c r="J427">
        <f>(salidas26[[#This Row],[CANT BARRAS]]*salidas26[[#This Row],[PRECIO BARRA]])</f>
        <v>0</v>
      </c>
      <c r="K427">
        <v>60</v>
      </c>
      <c r="L427" t="s">
        <v>496</v>
      </c>
      <c r="M427" t="s">
        <v>476</v>
      </c>
    </row>
    <row r="428" spans="1:13">
      <c r="A428">
        <v>177</v>
      </c>
      <c r="B428">
        <v>6000</v>
      </c>
      <c r="C4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E4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28">
        <v>1</v>
      </c>
      <c r="I428">
        <f>(salidas26[[#This Row],[CANT JUEGOS ]]*salidas26[[#This Row],[PRECIO JUEGO]])</f>
        <v>60</v>
      </c>
      <c r="J428">
        <f>(salidas26[[#This Row],[CANT BARRAS]]*salidas26[[#This Row],[PRECIO BARRA]])</f>
        <v>0</v>
      </c>
      <c r="K428">
        <v>60</v>
      </c>
      <c r="L428" t="s">
        <v>496</v>
      </c>
      <c r="M428" t="s">
        <v>482</v>
      </c>
    </row>
    <row r="429" spans="1:13">
      <c r="A429">
        <v>178</v>
      </c>
      <c r="B429">
        <v>8033</v>
      </c>
      <c r="C4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29">
        <v>1</v>
      </c>
      <c r="I429">
        <f>(salidas26[[#This Row],[CANT JUEGOS ]]*salidas26[[#This Row],[PRECIO JUEGO]])</f>
        <v>150</v>
      </c>
      <c r="J429">
        <f>(salidas26[[#This Row],[CANT BARRAS]]*salidas26[[#This Row],[PRECIO BARRA]])</f>
        <v>0</v>
      </c>
      <c r="K429">
        <v>140</v>
      </c>
      <c r="L429" t="s">
        <v>496</v>
      </c>
      <c r="M429" t="s">
        <v>482</v>
      </c>
    </row>
    <row r="430" spans="1:13">
      <c r="A430">
        <v>179</v>
      </c>
      <c r="B430">
        <v>1033</v>
      </c>
      <c r="C4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4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430">
        <v>1</v>
      </c>
      <c r="I430">
        <f>(salidas26[[#This Row],[CANT JUEGOS ]]*salidas26[[#This Row],[PRECIO JUEGO]])</f>
        <v>180</v>
      </c>
      <c r="J430">
        <f>(salidas26[[#This Row],[CANT BARRAS]]*salidas26[[#This Row],[PRECIO BARRA]])</f>
        <v>0</v>
      </c>
      <c r="K430">
        <v>170</v>
      </c>
      <c r="L430" t="s">
        <v>594</v>
      </c>
      <c r="M430" t="s">
        <v>575</v>
      </c>
    </row>
    <row r="431" spans="1:13">
      <c r="A431">
        <v>180</v>
      </c>
      <c r="B431">
        <v>7000</v>
      </c>
      <c r="C4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E4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31">
        <v>1</v>
      </c>
      <c r="I431">
        <f>(salidas26[[#This Row],[CANT JUEGOS ]]*salidas26[[#This Row],[PRECIO JUEGO]])</f>
        <v>60</v>
      </c>
      <c r="J431">
        <f>(salidas26[[#This Row],[CANT BARRAS]]*salidas26[[#This Row],[PRECIO BARRA]])</f>
        <v>0</v>
      </c>
      <c r="K431">
        <v>66</v>
      </c>
      <c r="L431" t="s">
        <v>594</v>
      </c>
      <c r="M431" t="s">
        <v>597</v>
      </c>
    </row>
    <row r="432" spans="1:13">
      <c r="A432">
        <v>181</v>
      </c>
      <c r="B432">
        <v>8095</v>
      </c>
      <c r="C4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E4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4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32">
        <v>1</v>
      </c>
      <c r="I432">
        <f>(salidas26[[#This Row],[CANT JUEGOS ]]*salidas26[[#This Row],[PRECIO JUEGO]])</f>
        <v>300</v>
      </c>
      <c r="J432">
        <f>(salidas26[[#This Row],[CANT BARRAS]]*salidas26[[#This Row],[PRECIO BARRA]])</f>
        <v>0</v>
      </c>
      <c r="K432">
        <v>300</v>
      </c>
      <c r="L432" t="s">
        <v>594</v>
      </c>
      <c r="M432" t="s">
        <v>598</v>
      </c>
    </row>
    <row r="433" spans="1:13">
      <c r="A433">
        <v>182</v>
      </c>
      <c r="B433">
        <v>2095</v>
      </c>
      <c r="C4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E4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4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433">
        <v>1</v>
      </c>
      <c r="I433">
        <f>(salidas26[[#This Row],[CANT JUEGOS ]]*salidas26[[#This Row],[PRECIO JUEGO]])</f>
        <v>250</v>
      </c>
      <c r="J433">
        <f>(salidas26[[#This Row],[CANT BARRAS]]*salidas26[[#This Row],[PRECIO BARRA]])</f>
        <v>0</v>
      </c>
      <c r="K433">
        <v>250</v>
      </c>
      <c r="L433" t="s">
        <v>496</v>
      </c>
      <c r="M433" t="s">
        <v>469</v>
      </c>
    </row>
    <row r="434" spans="1:13">
      <c r="A434">
        <v>183</v>
      </c>
      <c r="B434">
        <v>8015</v>
      </c>
      <c r="C4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4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34">
        <v>1</v>
      </c>
      <c r="I434">
        <f>(salidas26[[#This Row],[CANT JUEGOS ]]*salidas26[[#This Row],[PRECIO JUEGO]])</f>
        <v>60</v>
      </c>
      <c r="J434">
        <f>(salidas26[[#This Row],[CANT BARRAS]]*salidas26[[#This Row],[PRECIO BARRA]])</f>
        <v>0</v>
      </c>
      <c r="K434">
        <v>60</v>
      </c>
      <c r="L434" t="s">
        <v>594</v>
      </c>
      <c r="M434" t="s">
        <v>550</v>
      </c>
    </row>
    <row r="435" spans="1:13">
      <c r="A435">
        <v>184</v>
      </c>
      <c r="B435">
        <v>1000</v>
      </c>
      <c r="C4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E4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435">
        <v>1</v>
      </c>
      <c r="I435">
        <f>(salidas26[[#This Row],[CANT JUEGOS ]]*salidas26[[#This Row],[PRECIO JUEGO]])</f>
        <v>80</v>
      </c>
      <c r="J435">
        <f>(salidas26[[#This Row],[CANT BARRAS]]*salidas26[[#This Row],[PRECIO BARRA]])</f>
        <v>0</v>
      </c>
      <c r="K435">
        <v>70</v>
      </c>
      <c r="L435" t="s">
        <v>496</v>
      </c>
      <c r="M435" t="s">
        <v>599</v>
      </c>
    </row>
    <row r="436" spans="1:13">
      <c r="A436">
        <v>184</v>
      </c>
      <c r="B436">
        <v>1003</v>
      </c>
      <c r="C4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E4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436">
        <v>1</v>
      </c>
      <c r="I436">
        <f>(salidas26[[#This Row],[CANT JUEGOS ]]*salidas26[[#This Row],[PRECIO JUEGO]])</f>
        <v>80</v>
      </c>
      <c r="J436">
        <f>(salidas26[[#This Row],[CANT BARRAS]]*salidas26[[#This Row],[PRECIO BARRA]])</f>
        <v>0</v>
      </c>
      <c r="K436">
        <v>70</v>
      </c>
      <c r="L436" t="s">
        <v>496</v>
      </c>
      <c r="M436" t="s">
        <v>599</v>
      </c>
    </row>
    <row r="437" spans="1:13">
      <c r="A437">
        <v>184</v>
      </c>
      <c r="B437">
        <v>1006</v>
      </c>
      <c r="C4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-3B/3V/8-8-8</v>
      </c>
      <c r="E4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437">
        <v>1</v>
      </c>
      <c r="I437">
        <f>(salidas26[[#This Row],[CANT JUEGOS ]]*salidas26[[#This Row],[PRECIO JUEGO]])</f>
        <v>80</v>
      </c>
      <c r="J437">
        <f>(salidas26[[#This Row],[CANT BARRAS]]*salidas26[[#This Row],[PRECIO BARRA]])</f>
        <v>0</v>
      </c>
      <c r="K437">
        <v>70</v>
      </c>
      <c r="L437" t="s">
        <v>496</v>
      </c>
      <c r="M437" t="s">
        <v>599</v>
      </c>
    </row>
    <row r="438" spans="1:13">
      <c r="A438">
        <v>185</v>
      </c>
      <c r="B438">
        <v>4003</v>
      </c>
      <c r="C4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E4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4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38">
        <v>1</v>
      </c>
      <c r="I438">
        <f>(salidas26[[#This Row],[CANT JUEGOS ]]*salidas26[[#This Row],[PRECIO JUEGO]])</f>
        <v>90</v>
      </c>
      <c r="J438">
        <f>(salidas26[[#This Row],[CANT BARRAS]]*salidas26[[#This Row],[PRECIO BARRA]])</f>
        <v>0</v>
      </c>
      <c r="K438">
        <v>70</v>
      </c>
      <c r="L438" t="s">
        <v>496</v>
      </c>
      <c r="M438" t="s">
        <v>599</v>
      </c>
    </row>
    <row r="439" spans="1:13">
      <c r="A439">
        <v>186</v>
      </c>
      <c r="B439">
        <v>1033</v>
      </c>
      <c r="C4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4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439">
        <v>1</v>
      </c>
      <c r="I439">
        <f>(salidas26[[#This Row],[CANT JUEGOS ]]*salidas26[[#This Row],[PRECIO JUEGO]])</f>
        <v>180</v>
      </c>
      <c r="J439">
        <f>(salidas26[[#This Row],[CANT BARRAS]]*salidas26[[#This Row],[PRECIO BARRA]])</f>
        <v>0</v>
      </c>
      <c r="K439">
        <v>160</v>
      </c>
      <c r="L439" t="s">
        <v>496</v>
      </c>
      <c r="M439" t="s">
        <v>599</v>
      </c>
    </row>
    <row r="440" spans="1:13">
      <c r="A440">
        <v>187</v>
      </c>
      <c r="B440">
        <v>8069</v>
      </c>
      <c r="C4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E4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4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440">
        <v>1</v>
      </c>
      <c r="I440">
        <f>(salidas26[[#This Row],[CANT JUEGOS ]]*salidas26[[#This Row],[PRECIO JUEGO]])</f>
        <v>220</v>
      </c>
      <c r="J440">
        <f>(salidas26[[#This Row],[CANT BARRAS]]*salidas26[[#This Row],[PRECIO BARRA]])</f>
        <v>0</v>
      </c>
      <c r="K440">
        <v>200</v>
      </c>
      <c r="L440" t="s">
        <v>594</v>
      </c>
      <c r="M440" t="s">
        <v>476</v>
      </c>
    </row>
    <row r="441" spans="1:13">
      <c r="A441">
        <v>188</v>
      </c>
      <c r="B441">
        <v>8033</v>
      </c>
      <c r="C4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41">
        <v>1</v>
      </c>
      <c r="I441">
        <f>(salidas26[[#This Row],[CANT JUEGOS ]]*salidas26[[#This Row],[PRECIO JUEGO]])</f>
        <v>150</v>
      </c>
      <c r="J441">
        <f>(salidas26[[#This Row],[CANT BARRAS]]*salidas26[[#This Row],[PRECIO BARRA]])</f>
        <v>0</v>
      </c>
      <c r="K441">
        <v>140</v>
      </c>
      <c r="L441" t="s">
        <v>496</v>
      </c>
      <c r="M441" t="s">
        <v>466</v>
      </c>
    </row>
    <row r="442" spans="1:13">
      <c r="A442">
        <v>189</v>
      </c>
      <c r="B442">
        <v>7003</v>
      </c>
      <c r="C4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8L/6V/3B</v>
      </c>
      <c r="E4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42">
        <v>1</v>
      </c>
      <c r="I442">
        <f>(salidas26[[#This Row],[CANT JUEGOS ]]*salidas26[[#This Row],[PRECIO JUEGO]])</f>
        <v>150</v>
      </c>
      <c r="J442">
        <f>(salidas26[[#This Row],[CANT BARRAS]]*salidas26[[#This Row],[PRECIO BARRA]])</f>
        <v>0</v>
      </c>
      <c r="K442">
        <v>150</v>
      </c>
      <c r="L442" t="s">
        <v>496</v>
      </c>
      <c r="M442" t="s">
        <v>600</v>
      </c>
    </row>
    <row r="443" spans="1:13" s="18" customFormat="1">
      <c r="A443" s="18">
        <v>190</v>
      </c>
      <c r="B443" s="18">
        <v>4010</v>
      </c>
      <c r="C443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E443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443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443" s="18">
        <v>1</v>
      </c>
      <c r="I443" s="18">
        <f>(salidas26[[#This Row],[CANT JUEGOS ]]*salidas26[[#This Row],[PRECIO JUEGO]])</f>
        <v>160</v>
      </c>
      <c r="J443" s="18">
        <f>(salidas26[[#This Row],[CANT BARRAS]]*salidas26[[#This Row],[PRECIO BARRA]])</f>
        <v>0</v>
      </c>
      <c r="K443" s="18">
        <v>144</v>
      </c>
      <c r="L443" s="18" t="s">
        <v>496</v>
      </c>
      <c r="M443" s="18" t="s">
        <v>509</v>
      </c>
    </row>
    <row r="444" spans="1:13" s="18" customFormat="1">
      <c r="A444" s="18">
        <v>191</v>
      </c>
      <c r="B444" s="18">
        <v>1138</v>
      </c>
      <c r="C444" s="72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E444" s="72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444" s="72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444" s="18">
        <v>1</v>
      </c>
      <c r="I444" s="18">
        <f>(salidas26[[#This Row],[CANT JUEGOS ]]*salidas26[[#This Row],[PRECIO JUEGO]])</f>
        <v>280</v>
      </c>
      <c r="J444" s="18">
        <f>(salidas26[[#This Row],[CANT BARRAS]]*salidas26[[#This Row],[PRECIO BARRA]])</f>
        <v>0</v>
      </c>
      <c r="K444" s="18">
        <v>342</v>
      </c>
      <c r="L444" s="18" t="s">
        <v>496</v>
      </c>
      <c r="M444" s="18" t="s">
        <v>509</v>
      </c>
    </row>
    <row r="445" spans="1:13">
      <c r="A445">
        <v>192</v>
      </c>
      <c r="B445">
        <v>8021</v>
      </c>
      <c r="C4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E4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45">
        <v>1</v>
      </c>
      <c r="I445">
        <f>(salidas26[[#This Row],[CANT JUEGOS ]]*salidas26[[#This Row],[PRECIO JUEGO]])</f>
        <v>60</v>
      </c>
      <c r="J445">
        <f>(salidas26[[#This Row],[CANT BARRAS]]*salidas26[[#This Row],[PRECIO BARRA]])</f>
        <v>0</v>
      </c>
      <c r="K445">
        <v>48</v>
      </c>
      <c r="L445" t="s">
        <v>594</v>
      </c>
      <c r="M445" t="s">
        <v>497</v>
      </c>
    </row>
    <row r="446" spans="1:13">
      <c r="A446">
        <v>193</v>
      </c>
      <c r="B446">
        <v>1144</v>
      </c>
      <c r="C4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 UJ6300/ 10B</v>
      </c>
      <c r="E4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4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446">
        <v>1</v>
      </c>
      <c r="I446">
        <f>(salidas26[[#This Row],[CANT JUEGOS ]]*salidas26[[#This Row],[PRECIO JUEGO]])</f>
        <v>400</v>
      </c>
      <c r="J446">
        <f>(salidas26[[#This Row],[CANT BARRAS]]*salidas26[[#This Row],[PRECIO BARRA]])</f>
        <v>0</v>
      </c>
      <c r="K446">
        <v>320</v>
      </c>
      <c r="L446" t="s">
        <v>594</v>
      </c>
      <c r="M446" t="s">
        <v>497</v>
      </c>
    </row>
    <row r="447" spans="1:13">
      <c r="A447">
        <v>194</v>
      </c>
      <c r="B447">
        <v>7000</v>
      </c>
      <c r="C4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E4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47">
        <v>1</v>
      </c>
      <c r="I447">
        <f>(salidas26[[#This Row],[CANT JUEGOS ]]*salidas26[[#This Row],[PRECIO JUEGO]])</f>
        <v>60</v>
      </c>
      <c r="J447">
        <f>(salidas26[[#This Row],[CANT BARRAS]]*salidas26[[#This Row],[PRECIO BARRA]])</f>
        <v>0</v>
      </c>
      <c r="K447">
        <v>48</v>
      </c>
      <c r="L447" t="s">
        <v>594</v>
      </c>
      <c r="M447" t="s">
        <v>497</v>
      </c>
    </row>
    <row r="448" spans="1:13">
      <c r="A448">
        <v>195</v>
      </c>
      <c r="B448">
        <v>4011</v>
      </c>
      <c r="C4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E4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4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448">
        <v>1</v>
      </c>
      <c r="H448">
        <v>1</v>
      </c>
      <c r="I448">
        <f>(salidas26[[#This Row],[CANT JUEGOS ]]*salidas26[[#This Row],[PRECIO JUEGO]])</f>
        <v>160</v>
      </c>
      <c r="J448">
        <f>(salidas26[[#This Row],[CANT BARRAS]]*salidas26[[#This Row],[PRECIO BARRA]])</f>
        <v>53.333333333333336</v>
      </c>
      <c r="K448">
        <v>200</v>
      </c>
      <c r="L448" t="s">
        <v>594</v>
      </c>
      <c r="M448" t="s">
        <v>588</v>
      </c>
    </row>
    <row r="449" spans="1:13">
      <c r="A449">
        <v>198</v>
      </c>
      <c r="B449">
        <v>8055</v>
      </c>
      <c r="C4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E4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449">
        <v>1</v>
      </c>
      <c r="I449">
        <f>(salidas26[[#This Row],[CANT JUEGOS ]]*salidas26[[#This Row],[PRECIO JUEGO]])</f>
        <v>180</v>
      </c>
      <c r="J449">
        <f>(salidas26[[#This Row],[CANT BARRAS]]*salidas26[[#This Row],[PRECIO BARRA]])</f>
        <v>0</v>
      </c>
      <c r="K449">
        <v>180</v>
      </c>
      <c r="L449" t="s">
        <v>496</v>
      </c>
      <c r="M449" t="s">
        <v>474</v>
      </c>
    </row>
    <row r="450" spans="1:13">
      <c r="A450">
        <v>199</v>
      </c>
      <c r="B450">
        <v>2042</v>
      </c>
      <c r="C4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E4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4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450">
        <v>1</v>
      </c>
      <c r="I450">
        <f>(salidas26[[#This Row],[CANT JUEGOS ]]*salidas26[[#This Row],[PRECIO JUEGO]])</f>
        <v>260</v>
      </c>
      <c r="J450">
        <f>(salidas26[[#This Row],[CANT BARRAS]]*salidas26[[#This Row],[PRECIO BARRA]])</f>
        <v>0</v>
      </c>
      <c r="K450">
        <v>250</v>
      </c>
      <c r="L450" t="s">
        <v>594</v>
      </c>
      <c r="M450" t="s">
        <v>588</v>
      </c>
    </row>
    <row r="451" spans="1:13">
      <c r="B451">
        <v>2095</v>
      </c>
      <c r="C4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E4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4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451">
        <v>1</v>
      </c>
      <c r="I451">
        <f>(salidas26[[#This Row],[CANT JUEGOS ]]*salidas26[[#This Row],[PRECIO JUEGO]])</f>
        <v>250</v>
      </c>
      <c r="J451">
        <f>(salidas26[[#This Row],[CANT BARRAS]]*salidas26[[#This Row],[PRECIO BARRA]])</f>
        <v>0</v>
      </c>
      <c r="M451" t="s">
        <v>504</v>
      </c>
    </row>
    <row r="452" spans="1:13">
      <c r="A452">
        <v>200</v>
      </c>
      <c r="B452">
        <v>2095</v>
      </c>
      <c r="C4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E4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4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H452">
        <v>1</v>
      </c>
      <c r="I452">
        <f>(salidas26[[#This Row],[CANT JUEGOS ]]*salidas26[[#This Row],[PRECIO JUEGO]])</f>
        <v>0</v>
      </c>
      <c r="J452">
        <f>(salidas26[[#This Row],[CANT BARRAS]]*salidas26[[#This Row],[PRECIO BARRA]])</f>
        <v>125</v>
      </c>
      <c r="M452" t="s">
        <v>601</v>
      </c>
    </row>
    <row r="453" spans="1:13">
      <c r="A453">
        <v>201</v>
      </c>
      <c r="B453">
        <v>7000</v>
      </c>
      <c r="C4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E4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53">
        <v>1</v>
      </c>
      <c r="H453">
        <v>1</v>
      </c>
      <c r="I453">
        <f>(salidas26[[#This Row],[CANT JUEGOS ]]*salidas26[[#This Row],[PRECIO JUEGO]])</f>
        <v>60</v>
      </c>
      <c r="J453">
        <f>(salidas26[[#This Row],[CANT BARRAS]]*salidas26[[#This Row],[PRECIO BARRA]])</f>
        <v>30</v>
      </c>
      <c r="K453">
        <v>90</v>
      </c>
      <c r="L453" t="s">
        <v>465</v>
      </c>
      <c r="M453" t="s">
        <v>625</v>
      </c>
    </row>
    <row r="454" spans="1:13">
      <c r="A454">
        <v>202</v>
      </c>
      <c r="B454">
        <v>8021</v>
      </c>
      <c r="C4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E4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54">
        <v>1</v>
      </c>
      <c r="I454">
        <f>(salidas26[[#This Row],[CANT JUEGOS ]]*salidas26[[#This Row],[PRECIO JUEGO]])</f>
        <v>60</v>
      </c>
      <c r="J454">
        <f>(salidas26[[#This Row],[CANT BARRAS]]*salidas26[[#This Row],[PRECIO BARRA]])</f>
        <v>0</v>
      </c>
      <c r="K454">
        <v>50</v>
      </c>
      <c r="L454" t="s">
        <v>465</v>
      </c>
      <c r="M454" t="s">
        <v>625</v>
      </c>
    </row>
    <row r="455" spans="1:13">
      <c r="A455">
        <v>204</v>
      </c>
      <c r="B455">
        <v>1003</v>
      </c>
      <c r="C4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E4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455">
        <v>1</v>
      </c>
      <c r="I455">
        <f>(salidas26[[#This Row],[CANT JUEGOS ]]*salidas26[[#This Row],[PRECIO JUEGO]])</f>
        <v>80</v>
      </c>
      <c r="J455">
        <f>(salidas26[[#This Row],[CANT BARRAS]]*salidas26[[#This Row],[PRECIO BARRA]])</f>
        <v>0</v>
      </c>
      <c r="K455">
        <v>90</v>
      </c>
      <c r="L455" t="s">
        <v>465</v>
      </c>
      <c r="M455" t="s">
        <v>523</v>
      </c>
    </row>
    <row r="456" spans="1:13">
      <c r="A456">
        <v>205</v>
      </c>
      <c r="B456">
        <v>8033</v>
      </c>
      <c r="C4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56">
        <v>1</v>
      </c>
      <c r="I456">
        <f>(salidas26[[#This Row],[CANT JUEGOS ]]*salidas26[[#This Row],[PRECIO JUEGO]])</f>
        <v>150</v>
      </c>
      <c r="J456">
        <f>(salidas26[[#This Row],[CANT BARRAS]]*salidas26[[#This Row],[PRECIO BARRA]])</f>
        <v>0</v>
      </c>
      <c r="K456">
        <v>140</v>
      </c>
      <c r="L456" t="s">
        <v>465</v>
      </c>
      <c r="M456" t="s">
        <v>523</v>
      </c>
    </row>
    <row r="457" spans="1:13">
      <c r="A457">
        <v>206</v>
      </c>
      <c r="B457">
        <v>1033</v>
      </c>
      <c r="C4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4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457">
        <v>1</v>
      </c>
      <c r="I457">
        <f>(salidas26[[#This Row],[CANT JUEGOS ]]*salidas26[[#This Row],[PRECIO JUEGO]])</f>
        <v>180</v>
      </c>
      <c r="J457">
        <f>(salidas26[[#This Row],[CANT BARRAS]]*salidas26[[#This Row],[PRECIO BARRA]])</f>
        <v>0</v>
      </c>
      <c r="K457">
        <v>200</v>
      </c>
      <c r="L457" t="s">
        <v>465</v>
      </c>
      <c r="M457" t="s">
        <v>468</v>
      </c>
    </row>
    <row r="458" spans="1:13">
      <c r="A458">
        <v>207</v>
      </c>
      <c r="B458">
        <v>3033</v>
      </c>
      <c r="C4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55B8000 14B/2B DE 8L Y 12B DE 7L</v>
      </c>
      <c r="E4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4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22.857142857142858</v>
      </c>
      <c r="G458">
        <v>2</v>
      </c>
      <c r="I458">
        <f>(salidas26[[#This Row],[CANT JUEGOS ]]*salidas26[[#This Row],[PRECIO JUEGO]])</f>
        <v>640</v>
      </c>
      <c r="J458">
        <f>(salidas26[[#This Row],[CANT BARRAS]]*salidas26[[#This Row],[PRECIO BARRA]])</f>
        <v>0</v>
      </c>
      <c r="K458">
        <v>512</v>
      </c>
      <c r="L458" t="s">
        <v>465</v>
      </c>
      <c r="M458" t="s">
        <v>497</v>
      </c>
    </row>
    <row r="459" spans="1:13">
      <c r="A459">
        <v>208</v>
      </c>
      <c r="B459">
        <v>8073</v>
      </c>
      <c r="C4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DISMAC 4B/9L TV-6747SF50SFW 50 (PREMIER)</v>
      </c>
      <c r="E4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4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459">
        <v>1</v>
      </c>
      <c r="I459">
        <f>(salidas26[[#This Row],[CANT JUEGOS ]]*salidas26[[#This Row],[PRECIO JUEGO]])</f>
        <v>220</v>
      </c>
      <c r="J459">
        <f>(salidas26[[#This Row],[CANT BARRAS]]*salidas26[[#This Row],[PRECIO BARRA]])</f>
        <v>0</v>
      </c>
      <c r="K459">
        <v>220</v>
      </c>
      <c r="L459" t="s">
        <v>496</v>
      </c>
      <c r="M459" t="s">
        <v>469</v>
      </c>
    </row>
    <row r="460" spans="1:13">
      <c r="A460">
        <v>209</v>
      </c>
      <c r="B460">
        <v>6010</v>
      </c>
      <c r="C4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48 HISENSE /1B</v>
      </c>
      <c r="E4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180</v>
      </c>
      <c r="G460">
        <v>1</v>
      </c>
      <c r="I460">
        <f>(salidas26[[#This Row],[CANT JUEGOS ]]*salidas26[[#This Row],[PRECIO JUEGO]])</f>
        <v>180</v>
      </c>
      <c r="J460">
        <f>(salidas26[[#This Row],[CANT BARRAS]]*salidas26[[#This Row],[PRECIO BARRA]])</f>
        <v>0</v>
      </c>
      <c r="K460">
        <v>180</v>
      </c>
      <c r="L460" t="s">
        <v>496</v>
      </c>
      <c r="M460" t="s">
        <v>626</v>
      </c>
    </row>
    <row r="461" spans="1:13">
      <c r="A461">
        <v>210</v>
      </c>
      <c r="B461">
        <v>8124</v>
      </c>
      <c r="C4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E4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4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461">
        <v>66</v>
      </c>
      <c r="I461">
        <f>(salidas26[[#This Row],[CANT JUEGOS ]]*salidas26[[#This Row],[PRECIO JUEGO]])</f>
        <v>0</v>
      </c>
      <c r="J461">
        <f>(salidas26[[#This Row],[CANT BARRAS]]*salidas26[[#This Row],[PRECIO BARRA]])</f>
        <v>231</v>
      </c>
      <c r="K461">
        <v>220</v>
      </c>
      <c r="L461" t="s">
        <v>465</v>
      </c>
      <c r="M461" t="s">
        <v>627</v>
      </c>
    </row>
    <row r="462" spans="1:13">
      <c r="A462">
        <v>211</v>
      </c>
      <c r="B462">
        <v>1015</v>
      </c>
      <c r="C4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E4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462">
        <v>1</v>
      </c>
      <c r="H462">
        <v>2</v>
      </c>
      <c r="I462">
        <f>(salidas26[[#This Row],[CANT JUEGOS ]]*salidas26[[#This Row],[PRECIO JUEGO]])</f>
        <v>80</v>
      </c>
      <c r="J462">
        <f>(salidas26[[#This Row],[CANT BARRAS]]*salidas26[[#This Row],[PRECIO BARRA]])</f>
        <v>53.333333333333336</v>
      </c>
      <c r="K462">
        <v>60</v>
      </c>
      <c r="L462" t="s">
        <v>465</v>
      </c>
      <c r="M462" t="s">
        <v>481</v>
      </c>
    </row>
    <row r="463" spans="1:13">
      <c r="A463">
        <v>212</v>
      </c>
      <c r="B463">
        <v>8033</v>
      </c>
      <c r="C4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63">
        <v>1</v>
      </c>
      <c r="I463">
        <f>(salidas26[[#This Row],[CANT JUEGOS ]]*salidas26[[#This Row],[PRECIO JUEGO]])</f>
        <v>150</v>
      </c>
      <c r="J463">
        <f>(salidas26[[#This Row],[CANT BARRAS]]*salidas26[[#This Row],[PRECIO BARRA]])</f>
        <v>0</v>
      </c>
      <c r="K463">
        <v>140</v>
      </c>
      <c r="L463" t="s">
        <v>465</v>
      </c>
      <c r="M463" t="s">
        <v>466</v>
      </c>
    </row>
    <row r="464" spans="1:13">
      <c r="A464">
        <v>213</v>
      </c>
      <c r="B464">
        <v>3012</v>
      </c>
      <c r="C4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48M600 10B/6-7LEDS Y 4 -8LEDS/3V </v>
      </c>
      <c r="E4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4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464">
        <v>1</v>
      </c>
      <c r="I464">
        <f>(salidas26[[#This Row],[CANT JUEGOS ]]*salidas26[[#This Row],[PRECIO JUEGO]])</f>
        <v>260</v>
      </c>
      <c r="J464">
        <f>(salidas26[[#This Row],[CANT BARRAS]]*salidas26[[#This Row],[PRECIO BARRA]])</f>
        <v>0</v>
      </c>
      <c r="K464">
        <v>240</v>
      </c>
      <c r="L464" t="s">
        <v>465</v>
      </c>
      <c r="M464" t="s">
        <v>628</v>
      </c>
    </row>
    <row r="465" spans="1:13">
      <c r="A465">
        <v>214</v>
      </c>
      <c r="B465">
        <v>8055</v>
      </c>
      <c r="C4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E4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465">
        <v>1</v>
      </c>
      <c r="I465">
        <f>(salidas26[[#This Row],[CANT JUEGOS ]]*salidas26[[#This Row],[PRECIO JUEGO]])</f>
        <v>180</v>
      </c>
      <c r="J465">
        <f>(salidas26[[#This Row],[CANT BARRAS]]*salidas26[[#This Row],[PRECIO BARRA]])</f>
        <v>0</v>
      </c>
      <c r="K465">
        <v>190</v>
      </c>
      <c r="L465" t="s">
        <v>465</v>
      </c>
      <c r="M465" t="s">
        <v>629</v>
      </c>
    </row>
    <row r="466" spans="1:13">
      <c r="A466">
        <v>215</v>
      </c>
      <c r="B466">
        <v>2012</v>
      </c>
      <c r="C4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E4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4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466">
        <v>1</v>
      </c>
      <c r="I466">
        <f>(salidas26[[#This Row],[CANT JUEGOS ]]*salidas26[[#This Row],[PRECIO JUEGO]])</f>
        <v>160</v>
      </c>
      <c r="J466">
        <f>(salidas26[[#This Row],[CANT BARRAS]]*salidas26[[#This Row],[PRECIO BARRA]])</f>
        <v>0</v>
      </c>
      <c r="K466">
        <v>150</v>
      </c>
      <c r="L466" t="s">
        <v>465</v>
      </c>
      <c r="M466" t="s">
        <v>474</v>
      </c>
    </row>
    <row r="467" spans="1:13">
      <c r="A467">
        <v>216</v>
      </c>
      <c r="B467">
        <v>8030</v>
      </c>
      <c r="C4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TCL 10L/6V/2B DIF 180º</v>
      </c>
      <c r="E4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67">
        <v>1</v>
      </c>
      <c r="I467">
        <f>(salidas26[[#This Row],[CANT JUEGOS ]]*salidas26[[#This Row],[PRECIO JUEGO]])</f>
        <v>150</v>
      </c>
      <c r="J467">
        <f>(salidas26[[#This Row],[CANT BARRAS]]*salidas26[[#This Row],[PRECIO BARRA]])</f>
        <v>0</v>
      </c>
      <c r="K467">
        <v>140</v>
      </c>
      <c r="L467" t="s">
        <v>496</v>
      </c>
      <c r="M467" t="s">
        <v>466</v>
      </c>
    </row>
    <row r="468" spans="1:13">
      <c r="A468">
        <v>217</v>
      </c>
      <c r="B468">
        <v>8033</v>
      </c>
      <c r="C4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68">
        <v>1</v>
      </c>
      <c r="I468">
        <f>(salidas26[[#This Row],[CANT JUEGOS ]]*salidas26[[#This Row],[PRECIO JUEGO]])</f>
        <v>150</v>
      </c>
      <c r="J468">
        <f>(salidas26[[#This Row],[CANT BARRAS]]*salidas26[[#This Row],[PRECIO BARRA]])</f>
        <v>0</v>
      </c>
      <c r="K468">
        <v>140</v>
      </c>
      <c r="L468" t="s">
        <v>465</v>
      </c>
      <c r="M468" t="s">
        <v>527</v>
      </c>
    </row>
    <row r="469" spans="1:13">
      <c r="A469">
        <v>218</v>
      </c>
      <c r="B469">
        <v>1033</v>
      </c>
      <c r="C4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4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469">
        <v>1</v>
      </c>
      <c r="I469">
        <f>(salidas26[[#This Row],[CANT JUEGOS ]]*salidas26[[#This Row],[PRECIO JUEGO]])</f>
        <v>180</v>
      </c>
      <c r="J469">
        <f>(salidas26[[#This Row],[CANT BARRAS]]*salidas26[[#This Row],[PRECIO BARRA]])</f>
        <v>0</v>
      </c>
      <c r="K469">
        <v>180</v>
      </c>
      <c r="L469" t="s">
        <v>465</v>
      </c>
      <c r="M469" t="s">
        <v>542</v>
      </c>
    </row>
    <row r="470" spans="1:13">
      <c r="A470">
        <v>219</v>
      </c>
      <c r="B470">
        <v>2012</v>
      </c>
      <c r="C4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E4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4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470">
        <v>1</v>
      </c>
      <c r="I470">
        <f>(salidas26[[#This Row],[CANT JUEGOS ]]*salidas26[[#This Row],[PRECIO JUEGO]])</f>
        <v>160</v>
      </c>
      <c r="J470">
        <f>(salidas26[[#This Row],[CANT BARRAS]]*salidas26[[#This Row],[PRECIO BARRA]])</f>
        <v>0</v>
      </c>
      <c r="K470">
        <v>150</v>
      </c>
      <c r="L470" t="s">
        <v>465</v>
      </c>
      <c r="M470" t="s">
        <v>630</v>
      </c>
    </row>
    <row r="471" spans="1:13">
      <c r="A471">
        <v>220</v>
      </c>
      <c r="B471">
        <v>2099</v>
      </c>
      <c r="C4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UN65NU7100/2B</v>
      </c>
      <c r="E4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4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471">
        <v>1</v>
      </c>
      <c r="I471">
        <f>(salidas26[[#This Row],[CANT JUEGOS ]]*salidas26[[#This Row],[PRECIO JUEGO]])</f>
        <v>260</v>
      </c>
      <c r="J471">
        <f>(salidas26[[#This Row],[CANT BARRAS]]*salidas26[[#This Row],[PRECIO BARRA]])</f>
        <v>0</v>
      </c>
      <c r="K471">
        <v>250</v>
      </c>
      <c r="L471" t="s">
        <v>496</v>
      </c>
      <c r="M471" t="s">
        <v>526</v>
      </c>
    </row>
    <row r="472" spans="1:13">
      <c r="A472">
        <v>221</v>
      </c>
      <c r="B472">
        <v>2105</v>
      </c>
      <c r="C4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UN85AU8000G  4B EGDE</v>
      </c>
      <c r="E4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4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472">
        <v>1</v>
      </c>
      <c r="I472">
        <f>(salidas26[[#This Row],[CANT JUEGOS ]]*salidas26[[#This Row],[PRECIO JUEGO]])</f>
        <v>600</v>
      </c>
      <c r="J472">
        <f>(salidas26[[#This Row],[CANT BARRAS]]*salidas26[[#This Row],[PRECIO BARRA]])</f>
        <v>0</v>
      </c>
      <c r="K472">
        <v>500</v>
      </c>
      <c r="L472" t="s">
        <v>496</v>
      </c>
      <c r="M472" t="s">
        <v>631</v>
      </c>
    </row>
    <row r="473" spans="1:13">
      <c r="A473">
        <v>222</v>
      </c>
      <c r="B473">
        <v>2075</v>
      </c>
      <c r="C4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E4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4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473">
        <v>1</v>
      </c>
      <c r="I473">
        <f>(salidas26[[#This Row],[CANT JUEGOS ]]*salidas26[[#This Row],[PRECIO JUEGO]])</f>
        <v>200</v>
      </c>
      <c r="J473">
        <f>(salidas26[[#This Row],[CANT BARRAS]]*salidas26[[#This Row],[PRECIO BARRA]])</f>
        <v>0</v>
      </c>
      <c r="K473">
        <v>180</v>
      </c>
      <c r="L473" t="s">
        <v>496</v>
      </c>
      <c r="M473" t="s">
        <v>632</v>
      </c>
    </row>
    <row r="474" spans="1:13">
      <c r="A474">
        <v>224</v>
      </c>
      <c r="B474">
        <v>1036</v>
      </c>
      <c r="C4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E4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474">
        <v>1</v>
      </c>
      <c r="I474">
        <f>(salidas26[[#This Row],[CANT JUEGOS ]]*salidas26[[#This Row],[PRECIO JUEGO]])</f>
        <v>180</v>
      </c>
      <c r="J474">
        <f>(salidas26[[#This Row],[CANT BARRAS]]*salidas26[[#This Row],[PRECIO BARRA]])</f>
        <v>0</v>
      </c>
      <c r="K474">
        <v>170</v>
      </c>
      <c r="L474" t="s">
        <v>496</v>
      </c>
      <c r="M474" t="s">
        <v>633</v>
      </c>
    </row>
    <row r="475" spans="1:13">
      <c r="A475">
        <v>225</v>
      </c>
      <c r="B475">
        <v>7000</v>
      </c>
      <c r="C4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E4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75">
        <v>1</v>
      </c>
      <c r="I475">
        <f>(salidas26[[#This Row],[CANT JUEGOS ]]*salidas26[[#This Row],[PRECIO JUEGO]])</f>
        <v>60</v>
      </c>
      <c r="J475">
        <f>(salidas26[[#This Row],[CANT BARRAS]]*salidas26[[#This Row],[PRECIO BARRA]])</f>
        <v>0</v>
      </c>
      <c r="K475">
        <v>60</v>
      </c>
      <c r="L475" s="18" t="s">
        <v>496</v>
      </c>
      <c r="M475" t="s">
        <v>473</v>
      </c>
    </row>
    <row r="476" spans="1:13">
      <c r="A476">
        <v>226</v>
      </c>
      <c r="B476">
        <v>4021</v>
      </c>
      <c r="C4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E4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4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476">
        <v>2</v>
      </c>
      <c r="H476">
        <v>9</v>
      </c>
      <c r="I476">
        <f>(salidas26[[#This Row],[CANT JUEGOS ]]*salidas26[[#This Row],[PRECIO JUEGO]])</f>
        <v>400</v>
      </c>
      <c r="J476">
        <f>(salidas26[[#This Row],[CANT BARRAS]]*salidas26[[#This Row],[PRECIO BARRA]])</f>
        <v>225</v>
      </c>
      <c r="K476">
        <v>200</v>
      </c>
      <c r="L476" t="s">
        <v>496</v>
      </c>
      <c r="M476" t="s">
        <v>466</v>
      </c>
    </row>
    <row r="477" spans="1:13">
      <c r="A477">
        <v>227</v>
      </c>
      <c r="B477">
        <v>8055</v>
      </c>
      <c r="C4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E4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477">
        <v>1</v>
      </c>
      <c r="I477">
        <f>(salidas26[[#This Row],[CANT JUEGOS ]]*salidas26[[#This Row],[PRECIO JUEGO]])</f>
        <v>180</v>
      </c>
      <c r="J477">
        <f>(salidas26[[#This Row],[CANT BARRAS]]*salidas26[[#This Row],[PRECIO BARRA]])</f>
        <v>0</v>
      </c>
      <c r="K477">
        <v>160</v>
      </c>
      <c r="L477" t="s">
        <v>496</v>
      </c>
      <c r="M477" t="s">
        <v>634</v>
      </c>
    </row>
    <row r="478" spans="1:13">
      <c r="A478">
        <v>228</v>
      </c>
      <c r="B478">
        <v>8033</v>
      </c>
      <c r="C4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78">
        <v>1</v>
      </c>
      <c r="I478">
        <f>(salidas26[[#This Row],[CANT JUEGOS ]]*salidas26[[#This Row],[PRECIO JUEGO]])</f>
        <v>150</v>
      </c>
      <c r="J478">
        <f>(salidas26[[#This Row],[CANT BARRAS]]*salidas26[[#This Row],[PRECIO BARRA]])</f>
        <v>0</v>
      </c>
      <c r="K478">
        <v>135</v>
      </c>
      <c r="L478" t="s">
        <v>496</v>
      </c>
      <c r="M478" t="s">
        <v>509</v>
      </c>
    </row>
    <row r="479" spans="1:13">
      <c r="A479">
        <v>229</v>
      </c>
      <c r="B479">
        <v>6006</v>
      </c>
      <c r="C4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E4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4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479">
        <v>1</v>
      </c>
      <c r="I479">
        <f>(salidas26[[#This Row],[CANT JUEGOS ]]*salidas26[[#This Row],[PRECIO JUEGO]])</f>
        <v>140</v>
      </c>
      <c r="J479">
        <f>(salidas26[[#This Row],[CANT BARRAS]]*salidas26[[#This Row],[PRECIO BARRA]])</f>
        <v>0</v>
      </c>
      <c r="K479">
        <v>140</v>
      </c>
      <c r="L479" t="s">
        <v>465</v>
      </c>
      <c r="M479" t="s">
        <v>481</v>
      </c>
    </row>
    <row r="480" spans="1:13">
      <c r="A480">
        <v>230</v>
      </c>
      <c r="B480">
        <v>2064</v>
      </c>
      <c r="C4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E4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4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480">
        <v>1</v>
      </c>
      <c r="I480">
        <f>(salidas26[[#This Row],[CANT JUEGOS ]]*salidas26[[#This Row],[PRECIO JUEGO]])</f>
        <v>250</v>
      </c>
      <c r="J480">
        <f>(salidas26[[#This Row],[CANT BARRAS]]*salidas26[[#This Row],[PRECIO BARRA]])</f>
        <v>0</v>
      </c>
      <c r="K480">
        <v>220</v>
      </c>
      <c r="L480" t="s">
        <v>496</v>
      </c>
      <c r="M480" t="s">
        <v>635</v>
      </c>
    </row>
    <row r="481" spans="1:13">
      <c r="A481">
        <v>231</v>
      </c>
      <c r="B481">
        <v>1000</v>
      </c>
      <c r="C4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E4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481">
        <v>1</v>
      </c>
      <c r="I481">
        <f>(salidas26[[#This Row],[CANT JUEGOS ]]*salidas26[[#This Row],[PRECIO JUEGO]])</f>
        <v>80</v>
      </c>
      <c r="J481">
        <f>(salidas26[[#This Row],[CANT BARRAS]]*salidas26[[#This Row],[PRECIO BARRA]])</f>
        <v>0</v>
      </c>
      <c r="K481">
        <v>90</v>
      </c>
      <c r="L481" t="s">
        <v>496</v>
      </c>
      <c r="M481" t="s">
        <v>636</v>
      </c>
    </row>
    <row r="482" spans="1:13">
      <c r="A482">
        <v>232</v>
      </c>
      <c r="B482">
        <v>2075</v>
      </c>
      <c r="C4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E4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4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482">
        <v>1</v>
      </c>
      <c r="I482">
        <f>(salidas26[[#This Row],[CANT JUEGOS ]]*salidas26[[#This Row],[PRECIO JUEGO]])</f>
        <v>200</v>
      </c>
      <c r="J482">
        <f>(salidas26[[#This Row],[CANT BARRAS]]*salidas26[[#This Row],[PRECIO BARRA]])</f>
        <v>0</v>
      </c>
      <c r="M482" t="s">
        <v>637</v>
      </c>
    </row>
    <row r="483" spans="1:13">
      <c r="A483">
        <v>233</v>
      </c>
      <c r="B483">
        <v>8033</v>
      </c>
      <c r="C4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83">
        <v>1</v>
      </c>
      <c r="I483">
        <f>(salidas26[[#This Row],[CANT JUEGOS ]]*salidas26[[#This Row],[PRECIO JUEGO]])</f>
        <v>150</v>
      </c>
      <c r="J483">
        <f>(salidas26[[#This Row],[CANT BARRAS]]*salidas26[[#This Row],[PRECIO BARRA]])</f>
        <v>0</v>
      </c>
      <c r="K483">
        <v>140</v>
      </c>
      <c r="L483" t="s">
        <v>465</v>
      </c>
      <c r="M483" t="s">
        <v>523</v>
      </c>
    </row>
    <row r="484" spans="1:13">
      <c r="A484">
        <v>234</v>
      </c>
      <c r="B484">
        <v>6000</v>
      </c>
      <c r="C4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E4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84">
        <v>1</v>
      </c>
      <c r="I484">
        <f>(salidas26[[#This Row],[CANT JUEGOS ]]*salidas26[[#This Row],[PRECIO JUEGO]])</f>
        <v>60</v>
      </c>
      <c r="J484">
        <f>(salidas26[[#This Row],[CANT BARRAS]]*salidas26[[#This Row],[PRECIO BARRA]])</f>
        <v>0</v>
      </c>
      <c r="K484">
        <v>60</v>
      </c>
      <c r="L484" t="s">
        <v>465</v>
      </c>
      <c r="M484" t="s">
        <v>523</v>
      </c>
    </row>
    <row r="485" spans="1:13">
      <c r="A485">
        <v>235</v>
      </c>
      <c r="B485">
        <v>6009</v>
      </c>
      <c r="C4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E4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4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485">
        <v>6</v>
      </c>
      <c r="I485">
        <f>(salidas26[[#This Row],[CANT JUEGOS ]]*salidas26[[#This Row],[PRECIO JUEGO]])</f>
        <v>0</v>
      </c>
      <c r="J485">
        <f>(salidas26[[#This Row],[CANT BARRAS]]*salidas26[[#This Row],[PRECIO BARRA]])</f>
        <v>135</v>
      </c>
      <c r="K485">
        <v>180</v>
      </c>
      <c r="L485" t="s">
        <v>465</v>
      </c>
      <c r="M485" t="s">
        <v>523</v>
      </c>
    </row>
    <row r="486" spans="1:13">
      <c r="A486">
        <v>236</v>
      </c>
      <c r="B486">
        <v>8015</v>
      </c>
      <c r="C4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4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86">
        <v>1</v>
      </c>
      <c r="I486">
        <f>(salidas26[[#This Row],[CANT JUEGOS ]]*salidas26[[#This Row],[PRECIO JUEGO]])</f>
        <v>60</v>
      </c>
      <c r="J486">
        <f>(salidas26[[#This Row],[CANT BARRAS]]*salidas26[[#This Row],[PRECIO BARRA]])</f>
        <v>0</v>
      </c>
      <c r="K486">
        <v>60</v>
      </c>
      <c r="L486" t="s">
        <v>465</v>
      </c>
      <c r="M486" t="s">
        <v>527</v>
      </c>
    </row>
    <row r="487" spans="1:13">
      <c r="A487">
        <v>237</v>
      </c>
      <c r="B487">
        <v>1012</v>
      </c>
      <c r="C4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E4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4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87">
        <v>1</v>
      </c>
      <c r="I487">
        <f>(salidas26[[#This Row],[CANT JUEGOS ]]*salidas26[[#This Row],[PRECIO JUEGO]])</f>
        <v>90</v>
      </c>
      <c r="J487">
        <f>(salidas26[[#This Row],[CANT BARRAS]]*salidas26[[#This Row],[PRECIO BARRA]])</f>
        <v>0</v>
      </c>
      <c r="K487">
        <v>90</v>
      </c>
      <c r="L487" t="s">
        <v>465</v>
      </c>
      <c r="M487" t="s">
        <v>481</v>
      </c>
    </row>
    <row r="488" spans="1:13">
      <c r="A488">
        <v>238</v>
      </c>
      <c r="B488">
        <v>8068</v>
      </c>
      <c r="C4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E4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4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488">
        <v>1</v>
      </c>
      <c r="I488">
        <f>(salidas26[[#This Row],[CANT JUEGOS ]]*salidas26[[#This Row],[PRECIO JUEGO]])</f>
        <v>220</v>
      </c>
      <c r="J488">
        <f>(salidas26[[#This Row],[CANT BARRAS]]*salidas26[[#This Row],[PRECIO BARRA]])</f>
        <v>0</v>
      </c>
      <c r="K488">
        <v>176</v>
      </c>
      <c r="L488" s="18" t="s">
        <v>496</v>
      </c>
      <c r="M488" t="s">
        <v>471</v>
      </c>
    </row>
    <row r="489" spans="1:13">
      <c r="A489">
        <v>239</v>
      </c>
      <c r="B489">
        <v>1012</v>
      </c>
      <c r="C4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E4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4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89">
        <v>1</v>
      </c>
      <c r="I489">
        <f>(salidas26[[#This Row],[CANT JUEGOS ]]*salidas26[[#This Row],[PRECIO JUEGO]])</f>
        <v>90</v>
      </c>
      <c r="J489">
        <f>(salidas26[[#This Row],[CANT BARRAS]]*salidas26[[#This Row],[PRECIO BARRA]])</f>
        <v>0</v>
      </c>
      <c r="K489">
        <v>90</v>
      </c>
      <c r="L489" t="s">
        <v>465</v>
      </c>
      <c r="M489" t="s">
        <v>481</v>
      </c>
    </row>
    <row r="490" spans="1:13">
      <c r="A490">
        <v>240</v>
      </c>
      <c r="B490">
        <v>8130</v>
      </c>
      <c r="C4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E4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4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490">
        <v>8</v>
      </c>
      <c r="I490">
        <f>(salidas26[[#This Row],[CANT JUEGOS ]]*salidas26[[#This Row],[PRECIO JUEGO]])</f>
        <v>0</v>
      </c>
      <c r="J490">
        <f>(salidas26[[#This Row],[CANT BARRAS]]*salidas26[[#This Row],[PRECIO BARRA]])</f>
        <v>28</v>
      </c>
      <c r="K490">
        <v>28</v>
      </c>
      <c r="L490" t="s">
        <v>465</v>
      </c>
      <c r="M490" t="s">
        <v>481</v>
      </c>
    </row>
    <row r="491" spans="1:13">
      <c r="A491">
        <v>241</v>
      </c>
      <c r="B491">
        <v>8033</v>
      </c>
      <c r="C4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91">
        <v>1</v>
      </c>
      <c r="I491">
        <f>(salidas26[[#This Row],[CANT JUEGOS ]]*salidas26[[#This Row],[PRECIO JUEGO]])</f>
        <v>150</v>
      </c>
      <c r="J491">
        <f>(salidas26[[#This Row],[CANT BARRAS]]*salidas26[[#This Row],[PRECIO BARRA]])</f>
        <v>0</v>
      </c>
      <c r="K491">
        <v>140</v>
      </c>
      <c r="L491" t="s">
        <v>496</v>
      </c>
      <c r="M491" t="s">
        <v>466</v>
      </c>
    </row>
    <row r="492" spans="1:13">
      <c r="A492">
        <v>242</v>
      </c>
      <c r="B492">
        <v>1139</v>
      </c>
      <c r="C4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UM 8L 4B EL JUEGO</v>
      </c>
      <c r="E4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4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80</v>
      </c>
      <c r="G492">
        <v>1</v>
      </c>
      <c r="I492">
        <f>(salidas26[[#This Row],[CANT JUEGOS ]]*salidas26[[#This Row],[PRECIO JUEGO]])</f>
        <v>320</v>
      </c>
      <c r="J492">
        <f>(salidas26[[#This Row],[CANT BARRAS]]*salidas26[[#This Row],[PRECIO BARRA]])</f>
        <v>0</v>
      </c>
      <c r="K492">
        <v>300</v>
      </c>
      <c r="L492" t="s">
        <v>496</v>
      </c>
      <c r="M492" t="s">
        <v>466</v>
      </c>
    </row>
    <row r="493" spans="1:13">
      <c r="A493">
        <v>243</v>
      </c>
      <c r="B493">
        <v>8098</v>
      </c>
      <c r="C4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E4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4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493">
        <v>1</v>
      </c>
      <c r="I493">
        <f>(salidas26[[#This Row],[CANT JUEGOS ]]*salidas26[[#This Row],[PRECIO JUEGO]])</f>
        <v>420</v>
      </c>
      <c r="J493">
        <f>(salidas26[[#This Row],[CANT BARRAS]]*salidas26[[#This Row],[PRECIO BARRA]])</f>
        <v>0</v>
      </c>
      <c r="K493">
        <v>380</v>
      </c>
      <c r="L493" t="s">
        <v>465</v>
      </c>
      <c r="M493" t="s">
        <v>638</v>
      </c>
    </row>
    <row r="494" spans="1:13">
      <c r="A494">
        <v>244</v>
      </c>
      <c r="B494">
        <v>8033</v>
      </c>
      <c r="C4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4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4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494">
        <v>1</v>
      </c>
      <c r="I494">
        <f>(salidas26[[#This Row],[CANT JUEGOS ]]*salidas26[[#This Row],[PRECIO JUEGO]])</f>
        <v>150</v>
      </c>
      <c r="J494">
        <f>(salidas26[[#This Row],[CANT BARRAS]]*salidas26[[#This Row],[PRECIO BARRA]])</f>
        <v>0</v>
      </c>
      <c r="K494">
        <v>140</v>
      </c>
      <c r="L494" t="s">
        <v>465</v>
      </c>
      <c r="M494" t="s">
        <v>639</v>
      </c>
    </row>
    <row r="495" spans="1:13">
      <c r="A495">
        <v>246</v>
      </c>
      <c r="B495">
        <v>6016</v>
      </c>
      <c r="C4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E4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4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95">
        <v>1</v>
      </c>
      <c r="I495">
        <f>(salidas26[[#This Row],[CANT JUEGOS ]]*salidas26[[#This Row],[PRECIO JUEGO]])</f>
        <v>240</v>
      </c>
      <c r="J495">
        <f>(salidas26[[#This Row],[CANT BARRAS]]*salidas26[[#This Row],[PRECIO BARRA]])</f>
        <v>0</v>
      </c>
      <c r="K495">
        <v>240</v>
      </c>
      <c r="L495" t="s">
        <v>496</v>
      </c>
      <c r="M495" t="s">
        <v>649</v>
      </c>
    </row>
    <row r="496" spans="1:13">
      <c r="A496">
        <v>247</v>
      </c>
      <c r="B496">
        <v>2078</v>
      </c>
      <c r="C4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E4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4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496">
        <v>1</v>
      </c>
      <c r="I496">
        <f>(salidas26[[#This Row],[CANT JUEGOS ]]*salidas26[[#This Row],[PRECIO JUEGO]])</f>
        <v>250</v>
      </c>
      <c r="J496">
        <f>(salidas26[[#This Row],[CANT BARRAS]]*salidas26[[#This Row],[PRECIO BARRA]])</f>
        <v>0</v>
      </c>
      <c r="K496">
        <v>270</v>
      </c>
      <c r="L496" t="s">
        <v>465</v>
      </c>
      <c r="M496" t="s">
        <v>520</v>
      </c>
    </row>
    <row r="497" spans="1:13">
      <c r="A497">
        <v>248</v>
      </c>
      <c r="B497">
        <v>8015</v>
      </c>
      <c r="C4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4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4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497">
        <v>1</v>
      </c>
      <c r="I497">
        <f>(salidas26[[#This Row],[CANT JUEGOS ]]*salidas26[[#This Row],[PRECIO JUEGO]])</f>
        <v>60</v>
      </c>
      <c r="J497">
        <f>(salidas26[[#This Row],[CANT BARRAS]]*salidas26[[#This Row],[PRECIO BARRA]])</f>
        <v>0</v>
      </c>
      <c r="K497">
        <v>60</v>
      </c>
      <c r="L497" t="s">
        <v>465</v>
      </c>
      <c r="M497" t="s">
        <v>470</v>
      </c>
    </row>
    <row r="498" spans="1:13">
      <c r="A498">
        <v>249</v>
      </c>
      <c r="B498">
        <v>2000</v>
      </c>
      <c r="C4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E4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4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498">
        <v>1</v>
      </c>
      <c r="I498">
        <f>(salidas26[[#This Row],[CANT JUEGOS ]]*salidas26[[#This Row],[PRECIO JUEGO]])</f>
        <v>80</v>
      </c>
      <c r="J498">
        <f>(salidas26[[#This Row],[CANT BARRAS]]*salidas26[[#This Row],[PRECIO BARRA]])</f>
        <v>0</v>
      </c>
      <c r="K498">
        <v>80</v>
      </c>
      <c r="L498" t="s">
        <v>496</v>
      </c>
      <c r="M498" t="s">
        <v>547</v>
      </c>
    </row>
    <row r="499" spans="1:13">
      <c r="A499">
        <v>250</v>
      </c>
      <c r="B499">
        <v>6006</v>
      </c>
      <c r="C4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E4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4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499">
        <v>1</v>
      </c>
      <c r="I499">
        <f>(salidas26[[#This Row],[CANT JUEGOS ]]*salidas26[[#This Row],[PRECIO JUEGO]])</f>
        <v>140</v>
      </c>
      <c r="J499">
        <f>(salidas26[[#This Row],[CANT BARRAS]]*salidas26[[#This Row],[PRECIO BARRA]])</f>
        <v>0</v>
      </c>
      <c r="K499">
        <v>150</v>
      </c>
      <c r="L499" t="s">
        <v>496</v>
      </c>
      <c r="M499" t="s">
        <v>650</v>
      </c>
    </row>
    <row r="500" spans="1:13">
      <c r="A500">
        <v>251</v>
      </c>
      <c r="B500">
        <v>1033</v>
      </c>
      <c r="C5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5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500">
        <v>1</v>
      </c>
      <c r="I500">
        <f>(salidas26[[#This Row],[CANT JUEGOS ]]*salidas26[[#This Row],[PRECIO JUEGO]])</f>
        <v>180</v>
      </c>
      <c r="J500">
        <f>(salidas26[[#This Row],[CANT BARRAS]]*salidas26[[#This Row],[PRECIO BARRA]])</f>
        <v>0</v>
      </c>
      <c r="K500">
        <v>180</v>
      </c>
      <c r="L500" t="s">
        <v>465</v>
      </c>
      <c r="M500" t="s">
        <v>483</v>
      </c>
    </row>
    <row r="501" spans="1:13">
      <c r="A501">
        <v>252</v>
      </c>
      <c r="B501">
        <v>2078</v>
      </c>
      <c r="C5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E5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5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501">
        <v>1</v>
      </c>
      <c r="I501">
        <f>(salidas26[[#This Row],[CANT JUEGOS ]]*salidas26[[#This Row],[PRECIO JUEGO]])</f>
        <v>250</v>
      </c>
      <c r="J501">
        <f>(salidas26[[#This Row],[CANT BARRAS]]*salidas26[[#This Row],[PRECIO BARRA]])</f>
        <v>0</v>
      </c>
      <c r="K501">
        <v>250</v>
      </c>
      <c r="L501" t="s">
        <v>465</v>
      </c>
      <c r="M501" t="s">
        <v>466</v>
      </c>
    </row>
    <row r="502" spans="1:13">
      <c r="A502">
        <v>254</v>
      </c>
      <c r="B502">
        <v>5039</v>
      </c>
      <c r="C5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KDL-65W855C 8L/3V/16B</v>
      </c>
      <c r="E5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5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28.125</v>
      </c>
      <c r="G502">
        <v>1</v>
      </c>
      <c r="I502">
        <f>(salidas26[[#This Row],[CANT JUEGOS ]]*salidas26[[#This Row],[PRECIO JUEGO]])</f>
        <v>450</v>
      </c>
      <c r="J502">
        <f>(salidas26[[#This Row],[CANT BARRAS]]*salidas26[[#This Row],[PRECIO BARRA]])</f>
        <v>0</v>
      </c>
      <c r="K502">
        <v>420</v>
      </c>
      <c r="L502" t="s">
        <v>465</v>
      </c>
      <c r="M502" t="s">
        <v>481</v>
      </c>
    </row>
    <row r="503" spans="1:13">
      <c r="A503">
        <v>255</v>
      </c>
      <c r="B503">
        <v>7012</v>
      </c>
      <c r="C5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 9L/ 4B</v>
      </c>
      <c r="E5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03">
        <v>1</v>
      </c>
      <c r="I503">
        <f>(salidas26[[#This Row],[CANT JUEGOS ]]*salidas26[[#This Row],[PRECIO JUEGO]])</f>
        <v>200</v>
      </c>
      <c r="J503">
        <f>(salidas26[[#This Row],[CANT BARRAS]]*salidas26[[#This Row],[PRECIO BARRA]])</f>
        <v>0</v>
      </c>
      <c r="K503">
        <v>200</v>
      </c>
      <c r="L503" t="s">
        <v>465</v>
      </c>
      <c r="M503" t="s">
        <v>487</v>
      </c>
    </row>
    <row r="504" spans="1:13">
      <c r="A504">
        <v>256</v>
      </c>
      <c r="B504">
        <v>4020</v>
      </c>
      <c r="C5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DAEWOO L49R770BNS 6L/10B</v>
      </c>
      <c r="E5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5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504">
        <v>1</v>
      </c>
      <c r="I504">
        <f>(salidas26[[#This Row],[CANT JUEGOS ]]*salidas26[[#This Row],[PRECIO JUEGO]])</f>
        <v>250</v>
      </c>
      <c r="J504">
        <f>(salidas26[[#This Row],[CANT BARRAS]]*salidas26[[#This Row],[PRECIO BARRA]])</f>
        <v>0</v>
      </c>
      <c r="K504">
        <v>200</v>
      </c>
      <c r="L504" t="s">
        <v>465</v>
      </c>
      <c r="M504" t="s">
        <v>474</v>
      </c>
    </row>
    <row r="505" spans="1:13">
      <c r="A505">
        <v>257</v>
      </c>
      <c r="B505">
        <v>2087</v>
      </c>
      <c r="C5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E5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5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505">
        <v>1</v>
      </c>
      <c r="I505">
        <f>(salidas26[[#This Row],[CANT JUEGOS ]]*salidas26[[#This Row],[PRECIO JUEGO]])</f>
        <v>240</v>
      </c>
      <c r="J505">
        <f>(salidas26[[#This Row],[CANT BARRAS]]*salidas26[[#This Row],[PRECIO BARRA]])</f>
        <v>0</v>
      </c>
      <c r="K505">
        <v>220</v>
      </c>
      <c r="L505" t="s">
        <v>465</v>
      </c>
      <c r="M505" t="s">
        <v>474</v>
      </c>
    </row>
    <row r="506" spans="1:13">
      <c r="A506">
        <v>258</v>
      </c>
      <c r="B506">
        <v>4011</v>
      </c>
      <c r="C5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E5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506">
        <v>1</v>
      </c>
      <c r="I506">
        <f>(salidas26[[#This Row],[CANT JUEGOS ]]*salidas26[[#This Row],[PRECIO JUEGO]])</f>
        <v>160</v>
      </c>
      <c r="J506">
        <f>(salidas26[[#This Row],[CANT BARRAS]]*salidas26[[#This Row],[PRECIO BARRA]])</f>
        <v>0</v>
      </c>
      <c r="K506">
        <v>150</v>
      </c>
      <c r="L506" t="s">
        <v>465</v>
      </c>
      <c r="M506" t="s">
        <v>523</v>
      </c>
    </row>
    <row r="507" spans="1:13">
      <c r="A507">
        <v>259</v>
      </c>
      <c r="B507">
        <v>8068</v>
      </c>
      <c r="C5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E5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507">
        <v>1</v>
      </c>
      <c r="I507">
        <f>(salidas26[[#This Row],[CANT JUEGOS ]]*salidas26[[#This Row],[PRECIO JUEGO]])</f>
        <v>220</v>
      </c>
      <c r="J507">
        <f>(salidas26[[#This Row],[CANT BARRAS]]*salidas26[[#This Row],[PRECIO BARRA]])</f>
        <v>0</v>
      </c>
      <c r="K507">
        <v>200</v>
      </c>
      <c r="L507" t="s">
        <v>465</v>
      </c>
      <c r="M507" t="s">
        <v>523</v>
      </c>
    </row>
    <row r="508" spans="1:13">
      <c r="A508">
        <v>260</v>
      </c>
      <c r="B508">
        <v>5018</v>
      </c>
      <c r="C5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E5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508">
        <v>1</v>
      </c>
      <c r="I508">
        <f>(salidas26[[#This Row],[CANT JUEGOS ]]*salidas26[[#This Row],[PRECIO JUEGO]])</f>
        <v>200</v>
      </c>
      <c r="J508">
        <f>(salidas26[[#This Row],[CANT BARRAS]]*salidas26[[#This Row],[PRECIO BARRA]])</f>
        <v>0</v>
      </c>
      <c r="K508">
        <v>180</v>
      </c>
      <c r="L508" t="s">
        <v>465</v>
      </c>
      <c r="M508" t="s">
        <v>480</v>
      </c>
    </row>
    <row r="509" spans="1:13">
      <c r="A509">
        <v>261</v>
      </c>
      <c r="B509">
        <v>4010</v>
      </c>
      <c r="C5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E5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509">
        <v>1</v>
      </c>
      <c r="I509">
        <f>(salidas26[[#This Row],[CANT JUEGOS ]]*salidas26[[#This Row],[PRECIO JUEGO]])</f>
        <v>160</v>
      </c>
      <c r="J509">
        <f>(salidas26[[#This Row],[CANT BARRAS]]*salidas26[[#This Row],[PRECIO BARRA]])</f>
        <v>0</v>
      </c>
      <c r="K509">
        <v>150</v>
      </c>
      <c r="L509" t="s">
        <v>465</v>
      </c>
      <c r="M509" t="s">
        <v>480</v>
      </c>
    </row>
    <row r="510" spans="1:13">
      <c r="A510">
        <v>262</v>
      </c>
      <c r="B510">
        <v>2079</v>
      </c>
      <c r="C5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UN55MU6100- 55KU 6000 12B/ 3V</v>
      </c>
      <c r="E5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5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510">
        <v>1</v>
      </c>
      <c r="I510">
        <f>(salidas26[[#This Row],[CANT JUEGOS ]]*salidas26[[#This Row],[PRECIO JUEGO]])</f>
        <v>450</v>
      </c>
      <c r="J510">
        <f>(salidas26[[#This Row],[CANT BARRAS]]*salidas26[[#This Row],[PRECIO BARRA]])</f>
        <v>0</v>
      </c>
      <c r="K510">
        <v>360</v>
      </c>
      <c r="L510" t="s">
        <v>496</v>
      </c>
      <c r="M510" t="s">
        <v>651</v>
      </c>
    </row>
    <row r="511" spans="1:13">
      <c r="A511">
        <v>263</v>
      </c>
      <c r="B511">
        <v>5025</v>
      </c>
      <c r="C5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KDL-42EX440/2B</v>
      </c>
      <c r="E5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5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75</v>
      </c>
      <c r="G511">
        <v>1</v>
      </c>
      <c r="I511">
        <f>(salidas26[[#This Row],[CANT JUEGOS ]]*salidas26[[#This Row],[PRECIO JUEGO]])</f>
        <v>150</v>
      </c>
      <c r="J511">
        <f>(salidas26[[#This Row],[CANT BARRAS]]*salidas26[[#This Row],[PRECIO BARRA]])</f>
        <v>0</v>
      </c>
      <c r="K511">
        <v>120</v>
      </c>
      <c r="L511" t="s">
        <v>496</v>
      </c>
      <c r="M511" t="s">
        <v>497</v>
      </c>
    </row>
    <row r="512" spans="1:13">
      <c r="A512">
        <v>264</v>
      </c>
      <c r="B512">
        <v>8095</v>
      </c>
      <c r="C5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E5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5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12">
        <v>1</v>
      </c>
      <c r="I512">
        <f>(salidas26[[#This Row],[CANT JUEGOS ]]*salidas26[[#This Row],[PRECIO JUEGO]])</f>
        <v>300</v>
      </c>
      <c r="J512">
        <f>(salidas26[[#This Row],[CANT BARRAS]]*salidas26[[#This Row],[PRECIO BARRA]])</f>
        <v>0</v>
      </c>
      <c r="K512">
        <v>300</v>
      </c>
      <c r="L512" t="s">
        <v>465</v>
      </c>
      <c r="M512" t="s">
        <v>468</v>
      </c>
    </row>
    <row r="513" spans="1:13">
      <c r="A513">
        <v>265</v>
      </c>
      <c r="B513">
        <v>8068</v>
      </c>
      <c r="C5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E5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513">
        <v>1</v>
      </c>
      <c r="I513">
        <f>(salidas26[[#This Row],[CANT JUEGOS ]]*salidas26[[#This Row],[PRECIO JUEGO]])</f>
        <v>220</v>
      </c>
      <c r="J513">
        <f>(salidas26[[#This Row],[CANT BARRAS]]*salidas26[[#This Row],[PRECIO BARRA]])</f>
        <v>0</v>
      </c>
      <c r="K513">
        <v>160</v>
      </c>
      <c r="L513" t="s">
        <v>496</v>
      </c>
      <c r="M513" t="s">
        <v>566</v>
      </c>
    </row>
    <row r="514" spans="1:13">
      <c r="A514">
        <v>267</v>
      </c>
      <c r="B514">
        <v>8057</v>
      </c>
      <c r="C5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E5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14">
        <v>1</v>
      </c>
      <c r="I514">
        <f>(salidas26[[#This Row],[CANT JUEGOS ]]*salidas26[[#This Row],[PRECIO JUEGO]])</f>
        <v>200</v>
      </c>
      <c r="J514">
        <f>(salidas26[[#This Row],[CANT BARRAS]]*salidas26[[#This Row],[PRECIO BARRA]])</f>
        <v>0</v>
      </c>
      <c r="K514">
        <v>200</v>
      </c>
      <c r="L514" t="s">
        <v>465</v>
      </c>
      <c r="M514" t="s">
        <v>474</v>
      </c>
    </row>
    <row r="515" spans="1:13">
      <c r="A515">
        <v>268</v>
      </c>
      <c r="B515">
        <v>8057</v>
      </c>
      <c r="C5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E5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H515">
        <v>1</v>
      </c>
      <c r="I515">
        <f>(salidas26[[#This Row],[CANT JUEGOS ]]*salidas26[[#This Row],[PRECIO JUEGO]])</f>
        <v>0</v>
      </c>
      <c r="J515">
        <f>(salidas26[[#This Row],[CANT BARRAS]]*salidas26[[#This Row],[PRECIO BARRA]])</f>
        <v>50</v>
      </c>
      <c r="L515" t="s">
        <v>562</v>
      </c>
      <c r="M515" t="s">
        <v>652</v>
      </c>
    </row>
    <row r="516" spans="1:13">
      <c r="A516">
        <v>269</v>
      </c>
      <c r="B516">
        <v>8015</v>
      </c>
      <c r="C5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E5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16">
        <v>1</v>
      </c>
      <c r="I516">
        <f>(salidas26[[#This Row],[CANT JUEGOS ]]*salidas26[[#This Row],[PRECIO JUEGO]])</f>
        <v>60</v>
      </c>
      <c r="J516">
        <f>(salidas26[[#This Row],[CANT BARRAS]]*salidas26[[#This Row],[PRECIO BARRA]])</f>
        <v>0</v>
      </c>
      <c r="K516">
        <v>50</v>
      </c>
      <c r="L516" s="18" t="s">
        <v>496</v>
      </c>
      <c r="M516" t="s">
        <v>474</v>
      </c>
    </row>
    <row r="517" spans="1:13">
      <c r="A517">
        <v>270</v>
      </c>
      <c r="B517">
        <v>8104</v>
      </c>
      <c r="C5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LT65KB527 10 B</v>
      </c>
      <c r="E5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5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17">
        <v>1</v>
      </c>
      <c r="I517">
        <f>(salidas26[[#This Row],[CANT JUEGOS ]]*salidas26[[#This Row],[PRECIO JUEGO]])</f>
        <v>400</v>
      </c>
      <c r="J517">
        <f>(salidas26[[#This Row],[CANT BARRAS]]*salidas26[[#This Row],[PRECIO BARRA]])</f>
        <v>0</v>
      </c>
      <c r="K517">
        <v>380</v>
      </c>
      <c r="L517" t="s">
        <v>465</v>
      </c>
      <c r="M517" t="s">
        <v>653</v>
      </c>
    </row>
    <row r="518" spans="1:13">
      <c r="A518">
        <v>271</v>
      </c>
      <c r="B518">
        <v>1012</v>
      </c>
      <c r="C5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E5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5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18">
        <v>1</v>
      </c>
      <c r="I518">
        <f>(salidas26[[#This Row],[CANT JUEGOS ]]*salidas26[[#This Row],[PRECIO JUEGO]])</f>
        <v>90</v>
      </c>
      <c r="J518">
        <f>(salidas26[[#This Row],[CANT BARRAS]]*salidas26[[#This Row],[PRECIO BARRA]])</f>
        <v>0</v>
      </c>
      <c r="K518">
        <v>90</v>
      </c>
      <c r="L518" t="s">
        <v>465</v>
      </c>
      <c r="M518" t="s">
        <v>481</v>
      </c>
    </row>
    <row r="519" spans="1:13">
      <c r="A519">
        <v>272</v>
      </c>
      <c r="B519">
        <v>5012</v>
      </c>
      <c r="C5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KDL-40R455 SONY/10B</v>
      </c>
      <c r="E5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519">
        <v>1</v>
      </c>
      <c r="I519">
        <f>(salidas26[[#This Row],[CANT JUEGOS ]]*salidas26[[#This Row],[PRECIO JUEGO]])</f>
        <v>200</v>
      </c>
      <c r="J519">
        <f>(salidas26[[#This Row],[CANT BARRAS]]*salidas26[[#This Row],[PRECIO BARRA]])</f>
        <v>0</v>
      </c>
      <c r="K519">
        <v>200</v>
      </c>
      <c r="L519" t="s">
        <v>465</v>
      </c>
      <c r="M519" t="s">
        <v>654</v>
      </c>
    </row>
    <row r="520" spans="1:13">
      <c r="A520">
        <v>273</v>
      </c>
      <c r="B520">
        <v>2063</v>
      </c>
      <c r="C5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E5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520">
        <v>1</v>
      </c>
      <c r="I520">
        <f>(salidas26[[#This Row],[CANT JUEGOS ]]*salidas26[[#This Row],[PRECIO JUEGO]])</f>
        <v>180</v>
      </c>
      <c r="J520">
        <f>(salidas26[[#This Row],[CANT BARRAS]]*salidas26[[#This Row],[PRECIO BARRA]])</f>
        <v>0</v>
      </c>
      <c r="K520">
        <v>180</v>
      </c>
      <c r="L520" t="s">
        <v>465</v>
      </c>
      <c r="M520" t="s">
        <v>481</v>
      </c>
    </row>
    <row r="521" spans="1:13">
      <c r="A521">
        <v>274</v>
      </c>
      <c r="B521">
        <v>8033</v>
      </c>
      <c r="C5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E5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5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21">
        <v>1</v>
      </c>
      <c r="I521">
        <f>(salidas26[[#This Row],[CANT JUEGOS ]]*salidas26[[#This Row],[PRECIO JUEGO]])</f>
        <v>150</v>
      </c>
      <c r="J521">
        <f>(salidas26[[#This Row],[CANT BARRAS]]*salidas26[[#This Row],[PRECIO BARRA]])</f>
        <v>0</v>
      </c>
      <c r="K521">
        <v>140</v>
      </c>
      <c r="L521" t="s">
        <v>465</v>
      </c>
      <c r="M521" t="s">
        <v>481</v>
      </c>
    </row>
    <row r="522" spans="1:13">
      <c r="A522">
        <v>275</v>
      </c>
      <c r="B522">
        <v>1033</v>
      </c>
      <c r="C5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5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522">
        <v>1</v>
      </c>
      <c r="I522">
        <f>(salidas26[[#This Row],[CANT JUEGOS ]]*salidas26[[#This Row],[PRECIO JUEGO]])</f>
        <v>180</v>
      </c>
      <c r="J522">
        <f>(salidas26[[#This Row],[CANT BARRAS]]*salidas26[[#This Row],[PRECIO BARRA]])</f>
        <v>0</v>
      </c>
      <c r="K522">
        <v>180</v>
      </c>
      <c r="L522" t="s">
        <v>465</v>
      </c>
      <c r="M522" t="s">
        <v>481</v>
      </c>
    </row>
    <row r="523" spans="1:13">
      <c r="A523" s="161">
        <v>277</v>
      </c>
      <c r="B523">
        <v>1033</v>
      </c>
      <c r="C5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E5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523">
        <v>1</v>
      </c>
      <c r="I523">
        <f>(salidas26[[#This Row],[CANT JUEGOS ]]*salidas26[[#This Row],[PRECIO JUEGO]])</f>
        <v>180</v>
      </c>
      <c r="J523">
        <f>(salidas26[[#This Row],[CANT BARRAS]]*salidas26[[#This Row],[PRECIO BARRA]])</f>
        <v>0</v>
      </c>
      <c r="K523">
        <v>180</v>
      </c>
      <c r="L523" t="s">
        <v>465</v>
      </c>
      <c r="M523" t="s">
        <v>481</v>
      </c>
    </row>
    <row r="524" spans="1:13">
      <c r="A524">
        <v>277</v>
      </c>
      <c r="B524">
        <v>1033</v>
      </c>
      <c r="C5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524" s="32">
        <v>46066</v>
      </c>
      <c r="E5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524">
        <v>1</v>
      </c>
      <c r="I524">
        <f>(salidas26[[#This Row],[CANT JUEGOS ]]*salidas26[[#This Row],[PRECIO JUEGO]])</f>
        <v>180</v>
      </c>
      <c r="J524">
        <f>(salidas26[[#This Row],[CANT BARRAS]]*salidas26[[#This Row],[PRECIO BARRA]])</f>
        <v>0</v>
      </c>
      <c r="K524">
        <v>198</v>
      </c>
      <c r="L524" s="18" t="s">
        <v>496</v>
      </c>
      <c r="M524" t="s">
        <v>509</v>
      </c>
    </row>
    <row r="525" spans="1:13">
      <c r="A525">
        <v>278</v>
      </c>
      <c r="B525">
        <v>2063</v>
      </c>
      <c r="C5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525" s="32">
        <v>46066</v>
      </c>
      <c r="E5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525">
        <v>1</v>
      </c>
      <c r="I525">
        <f>(salidas26[[#This Row],[CANT JUEGOS ]]*salidas26[[#This Row],[PRECIO JUEGO]])</f>
        <v>180</v>
      </c>
      <c r="J525">
        <f>(salidas26[[#This Row],[CANT BARRAS]]*salidas26[[#This Row],[PRECIO BARRA]])</f>
        <v>0</v>
      </c>
      <c r="K525">
        <v>180</v>
      </c>
      <c r="L525" t="s">
        <v>496</v>
      </c>
      <c r="M525" t="s">
        <v>466</v>
      </c>
    </row>
    <row r="526" spans="1:13">
      <c r="A526">
        <v>279</v>
      </c>
      <c r="B526">
        <v>2089</v>
      </c>
      <c r="C5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UN58TU7100 8B/6L 3V-58TU7000</v>
      </c>
      <c r="D526" s="32">
        <v>46066</v>
      </c>
      <c r="E5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5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26">
        <v>1</v>
      </c>
      <c r="I526">
        <f>(salidas26[[#This Row],[CANT JUEGOS ]]*salidas26[[#This Row],[PRECIO JUEGO]])</f>
        <v>320</v>
      </c>
      <c r="J526">
        <f>(salidas26[[#This Row],[CANT BARRAS]]*salidas26[[#This Row],[PRECIO BARRA]])</f>
        <v>0</v>
      </c>
      <c r="K526">
        <v>340</v>
      </c>
      <c r="L526" t="s">
        <v>496</v>
      </c>
      <c r="M526" t="s">
        <v>655</v>
      </c>
    </row>
    <row r="527" spans="1:13">
      <c r="A527">
        <v>280</v>
      </c>
      <c r="B527">
        <v>4009</v>
      </c>
      <c r="C5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527" s="32">
        <v>46067</v>
      </c>
      <c r="E5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527">
        <v>1</v>
      </c>
      <c r="I527">
        <f>(salidas26[[#This Row],[CANT JUEGOS ]]*salidas26[[#This Row],[PRECIO JUEGO]])</f>
        <v>160</v>
      </c>
      <c r="J527">
        <f>(salidas26[[#This Row],[CANT BARRAS]]*salidas26[[#This Row],[PRECIO BARRA]])</f>
        <v>0</v>
      </c>
      <c r="K527">
        <v>160</v>
      </c>
      <c r="L527" t="s">
        <v>496</v>
      </c>
      <c r="M527" t="s">
        <v>656</v>
      </c>
    </row>
    <row r="528" spans="1:13">
      <c r="A528">
        <v>278</v>
      </c>
      <c r="B528">
        <v>5018</v>
      </c>
      <c r="C5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528" s="32">
        <v>46067</v>
      </c>
      <c r="E5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528">
        <v>1</v>
      </c>
      <c r="H528">
        <v>8</v>
      </c>
      <c r="I528">
        <f>(salidas26[[#This Row],[CANT JUEGOS ]]*salidas26[[#This Row],[PRECIO JUEGO]])</f>
        <v>200</v>
      </c>
      <c r="J528">
        <f>(salidas26[[#This Row],[CANT BARRAS]]*salidas26[[#This Row],[PRECIO BARRA]])</f>
        <v>160</v>
      </c>
      <c r="K528">
        <v>150</v>
      </c>
      <c r="L528" t="s">
        <v>465</v>
      </c>
      <c r="M528" t="s">
        <v>610</v>
      </c>
    </row>
    <row r="529" spans="1:13">
      <c r="A529">
        <v>279</v>
      </c>
      <c r="B529">
        <v>4003</v>
      </c>
      <c r="C5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529" s="32">
        <v>46067</v>
      </c>
      <c r="E5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5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29">
        <v>1</v>
      </c>
      <c r="I529">
        <f>(salidas26[[#This Row],[CANT JUEGOS ]]*salidas26[[#This Row],[PRECIO JUEGO]])</f>
        <v>90</v>
      </c>
      <c r="J529">
        <f>(salidas26[[#This Row],[CANT BARRAS]]*salidas26[[#This Row],[PRECIO BARRA]])</f>
        <v>0</v>
      </c>
      <c r="K529">
        <v>90</v>
      </c>
      <c r="L529" t="s">
        <v>496</v>
      </c>
      <c r="M529" t="s">
        <v>466</v>
      </c>
    </row>
    <row r="530" spans="1:13">
      <c r="A530">
        <v>280</v>
      </c>
      <c r="B530">
        <v>3001</v>
      </c>
      <c r="C5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530" s="32">
        <v>46067</v>
      </c>
      <c r="E5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5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530">
        <v>1</v>
      </c>
      <c r="I530">
        <f>(salidas26[[#This Row],[CANT JUEGOS ]]*salidas26[[#This Row],[PRECIO JUEGO]])</f>
        <v>100</v>
      </c>
      <c r="J530">
        <f>(salidas26[[#This Row],[CANT BARRAS]]*salidas26[[#This Row],[PRECIO BARRA]])</f>
        <v>0</v>
      </c>
      <c r="K530">
        <v>100</v>
      </c>
      <c r="L530" t="s">
        <v>465</v>
      </c>
      <c r="M530" t="s">
        <v>474</v>
      </c>
    </row>
    <row r="531" spans="1:13">
      <c r="A531">
        <v>281</v>
      </c>
      <c r="B531">
        <v>1036</v>
      </c>
      <c r="C5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531" s="32">
        <v>46067</v>
      </c>
      <c r="E5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531">
        <v>1</v>
      </c>
      <c r="I531">
        <f>(salidas26[[#This Row],[CANT JUEGOS ]]*salidas26[[#This Row],[PRECIO JUEGO]])</f>
        <v>180</v>
      </c>
      <c r="J531">
        <f>(salidas26[[#This Row],[CANT BARRAS]]*salidas26[[#This Row],[PRECIO BARRA]])</f>
        <v>0</v>
      </c>
      <c r="K531">
        <v>180</v>
      </c>
      <c r="L531" t="s">
        <v>465</v>
      </c>
      <c r="M531" t="s">
        <v>474</v>
      </c>
    </row>
    <row r="532" spans="1:13">
      <c r="A532">
        <v>282</v>
      </c>
      <c r="B532">
        <v>2042</v>
      </c>
      <c r="C5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532" s="32">
        <v>46067</v>
      </c>
      <c r="E5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5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532">
        <v>1</v>
      </c>
      <c r="I532">
        <f>(salidas26[[#This Row],[CANT JUEGOS ]]*salidas26[[#This Row],[PRECIO JUEGO]])</f>
        <v>260</v>
      </c>
      <c r="J532">
        <f>(salidas26[[#This Row],[CANT BARRAS]]*salidas26[[#This Row],[PRECIO BARRA]])</f>
        <v>0</v>
      </c>
      <c r="K532">
        <v>250</v>
      </c>
      <c r="L532" t="s">
        <v>496</v>
      </c>
      <c r="M532" t="s">
        <v>474</v>
      </c>
    </row>
    <row r="533" spans="1:13">
      <c r="A533">
        <v>283</v>
      </c>
      <c r="B533">
        <v>4020</v>
      </c>
      <c r="C5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DAEWOO L49R770BNS 6L/10B</v>
      </c>
      <c r="D533" s="32">
        <v>46067</v>
      </c>
      <c r="E5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5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533">
        <v>1</v>
      </c>
      <c r="H533">
        <v>2</v>
      </c>
      <c r="I533">
        <f>(salidas26[[#This Row],[CANT JUEGOS ]]*salidas26[[#This Row],[PRECIO JUEGO]])</f>
        <v>250</v>
      </c>
      <c r="J533">
        <f>(salidas26[[#This Row],[CANT BARRAS]]*salidas26[[#This Row],[PRECIO BARRA]])</f>
        <v>50</v>
      </c>
      <c r="K533">
        <v>40</v>
      </c>
      <c r="L533" t="s">
        <v>496</v>
      </c>
      <c r="M533" t="s">
        <v>474</v>
      </c>
    </row>
    <row r="534" spans="1:13">
      <c r="A534">
        <v>284</v>
      </c>
      <c r="B534">
        <v>6007</v>
      </c>
      <c r="C5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TB70000 SKYWORTH 3B</v>
      </c>
      <c r="D534" s="32">
        <v>46071</v>
      </c>
      <c r="E5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534">
        <v>1</v>
      </c>
      <c r="I534">
        <f>(salidas26[[#This Row],[CANT JUEGOS ]]*salidas26[[#This Row],[PRECIO JUEGO]])</f>
        <v>180</v>
      </c>
      <c r="J534">
        <f>(salidas26[[#This Row],[CANT BARRAS]]*salidas26[[#This Row],[PRECIO BARRA]])</f>
        <v>0</v>
      </c>
      <c r="K534">
        <v>144</v>
      </c>
      <c r="L534" t="s">
        <v>496</v>
      </c>
      <c r="M534" t="s">
        <v>497</v>
      </c>
    </row>
    <row r="535" spans="1:13">
      <c r="A535">
        <v>285</v>
      </c>
      <c r="B535">
        <v>5027</v>
      </c>
      <c r="C5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KDL-47R505A/1B</v>
      </c>
      <c r="D535" s="32">
        <v>46071</v>
      </c>
      <c r="E5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5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535">
        <v>1</v>
      </c>
      <c r="I535">
        <f>(salidas26[[#This Row],[CANT JUEGOS ]]*salidas26[[#This Row],[PRECIO JUEGO]])</f>
        <v>150</v>
      </c>
      <c r="J535">
        <f>(salidas26[[#This Row],[CANT BARRAS]]*salidas26[[#This Row],[PRECIO BARRA]])</f>
        <v>0</v>
      </c>
      <c r="K535">
        <v>120</v>
      </c>
      <c r="L535" t="s">
        <v>496</v>
      </c>
      <c r="M535" t="s">
        <v>497</v>
      </c>
    </row>
    <row r="536" spans="1:13">
      <c r="A536">
        <v>286</v>
      </c>
      <c r="B536">
        <v>6022</v>
      </c>
      <c r="C5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536" s="32">
        <v>46071</v>
      </c>
      <c r="E5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5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536">
        <v>1</v>
      </c>
      <c r="I536">
        <f>(salidas26[[#This Row],[CANT JUEGOS ]]*salidas26[[#This Row],[PRECIO JUEGO]])</f>
        <v>350</v>
      </c>
      <c r="J536">
        <f>(salidas26[[#This Row],[CANT BARRAS]]*salidas26[[#This Row],[PRECIO BARRA]])</f>
        <v>0</v>
      </c>
      <c r="K536">
        <v>280</v>
      </c>
      <c r="L536" t="s">
        <v>496</v>
      </c>
      <c r="M536" t="s">
        <v>497</v>
      </c>
    </row>
    <row r="537" spans="1:13">
      <c r="A537">
        <v>287</v>
      </c>
      <c r="B537">
        <v>6027</v>
      </c>
      <c r="C5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537" s="32">
        <v>46071</v>
      </c>
      <c r="E5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5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537">
        <v>3</v>
      </c>
      <c r="I537">
        <f>(salidas26[[#This Row],[CANT JUEGOS ]]*salidas26[[#This Row],[PRECIO JUEGO]])</f>
        <v>0</v>
      </c>
      <c r="J537">
        <f>(salidas26[[#This Row],[CANT BARRAS]]*salidas26[[#This Row],[PRECIO BARRA]])</f>
        <v>84</v>
      </c>
      <c r="K537">
        <v>90</v>
      </c>
      <c r="L537" t="s">
        <v>465</v>
      </c>
      <c r="M537" t="s">
        <v>542</v>
      </c>
    </row>
    <row r="538" spans="1:13">
      <c r="A538">
        <v>292</v>
      </c>
      <c r="B538">
        <v>6006</v>
      </c>
      <c r="C5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538" s="32">
        <v>46071</v>
      </c>
      <c r="E5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5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538">
        <v>1</v>
      </c>
      <c r="I538">
        <f>(salidas26[[#This Row],[CANT JUEGOS ]]*salidas26[[#This Row],[PRECIO JUEGO]])</f>
        <v>140</v>
      </c>
      <c r="J538">
        <f>(salidas26[[#This Row],[CANT BARRAS]]*salidas26[[#This Row],[PRECIO BARRA]])</f>
        <v>0</v>
      </c>
      <c r="K538">
        <v>112</v>
      </c>
      <c r="L538" s="18" t="s">
        <v>496</v>
      </c>
      <c r="M538" t="s">
        <v>657</v>
      </c>
    </row>
    <row r="539" spans="1:13">
      <c r="A539">
        <v>289</v>
      </c>
      <c r="B539">
        <v>8123</v>
      </c>
      <c r="C5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539" s="32">
        <v>46071</v>
      </c>
      <c r="E5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5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539">
        <v>32</v>
      </c>
      <c r="I539">
        <f>(salidas26[[#This Row],[CANT JUEGOS ]]*salidas26[[#This Row],[PRECIO JUEGO]])</f>
        <v>0</v>
      </c>
      <c r="J539">
        <f>(salidas26[[#This Row],[CANT BARRAS]]*salidas26[[#This Row],[PRECIO BARRA]])</f>
        <v>112</v>
      </c>
      <c r="K539">
        <v>110</v>
      </c>
      <c r="L539" t="s">
        <v>465</v>
      </c>
      <c r="M539" t="s">
        <v>481</v>
      </c>
    </row>
    <row r="540" spans="1:13">
      <c r="A540">
        <v>290</v>
      </c>
      <c r="B540">
        <v>1012</v>
      </c>
      <c r="C5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540" s="32">
        <v>46072</v>
      </c>
      <c r="E5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5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40">
        <v>2</v>
      </c>
      <c r="I540">
        <f>(salidas26[[#This Row],[CANT JUEGOS ]]*salidas26[[#This Row],[PRECIO JUEGO]])</f>
        <v>180</v>
      </c>
      <c r="J540">
        <f>(salidas26[[#This Row],[CANT BARRAS]]*salidas26[[#This Row],[PRECIO BARRA]])</f>
        <v>0</v>
      </c>
      <c r="K540">
        <v>144</v>
      </c>
      <c r="L540" t="s">
        <v>496</v>
      </c>
      <c r="M540" t="s">
        <v>651</v>
      </c>
    </row>
    <row r="541" spans="1:13">
      <c r="A541">
        <v>291</v>
      </c>
      <c r="B541">
        <v>7015</v>
      </c>
      <c r="C5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541" s="32">
        <v>46072</v>
      </c>
      <c r="E5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41">
        <v>1</v>
      </c>
      <c r="I541">
        <f>(salidas26[[#This Row],[CANT JUEGOS ]]*salidas26[[#This Row],[PRECIO JUEGO]])</f>
        <v>200</v>
      </c>
      <c r="J541">
        <f>(salidas26[[#This Row],[CANT BARRAS]]*salidas26[[#This Row],[PRECIO BARRA]])</f>
        <v>0</v>
      </c>
      <c r="K541">
        <v>160</v>
      </c>
      <c r="L541" t="s">
        <v>496</v>
      </c>
      <c r="M541" t="s">
        <v>651</v>
      </c>
    </row>
    <row r="542" spans="1:13">
      <c r="A542">
        <v>292</v>
      </c>
      <c r="B542">
        <v>2000</v>
      </c>
      <c r="C5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542" s="32">
        <v>46072</v>
      </c>
      <c r="E5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42">
        <v>1</v>
      </c>
      <c r="I542">
        <f>(salidas26[[#This Row],[CANT JUEGOS ]]*salidas26[[#This Row],[PRECIO JUEGO]])</f>
        <v>80</v>
      </c>
      <c r="J542">
        <f>(salidas26[[#This Row],[CANT BARRAS]]*salidas26[[#This Row],[PRECIO BARRA]])</f>
        <v>0</v>
      </c>
      <c r="K542">
        <v>70</v>
      </c>
      <c r="L542" t="s">
        <v>465</v>
      </c>
      <c r="M542" t="s">
        <v>480</v>
      </c>
    </row>
    <row r="543" spans="1:13">
      <c r="A543">
        <v>293</v>
      </c>
      <c r="B543">
        <v>8015</v>
      </c>
      <c r="C5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543" s="32">
        <v>46072</v>
      </c>
      <c r="E5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43">
        <v>1</v>
      </c>
      <c r="I543">
        <f>(salidas26[[#This Row],[CANT JUEGOS ]]*salidas26[[#This Row],[PRECIO JUEGO]])</f>
        <v>60</v>
      </c>
      <c r="J543">
        <f>(salidas26[[#This Row],[CANT BARRAS]]*salidas26[[#This Row],[PRECIO BARRA]])</f>
        <v>0</v>
      </c>
      <c r="K543">
        <v>60</v>
      </c>
      <c r="L543" t="s">
        <v>465</v>
      </c>
      <c r="M543" t="s">
        <v>480</v>
      </c>
    </row>
    <row r="544" spans="1:13">
      <c r="A544">
        <v>294</v>
      </c>
      <c r="B544">
        <v>6022</v>
      </c>
      <c r="C5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544" s="32">
        <v>46072</v>
      </c>
      <c r="E5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5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544">
        <v>1</v>
      </c>
      <c r="I544">
        <f>(salidas26[[#This Row],[CANT JUEGOS ]]*salidas26[[#This Row],[PRECIO JUEGO]])</f>
        <v>350</v>
      </c>
      <c r="J544">
        <f>(salidas26[[#This Row],[CANT BARRAS]]*salidas26[[#This Row],[PRECIO BARRA]])</f>
        <v>0</v>
      </c>
      <c r="K544">
        <v>300</v>
      </c>
      <c r="L544" s="18" t="s">
        <v>496</v>
      </c>
      <c r="M544" t="s">
        <v>635</v>
      </c>
    </row>
    <row r="545" spans="1:13">
      <c r="A545">
        <v>295</v>
      </c>
      <c r="B545">
        <v>3001</v>
      </c>
      <c r="C5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545" s="32">
        <v>46072</v>
      </c>
      <c r="E5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5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545">
        <v>1</v>
      </c>
      <c r="I545">
        <f>(salidas26[[#This Row],[CANT JUEGOS ]]*salidas26[[#This Row],[PRECIO JUEGO]])</f>
        <v>100</v>
      </c>
      <c r="J545">
        <f>(salidas26[[#This Row],[CANT BARRAS]]*salidas26[[#This Row],[PRECIO BARRA]])</f>
        <v>0</v>
      </c>
      <c r="K545">
        <v>90</v>
      </c>
      <c r="L545" t="s">
        <v>465</v>
      </c>
      <c r="M545" t="s">
        <v>482</v>
      </c>
    </row>
    <row r="546" spans="1:13">
      <c r="A546">
        <v>296</v>
      </c>
      <c r="B546">
        <v>2029</v>
      </c>
      <c r="C5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UN43AU8000-43BU8000/2B</v>
      </c>
      <c r="D546" s="32">
        <v>46072</v>
      </c>
      <c r="E5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546">
        <v>1</v>
      </c>
      <c r="I546">
        <f>(salidas26[[#This Row],[CANT JUEGOS ]]*salidas26[[#This Row],[PRECIO JUEGO]])</f>
        <v>220</v>
      </c>
      <c r="J546">
        <f>(salidas26[[#This Row],[CANT BARRAS]]*salidas26[[#This Row],[PRECIO BARRA]])</f>
        <v>0</v>
      </c>
      <c r="K546">
        <v>200</v>
      </c>
      <c r="L546" t="s">
        <v>496</v>
      </c>
      <c r="M546" t="s">
        <v>653</v>
      </c>
    </row>
    <row r="547" spans="1:13">
      <c r="A547">
        <v>297</v>
      </c>
      <c r="B547">
        <v>6009</v>
      </c>
      <c r="C5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547" s="32">
        <v>46072</v>
      </c>
      <c r="E5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547">
        <v>6</v>
      </c>
      <c r="I547">
        <f>(salidas26[[#This Row],[CANT JUEGOS ]]*salidas26[[#This Row],[PRECIO JUEGO]])</f>
        <v>0</v>
      </c>
      <c r="J547">
        <f>(salidas26[[#This Row],[CANT BARRAS]]*salidas26[[#This Row],[PRECIO BARRA]])</f>
        <v>135</v>
      </c>
      <c r="K547">
        <v>150</v>
      </c>
      <c r="L547" t="s">
        <v>465</v>
      </c>
      <c r="M547" t="s">
        <v>481</v>
      </c>
    </row>
    <row r="548" spans="1:13">
      <c r="A548">
        <v>298</v>
      </c>
      <c r="B548">
        <v>7015</v>
      </c>
      <c r="C5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548" s="32">
        <v>46072</v>
      </c>
      <c r="E5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48">
        <v>1</v>
      </c>
      <c r="I548">
        <f>(salidas26[[#This Row],[CANT JUEGOS ]]*salidas26[[#This Row],[PRECIO JUEGO]])</f>
        <v>200</v>
      </c>
      <c r="J548">
        <f>(salidas26[[#This Row],[CANT BARRAS]]*salidas26[[#This Row],[PRECIO BARRA]])</f>
        <v>0</v>
      </c>
      <c r="K548">
        <v>160</v>
      </c>
      <c r="L548" t="s">
        <v>496</v>
      </c>
      <c r="M548" t="s">
        <v>497</v>
      </c>
    </row>
    <row r="549" spans="1:13">
      <c r="A549">
        <v>299</v>
      </c>
      <c r="B549">
        <v>6018</v>
      </c>
      <c r="C5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HISENSE K321VW  6L/11B</v>
      </c>
      <c r="D549" s="32">
        <v>46072</v>
      </c>
      <c r="E5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5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25.454545454545453</v>
      </c>
      <c r="G549">
        <v>1</v>
      </c>
      <c r="I549">
        <f>(salidas26[[#This Row],[CANT JUEGOS ]]*salidas26[[#This Row],[PRECIO JUEGO]])</f>
        <v>280</v>
      </c>
      <c r="J549">
        <f>(salidas26[[#This Row],[CANT BARRAS]]*salidas26[[#This Row],[PRECIO BARRA]])</f>
        <v>0</v>
      </c>
      <c r="K549">
        <v>220</v>
      </c>
      <c r="L549" t="s">
        <v>465</v>
      </c>
      <c r="M549" t="s">
        <v>628</v>
      </c>
    </row>
    <row r="550" spans="1:13">
      <c r="A550">
        <v>300</v>
      </c>
      <c r="B550">
        <v>8033</v>
      </c>
      <c r="C5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550" s="32">
        <v>46072</v>
      </c>
      <c r="E5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5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50">
        <v>1</v>
      </c>
      <c r="I550">
        <f>(salidas26[[#This Row],[CANT JUEGOS ]]*salidas26[[#This Row],[PRECIO JUEGO]])</f>
        <v>150</v>
      </c>
      <c r="J550">
        <f>(salidas26[[#This Row],[CANT BARRAS]]*salidas26[[#This Row],[PRECIO BARRA]])</f>
        <v>0</v>
      </c>
      <c r="K550">
        <v>150</v>
      </c>
      <c r="L550" t="s">
        <v>465</v>
      </c>
      <c r="M550" t="s">
        <v>658</v>
      </c>
    </row>
    <row r="551" spans="1:13">
      <c r="A551">
        <v>301</v>
      </c>
      <c r="B551">
        <v>8098</v>
      </c>
      <c r="C5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551" s="32">
        <v>46072</v>
      </c>
      <c r="E5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5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551">
        <v>1</v>
      </c>
      <c r="I551">
        <f>(salidas26[[#This Row],[CANT JUEGOS ]]*salidas26[[#This Row],[PRECIO JUEGO]])</f>
        <v>420</v>
      </c>
      <c r="J551">
        <f>(salidas26[[#This Row],[CANT BARRAS]]*salidas26[[#This Row],[PRECIO BARRA]])</f>
        <v>0</v>
      </c>
      <c r="K551">
        <v>350</v>
      </c>
      <c r="L551" t="s">
        <v>465</v>
      </c>
      <c r="M551" t="s">
        <v>466</v>
      </c>
    </row>
    <row r="552" spans="1:13">
      <c r="A552">
        <v>307</v>
      </c>
      <c r="B552">
        <v>4000</v>
      </c>
      <c r="C5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552" s="32">
        <v>46072</v>
      </c>
      <c r="E5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52">
        <v>1</v>
      </c>
      <c r="I552">
        <f>(salidas26[[#This Row],[CANT JUEGOS ]]*salidas26[[#This Row],[PRECIO JUEGO]])</f>
        <v>60</v>
      </c>
      <c r="J552">
        <f>(salidas26[[#This Row],[CANT BARRAS]]*salidas26[[#This Row],[PRECIO BARRA]])</f>
        <v>0</v>
      </c>
      <c r="K552">
        <v>48</v>
      </c>
      <c r="L552" t="s">
        <v>496</v>
      </c>
      <c r="M552" t="s">
        <v>471</v>
      </c>
    </row>
    <row r="553" spans="1:13">
      <c r="A553">
        <v>302</v>
      </c>
      <c r="B553">
        <v>4000</v>
      </c>
      <c r="C5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553" s="32">
        <v>46072</v>
      </c>
      <c r="E5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53">
        <v>1</v>
      </c>
      <c r="I553">
        <f>(salidas26[[#This Row],[CANT JUEGOS ]]*salidas26[[#This Row],[PRECIO JUEGO]])</f>
        <v>60</v>
      </c>
      <c r="J553">
        <f>(salidas26[[#This Row],[CANT BARRAS]]*salidas26[[#This Row],[PRECIO BARRA]])</f>
        <v>0</v>
      </c>
      <c r="K553">
        <v>60</v>
      </c>
      <c r="L553" t="s">
        <v>496</v>
      </c>
      <c r="M553" t="s">
        <v>659</v>
      </c>
    </row>
    <row r="554" spans="1:13">
      <c r="A554">
        <v>303</v>
      </c>
      <c r="B554">
        <v>3006</v>
      </c>
      <c r="C5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554" s="32">
        <v>46072</v>
      </c>
      <c r="E5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554">
        <v>1</v>
      </c>
      <c r="I554">
        <f>(salidas26[[#This Row],[CANT JUEGOS ]]*salidas26[[#This Row],[PRECIO JUEGO]])</f>
        <v>180</v>
      </c>
      <c r="J554">
        <f>(salidas26[[#This Row],[CANT BARRAS]]*salidas26[[#This Row],[PRECIO BARRA]])</f>
        <v>0</v>
      </c>
      <c r="K554">
        <v>170</v>
      </c>
      <c r="L554" t="s">
        <v>465</v>
      </c>
      <c r="M554" t="s">
        <v>660</v>
      </c>
    </row>
    <row r="555" spans="1:13">
      <c r="A555">
        <v>304</v>
      </c>
      <c r="B555">
        <v>1003</v>
      </c>
      <c r="C5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555" s="32">
        <v>46072</v>
      </c>
      <c r="E5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555">
        <v>1</v>
      </c>
      <c r="I555">
        <f>(salidas26[[#This Row],[CANT JUEGOS ]]*salidas26[[#This Row],[PRECIO JUEGO]])</f>
        <v>80</v>
      </c>
      <c r="J555">
        <f>(salidas26[[#This Row],[CANT BARRAS]]*salidas26[[#This Row],[PRECIO BARRA]])</f>
        <v>0</v>
      </c>
      <c r="K555">
        <v>80</v>
      </c>
      <c r="L555" s="18" t="s">
        <v>564</v>
      </c>
      <c r="M555" t="s">
        <v>661</v>
      </c>
    </row>
    <row r="556" spans="1:13">
      <c r="A556">
        <v>305</v>
      </c>
      <c r="B556">
        <v>2015</v>
      </c>
      <c r="C5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556" s="32">
        <v>46072</v>
      </c>
      <c r="E5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556">
        <v>1</v>
      </c>
      <c r="I556">
        <f>(salidas26[[#This Row],[CANT JUEGOS ]]*salidas26[[#This Row],[PRECIO JUEGO]])</f>
        <v>160</v>
      </c>
      <c r="J556">
        <f>(salidas26[[#This Row],[CANT BARRAS]]*salidas26[[#This Row],[PRECIO BARRA]])</f>
        <v>0</v>
      </c>
      <c r="K556">
        <v>150</v>
      </c>
      <c r="L556" t="s">
        <v>465</v>
      </c>
      <c r="M556" t="s">
        <v>481</v>
      </c>
    </row>
    <row r="557" spans="1:13">
      <c r="A557">
        <v>306</v>
      </c>
      <c r="B557">
        <v>6034</v>
      </c>
      <c r="C5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HISENSE A6GSA 6B/8L/3V</v>
      </c>
      <c r="D557" s="32">
        <v>46072</v>
      </c>
      <c r="E5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5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63.333333333333336</v>
      </c>
      <c r="G557">
        <v>1</v>
      </c>
      <c r="I557">
        <f>(salidas26[[#This Row],[CANT JUEGOS ]]*salidas26[[#This Row],[PRECIO JUEGO]])</f>
        <v>380</v>
      </c>
      <c r="J557">
        <f>(salidas26[[#This Row],[CANT BARRAS]]*salidas26[[#This Row],[PRECIO BARRA]])</f>
        <v>0</v>
      </c>
      <c r="K557">
        <v>350</v>
      </c>
      <c r="L557" t="s">
        <v>496</v>
      </c>
      <c r="M557" t="s">
        <v>662</v>
      </c>
    </row>
    <row r="558" spans="1:13">
      <c r="A558">
        <v>307</v>
      </c>
      <c r="B558">
        <v>2000</v>
      </c>
      <c r="C5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558" s="32">
        <v>46072</v>
      </c>
      <c r="E5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58">
        <v>1</v>
      </c>
      <c r="I558">
        <f>(salidas26[[#This Row],[CANT JUEGOS ]]*salidas26[[#This Row],[PRECIO JUEGO]])</f>
        <v>80</v>
      </c>
      <c r="J558">
        <f>(salidas26[[#This Row],[CANT BARRAS]]*salidas26[[#This Row],[PRECIO BARRA]])</f>
        <v>0</v>
      </c>
      <c r="K558">
        <v>80</v>
      </c>
      <c r="L558" t="s">
        <v>496</v>
      </c>
      <c r="M558" t="s">
        <v>663</v>
      </c>
    </row>
    <row r="559" spans="1:13">
      <c r="A559">
        <v>308</v>
      </c>
      <c r="B559">
        <v>2063</v>
      </c>
      <c r="C5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559" s="32">
        <v>46073</v>
      </c>
      <c r="E5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559">
        <v>1</v>
      </c>
      <c r="I559">
        <f>(salidas26[[#This Row],[CANT JUEGOS ]]*salidas26[[#This Row],[PRECIO JUEGO]])</f>
        <v>180</v>
      </c>
      <c r="J559">
        <f>(salidas26[[#This Row],[CANT BARRAS]]*salidas26[[#This Row],[PRECIO BARRA]])</f>
        <v>0</v>
      </c>
      <c r="K559">
        <v>160</v>
      </c>
      <c r="L559" t="s">
        <v>465</v>
      </c>
      <c r="M559" t="s">
        <v>664</v>
      </c>
    </row>
    <row r="560" spans="1:13">
      <c r="A560">
        <v>309</v>
      </c>
      <c r="B560">
        <v>6009</v>
      </c>
      <c r="C5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560" s="32">
        <v>46072</v>
      </c>
      <c r="E5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560">
        <v>8</v>
      </c>
      <c r="I560">
        <f>(salidas26[[#This Row],[CANT JUEGOS ]]*salidas26[[#This Row],[PRECIO JUEGO]])</f>
        <v>0</v>
      </c>
      <c r="J560">
        <f>(salidas26[[#This Row],[CANT BARRAS]]*salidas26[[#This Row],[PRECIO BARRA]])</f>
        <v>180</v>
      </c>
      <c r="K560">
        <v>180</v>
      </c>
      <c r="L560" t="s">
        <v>496</v>
      </c>
      <c r="M560" t="s">
        <v>509</v>
      </c>
    </row>
    <row r="561" spans="1:13">
      <c r="A561">
        <v>310</v>
      </c>
      <c r="B561">
        <v>6009</v>
      </c>
      <c r="C5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561" s="32">
        <v>46072</v>
      </c>
      <c r="E5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561">
        <v>7</v>
      </c>
      <c r="I561">
        <f>(salidas26[[#This Row],[CANT JUEGOS ]]*salidas26[[#This Row],[PRECIO JUEGO]])</f>
        <v>0</v>
      </c>
      <c r="J561">
        <f>(salidas26[[#This Row],[CANT BARRAS]]*salidas26[[#This Row],[PRECIO BARRA]])</f>
        <v>157.5</v>
      </c>
      <c r="M561" t="s">
        <v>665</v>
      </c>
    </row>
    <row r="562" spans="1:13">
      <c r="A562">
        <v>311</v>
      </c>
      <c r="B562">
        <v>2082</v>
      </c>
      <c r="C5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QN55Q60A</v>
      </c>
      <c r="D562" s="32">
        <v>46073</v>
      </c>
      <c r="E5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5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562">
        <v>1</v>
      </c>
      <c r="I562">
        <f>(salidas26[[#This Row],[CANT JUEGOS ]]*salidas26[[#This Row],[PRECIO JUEGO]])</f>
        <v>400</v>
      </c>
      <c r="J562">
        <f>(salidas26[[#This Row],[CANT BARRAS]]*salidas26[[#This Row],[PRECIO BARRA]])</f>
        <v>0</v>
      </c>
      <c r="K562">
        <v>350</v>
      </c>
      <c r="L562" t="s">
        <v>496</v>
      </c>
      <c r="M562" t="s">
        <v>666</v>
      </c>
    </row>
    <row r="563" spans="1:13">
      <c r="A563">
        <v>312</v>
      </c>
      <c r="B563">
        <v>7012</v>
      </c>
      <c r="C5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 9L/ 4B</v>
      </c>
      <c r="D563" s="32">
        <v>46073</v>
      </c>
      <c r="E5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63">
        <v>1</v>
      </c>
      <c r="I563">
        <f>(salidas26[[#This Row],[CANT JUEGOS ]]*salidas26[[#This Row],[PRECIO JUEGO]])</f>
        <v>200</v>
      </c>
      <c r="J563">
        <f>(salidas26[[#This Row],[CANT BARRAS]]*salidas26[[#This Row],[PRECIO BARRA]])</f>
        <v>0</v>
      </c>
      <c r="K563">
        <v>200</v>
      </c>
      <c r="L563" t="s">
        <v>496</v>
      </c>
      <c r="M563" t="s">
        <v>482</v>
      </c>
    </row>
    <row r="564" spans="1:13">
      <c r="A564">
        <v>313</v>
      </c>
      <c r="B564">
        <v>2003</v>
      </c>
      <c r="C5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564" s="32">
        <v>46073</v>
      </c>
      <c r="E5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5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564">
        <v>1</v>
      </c>
      <c r="H564">
        <v>2</v>
      </c>
      <c r="I564">
        <f>(salidas26[[#This Row],[CANT JUEGOS ]]*salidas26[[#This Row],[PRECIO JUEGO]])</f>
        <v>130</v>
      </c>
      <c r="J564">
        <f>(salidas26[[#This Row],[CANT BARRAS]]*salidas26[[#This Row],[PRECIO BARRA]])</f>
        <v>52</v>
      </c>
      <c r="K564">
        <v>50</v>
      </c>
      <c r="L564" t="s">
        <v>465</v>
      </c>
      <c r="M564" t="s">
        <v>536</v>
      </c>
    </row>
    <row r="565" spans="1:13">
      <c r="A565">
        <v>314</v>
      </c>
      <c r="B565">
        <v>4000</v>
      </c>
      <c r="C5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565" s="32">
        <v>46073</v>
      </c>
      <c r="E5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65">
        <v>2</v>
      </c>
      <c r="I565">
        <f>(salidas26[[#This Row],[CANT JUEGOS ]]*salidas26[[#This Row],[PRECIO JUEGO]])</f>
        <v>120</v>
      </c>
      <c r="J565">
        <f>(salidas26[[#This Row],[CANT BARRAS]]*salidas26[[#This Row],[PRECIO BARRA]])</f>
        <v>0</v>
      </c>
      <c r="K565">
        <v>96</v>
      </c>
      <c r="L565" t="s">
        <v>496</v>
      </c>
      <c r="M565" t="s">
        <v>497</v>
      </c>
    </row>
    <row r="566" spans="1:13">
      <c r="A566">
        <v>315</v>
      </c>
      <c r="B566">
        <v>4010</v>
      </c>
      <c r="C5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566" s="32">
        <v>46073</v>
      </c>
      <c r="E5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566">
        <v>1</v>
      </c>
      <c r="I566">
        <f>(salidas26[[#This Row],[CANT JUEGOS ]]*salidas26[[#This Row],[PRECIO JUEGO]])</f>
        <v>160</v>
      </c>
      <c r="J566">
        <f>(salidas26[[#This Row],[CANT BARRAS]]*salidas26[[#This Row],[PRECIO BARRA]])</f>
        <v>0</v>
      </c>
      <c r="K566">
        <v>128</v>
      </c>
      <c r="L566" t="s">
        <v>496</v>
      </c>
      <c r="M566" t="s">
        <v>497</v>
      </c>
    </row>
    <row r="567" spans="1:13">
      <c r="A567">
        <v>316</v>
      </c>
      <c r="B567">
        <v>1123</v>
      </c>
      <c r="C5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UB8300/2B</v>
      </c>
      <c r="D567" s="32">
        <v>46073</v>
      </c>
      <c r="E5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5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567">
        <v>1</v>
      </c>
      <c r="I567">
        <f>(salidas26[[#This Row],[CANT JUEGOS ]]*salidas26[[#This Row],[PRECIO JUEGO]])</f>
        <v>320</v>
      </c>
      <c r="J567">
        <f>(salidas26[[#This Row],[CANT BARRAS]]*salidas26[[#This Row],[PRECIO BARRA]])</f>
        <v>0</v>
      </c>
      <c r="K567">
        <v>255</v>
      </c>
      <c r="L567" t="s">
        <v>496</v>
      </c>
      <c r="M567" t="s">
        <v>497</v>
      </c>
    </row>
    <row r="568" spans="1:13">
      <c r="A568">
        <v>317</v>
      </c>
      <c r="B568">
        <v>1003</v>
      </c>
      <c r="C5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568" s="32">
        <v>46073</v>
      </c>
      <c r="E5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568">
        <v>1</v>
      </c>
      <c r="I568">
        <f>(salidas26[[#This Row],[CANT JUEGOS ]]*salidas26[[#This Row],[PRECIO JUEGO]])</f>
        <v>80</v>
      </c>
      <c r="J568">
        <f>(salidas26[[#This Row],[CANT BARRAS]]*salidas26[[#This Row],[PRECIO BARRA]])</f>
        <v>0</v>
      </c>
      <c r="K568">
        <v>90</v>
      </c>
      <c r="L568" t="s">
        <v>465</v>
      </c>
      <c r="M568" t="s">
        <v>520</v>
      </c>
    </row>
    <row r="569" spans="1:13">
      <c r="A569">
        <v>318</v>
      </c>
      <c r="B569">
        <v>1003</v>
      </c>
      <c r="C5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569" s="32">
        <v>46073</v>
      </c>
      <c r="E5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569">
        <v>1</v>
      </c>
      <c r="I569">
        <f>(salidas26[[#This Row],[CANT JUEGOS ]]*salidas26[[#This Row],[PRECIO JUEGO]])</f>
        <v>80</v>
      </c>
      <c r="J569">
        <f>(salidas26[[#This Row],[CANT BARRAS]]*salidas26[[#This Row],[PRECIO BARRA]])</f>
        <v>0</v>
      </c>
      <c r="K569">
        <v>90</v>
      </c>
      <c r="L569" s="18" t="s">
        <v>496</v>
      </c>
      <c r="M569" t="s">
        <v>473</v>
      </c>
    </row>
    <row r="570" spans="1:13">
      <c r="A570">
        <v>319</v>
      </c>
      <c r="B570">
        <v>1018</v>
      </c>
      <c r="C5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LH 5100-2B/5L</v>
      </c>
      <c r="D570" s="32">
        <v>46073</v>
      </c>
      <c r="E5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70">
        <v>1</v>
      </c>
      <c r="I570">
        <f>(salidas26[[#This Row],[CANT JUEGOS ]]*salidas26[[#This Row],[PRECIO JUEGO]])</f>
        <v>80</v>
      </c>
      <c r="J570">
        <f>(salidas26[[#This Row],[CANT BARRAS]]*salidas26[[#This Row],[PRECIO BARRA]])</f>
        <v>0</v>
      </c>
      <c r="K570">
        <v>80</v>
      </c>
      <c r="L570" s="18" t="s">
        <v>496</v>
      </c>
      <c r="M570" t="s">
        <v>487</v>
      </c>
    </row>
    <row r="571" spans="1:13">
      <c r="A571">
        <v>320</v>
      </c>
      <c r="B571">
        <v>5010</v>
      </c>
      <c r="C5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571" s="32">
        <v>46073</v>
      </c>
      <c r="E5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571">
        <v>1</v>
      </c>
      <c r="I571">
        <f>(salidas26[[#This Row],[CANT JUEGOS ]]*salidas26[[#This Row],[PRECIO JUEGO]])</f>
        <v>180</v>
      </c>
      <c r="J571">
        <f>(salidas26[[#This Row],[CANT BARRAS]]*salidas26[[#This Row],[PRECIO BARRA]])</f>
        <v>0</v>
      </c>
      <c r="K571">
        <v>180</v>
      </c>
      <c r="L571" t="s">
        <v>465</v>
      </c>
      <c r="M571" t="s">
        <v>667</v>
      </c>
    </row>
    <row r="572" spans="1:13">
      <c r="A572">
        <v>321</v>
      </c>
      <c r="B572">
        <v>7002</v>
      </c>
      <c r="C5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572" s="32">
        <v>46073</v>
      </c>
      <c r="E5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5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572">
        <v>1</v>
      </c>
      <c r="I572">
        <f>(salidas26[[#This Row],[CANT JUEGOS ]]*salidas26[[#This Row],[PRECIO JUEGO]])</f>
        <v>70</v>
      </c>
      <c r="J572">
        <f>(salidas26[[#This Row],[CANT BARRAS]]*salidas26[[#This Row],[PRECIO BARRA]])</f>
        <v>0</v>
      </c>
      <c r="K572">
        <v>60</v>
      </c>
      <c r="L572" t="s">
        <v>496</v>
      </c>
      <c r="M572" t="s">
        <v>668</v>
      </c>
    </row>
    <row r="573" spans="1:13">
      <c r="A573">
        <v>322</v>
      </c>
      <c r="B573">
        <v>8126</v>
      </c>
      <c r="C5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6V/2W C/C DIF. 180º</v>
      </c>
      <c r="D573" s="32">
        <v>46074</v>
      </c>
      <c r="E5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5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573">
        <v>12</v>
      </c>
      <c r="I573">
        <f>(salidas26[[#This Row],[CANT JUEGOS ]]*salidas26[[#This Row],[PRECIO JUEGO]])</f>
        <v>0</v>
      </c>
      <c r="J573">
        <f>(salidas26[[#This Row],[CANT BARRAS]]*salidas26[[#This Row],[PRECIO BARRA]])</f>
        <v>42</v>
      </c>
      <c r="K573">
        <v>42</v>
      </c>
      <c r="L573" t="s">
        <v>465</v>
      </c>
      <c r="M573" t="s">
        <v>481</v>
      </c>
    </row>
    <row r="574" spans="1:13">
      <c r="A574">
        <v>323</v>
      </c>
      <c r="B574">
        <v>2075</v>
      </c>
      <c r="C5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574" s="32">
        <v>46074</v>
      </c>
      <c r="E5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5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574">
        <v>1</v>
      </c>
      <c r="I574">
        <f>(salidas26[[#This Row],[CANT JUEGOS ]]*salidas26[[#This Row],[PRECIO JUEGO]])</f>
        <v>200</v>
      </c>
      <c r="J574">
        <f>(salidas26[[#This Row],[CANT BARRAS]]*salidas26[[#This Row],[PRECIO BARRA]])</f>
        <v>0</v>
      </c>
      <c r="K574">
        <v>200</v>
      </c>
      <c r="L574" t="s">
        <v>465</v>
      </c>
      <c r="M574" t="s">
        <v>466</v>
      </c>
    </row>
    <row r="575" spans="1:13">
      <c r="A575">
        <v>324</v>
      </c>
      <c r="B575">
        <v>1063</v>
      </c>
      <c r="C5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D575" s="32">
        <v>46074</v>
      </c>
      <c r="E5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575">
        <v>1</v>
      </c>
      <c r="I575">
        <f>(salidas26[[#This Row],[CANT JUEGOS ]]*salidas26[[#This Row],[PRECIO JUEGO]])</f>
        <v>180</v>
      </c>
      <c r="J575">
        <f>(salidas26[[#This Row],[CANT BARRAS]]*salidas26[[#This Row],[PRECIO BARRA]])</f>
        <v>0</v>
      </c>
      <c r="K575">
        <v>180</v>
      </c>
      <c r="L575" t="s">
        <v>465</v>
      </c>
      <c r="M575" t="s">
        <v>628</v>
      </c>
    </row>
    <row r="576" spans="1:13">
      <c r="A576">
        <v>325</v>
      </c>
      <c r="B576">
        <v>8073</v>
      </c>
      <c r="C5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DISMAC 4B/9L TV-6747SF50SFW 50 (PREMIER)</v>
      </c>
      <c r="D576" s="32">
        <v>46074</v>
      </c>
      <c r="E5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576">
        <v>1</v>
      </c>
      <c r="I576">
        <f>(salidas26[[#This Row],[CANT JUEGOS ]]*salidas26[[#This Row],[PRECIO JUEGO]])</f>
        <v>220</v>
      </c>
      <c r="J576">
        <f>(salidas26[[#This Row],[CANT BARRAS]]*salidas26[[#This Row],[PRECIO BARRA]])</f>
        <v>0</v>
      </c>
      <c r="K576">
        <v>220</v>
      </c>
      <c r="L576" t="s">
        <v>496</v>
      </c>
      <c r="M576" t="s">
        <v>474</v>
      </c>
    </row>
    <row r="577" spans="1:13">
      <c r="A577">
        <v>326</v>
      </c>
      <c r="B577">
        <v>2015</v>
      </c>
      <c r="C5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577" s="32">
        <v>46074</v>
      </c>
      <c r="E5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577">
        <v>1</v>
      </c>
      <c r="I577">
        <f>(salidas26[[#This Row],[CANT JUEGOS ]]*salidas26[[#This Row],[PRECIO JUEGO]])</f>
        <v>160</v>
      </c>
      <c r="J577">
        <f>(salidas26[[#This Row],[CANT BARRAS]]*salidas26[[#This Row],[PRECIO BARRA]])</f>
        <v>0</v>
      </c>
      <c r="K577">
        <v>150</v>
      </c>
      <c r="L577" t="s">
        <v>496</v>
      </c>
      <c r="M577" t="s">
        <v>474</v>
      </c>
    </row>
    <row r="578" spans="1:13">
      <c r="A578">
        <v>327</v>
      </c>
      <c r="B578">
        <v>1132</v>
      </c>
      <c r="C5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578" s="32">
        <v>46074</v>
      </c>
      <c r="E5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5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578">
        <v>1</v>
      </c>
      <c r="I578">
        <f>(salidas26[[#This Row],[CANT JUEGOS ]]*salidas26[[#This Row],[PRECIO JUEGO]])</f>
        <v>260</v>
      </c>
      <c r="J578">
        <f>(salidas26[[#This Row],[CANT BARRAS]]*salidas26[[#This Row],[PRECIO BARRA]])</f>
        <v>0</v>
      </c>
      <c r="K578">
        <v>260</v>
      </c>
      <c r="L578" t="s">
        <v>465</v>
      </c>
      <c r="M578" t="s">
        <v>547</v>
      </c>
    </row>
    <row r="579" spans="1:13">
      <c r="A579">
        <v>328</v>
      </c>
      <c r="B579">
        <v>8015</v>
      </c>
      <c r="C5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579" s="32">
        <v>46074</v>
      </c>
      <c r="E5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79">
        <v>2</v>
      </c>
      <c r="I579">
        <f>(salidas26[[#This Row],[CANT JUEGOS ]]*salidas26[[#This Row],[PRECIO JUEGO]])</f>
        <v>120</v>
      </c>
      <c r="J579">
        <f>(salidas26[[#This Row],[CANT BARRAS]]*salidas26[[#This Row],[PRECIO BARRA]])</f>
        <v>0</v>
      </c>
      <c r="K579">
        <v>100</v>
      </c>
      <c r="L579" s="18" t="s">
        <v>465</v>
      </c>
      <c r="M579" t="s">
        <v>669</v>
      </c>
    </row>
    <row r="580" spans="1:13">
      <c r="A580">
        <v>329</v>
      </c>
      <c r="B580">
        <v>6000</v>
      </c>
      <c r="C5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580" s="32">
        <v>46074</v>
      </c>
      <c r="E5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80">
        <v>2</v>
      </c>
      <c r="I580">
        <f>(salidas26[[#This Row],[CANT JUEGOS ]]*salidas26[[#This Row],[PRECIO JUEGO]])</f>
        <v>120</v>
      </c>
      <c r="J580">
        <f>(salidas26[[#This Row],[CANT BARRAS]]*salidas26[[#This Row],[PRECIO BARRA]])</f>
        <v>0</v>
      </c>
      <c r="K580">
        <v>100</v>
      </c>
      <c r="L580" s="18" t="s">
        <v>465</v>
      </c>
      <c r="M580" t="s">
        <v>670</v>
      </c>
    </row>
    <row r="581" spans="1:13">
      <c r="A581">
        <v>331</v>
      </c>
      <c r="B581">
        <v>4000</v>
      </c>
      <c r="C5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581" s="32">
        <v>46074</v>
      </c>
      <c r="E5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81">
        <v>1</v>
      </c>
      <c r="I581">
        <f>(salidas26[[#This Row],[CANT JUEGOS ]]*salidas26[[#This Row],[PRECIO JUEGO]])</f>
        <v>60</v>
      </c>
      <c r="J581">
        <f>(salidas26[[#This Row],[CANT BARRAS]]*salidas26[[#This Row],[PRECIO BARRA]])</f>
        <v>0</v>
      </c>
      <c r="K581">
        <v>50</v>
      </c>
      <c r="L581" t="s">
        <v>496</v>
      </c>
      <c r="M581" t="s">
        <v>474</v>
      </c>
    </row>
    <row r="582" spans="1:13">
      <c r="A582">
        <v>332</v>
      </c>
      <c r="B582">
        <v>1012</v>
      </c>
      <c r="C5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582" s="32">
        <v>46074</v>
      </c>
      <c r="E5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5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82">
        <v>1</v>
      </c>
      <c r="I582">
        <f>(salidas26[[#This Row],[CANT JUEGOS ]]*salidas26[[#This Row],[PRECIO JUEGO]])</f>
        <v>90</v>
      </c>
      <c r="J582">
        <f>(salidas26[[#This Row],[CANT BARRAS]]*salidas26[[#This Row],[PRECIO BARRA]])</f>
        <v>0</v>
      </c>
      <c r="K582">
        <v>90</v>
      </c>
      <c r="L582" t="s">
        <v>496</v>
      </c>
      <c r="M582" t="s">
        <v>474</v>
      </c>
    </row>
    <row r="583" spans="1:13">
      <c r="A583">
        <v>333</v>
      </c>
      <c r="B583">
        <v>2090</v>
      </c>
      <c r="C5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583" s="32">
        <v>46074</v>
      </c>
      <c r="E5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5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583">
        <v>1</v>
      </c>
      <c r="I583">
        <f>(salidas26[[#This Row],[CANT JUEGOS ]]*salidas26[[#This Row],[PRECIO JUEGO]])</f>
        <v>350</v>
      </c>
      <c r="J583">
        <f>(salidas26[[#This Row],[CANT BARRAS]]*salidas26[[#This Row],[PRECIO BARRA]])</f>
        <v>0</v>
      </c>
      <c r="K583">
        <v>370</v>
      </c>
      <c r="L583" t="s">
        <v>496</v>
      </c>
      <c r="M583" t="s">
        <v>671</v>
      </c>
    </row>
    <row r="584" spans="1:13">
      <c r="A584">
        <v>334</v>
      </c>
      <c r="B584">
        <v>3015</v>
      </c>
      <c r="C5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48M600 10B/8 - 8 LEDS/3V</v>
      </c>
      <c r="D584" s="32">
        <v>46074</v>
      </c>
      <c r="E5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5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584">
        <v>1</v>
      </c>
      <c r="I584">
        <f>(salidas26[[#This Row],[CANT JUEGOS ]]*salidas26[[#This Row],[PRECIO JUEGO]])</f>
        <v>260</v>
      </c>
      <c r="J584">
        <f>(salidas26[[#This Row],[CANT BARRAS]]*salidas26[[#This Row],[PRECIO BARRA]])</f>
        <v>0</v>
      </c>
      <c r="K584">
        <v>220</v>
      </c>
      <c r="L584" t="s">
        <v>496</v>
      </c>
      <c r="M584" t="s">
        <v>474</v>
      </c>
    </row>
    <row r="585" spans="1:13">
      <c r="A585">
        <v>335</v>
      </c>
      <c r="B585">
        <v>8015</v>
      </c>
      <c r="C5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585" s="32">
        <v>46076</v>
      </c>
      <c r="E5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85">
        <v>1</v>
      </c>
      <c r="I585">
        <f>(salidas26[[#This Row],[CANT JUEGOS ]]*salidas26[[#This Row],[PRECIO JUEGO]])</f>
        <v>60</v>
      </c>
      <c r="J585">
        <f>(salidas26[[#This Row],[CANT BARRAS]]*salidas26[[#This Row],[PRECIO BARRA]])</f>
        <v>0</v>
      </c>
      <c r="K585">
        <v>60</v>
      </c>
      <c r="L585" t="s">
        <v>496</v>
      </c>
      <c r="M585" t="s">
        <v>466</v>
      </c>
    </row>
    <row r="586" spans="1:13">
      <c r="A586">
        <v>336</v>
      </c>
      <c r="B586">
        <v>8039</v>
      </c>
      <c r="C5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40-CHINO PREMIER 3B/8-8-8/6V</v>
      </c>
      <c r="D586" s="32">
        <v>46076</v>
      </c>
      <c r="E5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5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586">
        <v>1</v>
      </c>
      <c r="I586">
        <f>(salidas26[[#This Row],[CANT JUEGOS ]]*salidas26[[#This Row],[PRECIO JUEGO]])</f>
        <v>150</v>
      </c>
      <c r="J586">
        <f>(salidas26[[#This Row],[CANT BARRAS]]*salidas26[[#This Row],[PRECIO BARRA]])</f>
        <v>0</v>
      </c>
      <c r="K586">
        <v>150</v>
      </c>
      <c r="L586" t="s">
        <v>465</v>
      </c>
      <c r="M586" t="s">
        <v>542</v>
      </c>
    </row>
    <row r="587" spans="1:13">
      <c r="A587">
        <v>337</v>
      </c>
      <c r="B587">
        <v>8068</v>
      </c>
      <c r="C5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587" s="32">
        <v>46076</v>
      </c>
      <c r="E5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5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587">
        <v>1</v>
      </c>
      <c r="I587">
        <f>(salidas26[[#This Row],[CANT JUEGOS ]]*salidas26[[#This Row],[PRECIO JUEGO]])</f>
        <v>220</v>
      </c>
      <c r="J587">
        <f>(salidas26[[#This Row],[CANT BARRAS]]*salidas26[[#This Row],[PRECIO BARRA]])</f>
        <v>0</v>
      </c>
      <c r="K587">
        <v>200</v>
      </c>
      <c r="L587" t="s">
        <v>496</v>
      </c>
      <c r="M587" t="s">
        <v>466</v>
      </c>
    </row>
    <row r="588" spans="1:13">
      <c r="A588">
        <v>338</v>
      </c>
      <c r="B588">
        <v>4000</v>
      </c>
      <c r="C5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588" s="32">
        <v>46076</v>
      </c>
      <c r="E5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88">
        <v>1</v>
      </c>
      <c r="I588">
        <f>(salidas26[[#This Row],[CANT JUEGOS ]]*salidas26[[#This Row],[PRECIO JUEGO]])</f>
        <v>60</v>
      </c>
      <c r="J588">
        <f>(salidas26[[#This Row],[CANT BARRAS]]*salidas26[[#This Row],[PRECIO BARRA]])</f>
        <v>0</v>
      </c>
      <c r="K588">
        <v>60</v>
      </c>
      <c r="L588" t="s">
        <v>496</v>
      </c>
      <c r="M588" t="s">
        <v>672</v>
      </c>
    </row>
    <row r="589" spans="1:13">
      <c r="A589">
        <v>339</v>
      </c>
      <c r="B589">
        <v>2000</v>
      </c>
      <c r="C5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589" s="32">
        <v>46076</v>
      </c>
      <c r="E5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89">
        <v>1</v>
      </c>
      <c r="I589">
        <f>(salidas26[[#This Row],[CANT JUEGOS ]]*salidas26[[#This Row],[PRECIO JUEGO]])</f>
        <v>80</v>
      </c>
      <c r="J589">
        <f>(salidas26[[#This Row],[CANT BARRAS]]*salidas26[[#This Row],[PRECIO BARRA]])</f>
        <v>0</v>
      </c>
      <c r="K589">
        <v>60</v>
      </c>
      <c r="L589" t="s">
        <v>496</v>
      </c>
      <c r="M589" t="s">
        <v>673</v>
      </c>
    </row>
    <row r="590" spans="1:13">
      <c r="A590">
        <v>340</v>
      </c>
      <c r="B590">
        <v>1011</v>
      </c>
      <c r="C5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590" s="32">
        <v>46076</v>
      </c>
      <c r="E5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5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590">
        <v>1</v>
      </c>
      <c r="I590">
        <f>(salidas26[[#This Row],[CANT JUEGOS ]]*salidas26[[#This Row],[PRECIO JUEGO]])</f>
        <v>70</v>
      </c>
      <c r="J590">
        <f>(salidas26[[#This Row],[CANT BARRAS]]*salidas26[[#This Row],[PRECIO BARRA]])</f>
        <v>0</v>
      </c>
      <c r="K590">
        <v>50</v>
      </c>
      <c r="L590" t="s">
        <v>496</v>
      </c>
      <c r="M590" t="s">
        <v>673</v>
      </c>
    </row>
    <row r="591" spans="1:13">
      <c r="A591">
        <v>341</v>
      </c>
      <c r="B591">
        <v>7002</v>
      </c>
      <c r="C5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591" s="32">
        <v>46076</v>
      </c>
      <c r="E5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5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591">
        <v>1</v>
      </c>
      <c r="I591">
        <f>(salidas26[[#This Row],[CANT JUEGOS ]]*salidas26[[#This Row],[PRECIO JUEGO]])</f>
        <v>70</v>
      </c>
      <c r="J591">
        <f>(salidas26[[#This Row],[CANT BARRAS]]*salidas26[[#This Row],[PRECIO BARRA]])</f>
        <v>0</v>
      </c>
      <c r="K591">
        <v>50</v>
      </c>
      <c r="L591" t="s">
        <v>496</v>
      </c>
      <c r="M591" t="s">
        <v>673</v>
      </c>
    </row>
    <row r="592" spans="1:13">
      <c r="A592">
        <v>342</v>
      </c>
      <c r="B592">
        <v>6000</v>
      </c>
      <c r="C5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592" s="32">
        <v>46076</v>
      </c>
      <c r="E5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92">
        <v>1</v>
      </c>
      <c r="I592">
        <f>(salidas26[[#This Row],[CANT JUEGOS ]]*salidas26[[#This Row],[PRECIO JUEGO]])</f>
        <v>60</v>
      </c>
      <c r="J592">
        <f>(salidas26[[#This Row],[CANT BARRAS]]*salidas26[[#This Row],[PRECIO BARRA]])</f>
        <v>0</v>
      </c>
      <c r="K592">
        <v>50</v>
      </c>
      <c r="L592" t="s">
        <v>496</v>
      </c>
      <c r="M592" t="s">
        <v>673</v>
      </c>
    </row>
    <row r="593" spans="1:13">
      <c r="A593">
        <v>343</v>
      </c>
      <c r="B593">
        <v>8021</v>
      </c>
      <c r="C5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593" s="32">
        <v>46076</v>
      </c>
      <c r="E5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93">
        <v>1</v>
      </c>
      <c r="I593">
        <f>(salidas26[[#This Row],[CANT JUEGOS ]]*salidas26[[#This Row],[PRECIO JUEGO]])</f>
        <v>60</v>
      </c>
      <c r="J593">
        <f>(salidas26[[#This Row],[CANT BARRAS]]*salidas26[[#This Row],[PRECIO BARRA]])</f>
        <v>0</v>
      </c>
      <c r="K593">
        <v>50</v>
      </c>
      <c r="L593" t="s">
        <v>496</v>
      </c>
      <c r="M593" t="s">
        <v>673</v>
      </c>
    </row>
    <row r="594" spans="1:13">
      <c r="A594">
        <v>344</v>
      </c>
      <c r="B594">
        <v>8015</v>
      </c>
      <c r="C5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594" s="32">
        <v>46076</v>
      </c>
      <c r="E5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5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94">
        <v>1</v>
      </c>
      <c r="I594">
        <f>(salidas26[[#This Row],[CANT JUEGOS ]]*salidas26[[#This Row],[PRECIO JUEGO]])</f>
        <v>60</v>
      </c>
      <c r="J594">
        <f>(salidas26[[#This Row],[CANT BARRAS]]*salidas26[[#This Row],[PRECIO BARRA]])</f>
        <v>0</v>
      </c>
      <c r="K594">
        <v>50</v>
      </c>
      <c r="L594" t="s">
        <v>496</v>
      </c>
      <c r="M594" t="s">
        <v>673</v>
      </c>
    </row>
    <row r="595" spans="1:13">
      <c r="A595">
        <v>345</v>
      </c>
      <c r="B595">
        <v>6001</v>
      </c>
      <c r="C5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D595" s="32">
        <v>46076</v>
      </c>
      <c r="E5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5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595">
        <v>1</v>
      </c>
      <c r="I595">
        <f>(salidas26[[#This Row],[CANT JUEGOS ]]*salidas26[[#This Row],[PRECIO JUEGO]])</f>
        <v>80</v>
      </c>
      <c r="J595">
        <f>(salidas26[[#This Row],[CANT BARRAS]]*salidas26[[#This Row],[PRECIO BARRA]])</f>
        <v>0</v>
      </c>
      <c r="K595">
        <v>50</v>
      </c>
      <c r="L595" t="s">
        <v>496</v>
      </c>
      <c r="M595" t="s">
        <v>673</v>
      </c>
    </row>
    <row r="596" spans="1:13">
      <c r="A596">
        <v>346</v>
      </c>
      <c r="B596">
        <v>2012</v>
      </c>
      <c r="C5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596" s="32">
        <v>46076</v>
      </c>
      <c r="E5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5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596">
        <v>2</v>
      </c>
      <c r="I596">
        <f>(salidas26[[#This Row],[CANT JUEGOS ]]*salidas26[[#This Row],[PRECIO JUEGO]])</f>
        <v>320</v>
      </c>
      <c r="J596">
        <f>(salidas26[[#This Row],[CANT BARRAS]]*salidas26[[#This Row],[PRECIO BARRA]])</f>
        <v>0</v>
      </c>
      <c r="K596">
        <v>260</v>
      </c>
      <c r="L596" t="s">
        <v>496</v>
      </c>
      <c r="M596" t="s">
        <v>673</v>
      </c>
    </row>
    <row r="597" spans="1:13">
      <c r="A597">
        <v>347</v>
      </c>
      <c r="B597">
        <v>5002</v>
      </c>
      <c r="C5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597" s="32">
        <v>46076</v>
      </c>
      <c r="E5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5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597">
        <v>1</v>
      </c>
      <c r="I597">
        <f>(salidas26[[#This Row],[CANT JUEGOS ]]*salidas26[[#This Row],[PRECIO JUEGO]])</f>
        <v>90</v>
      </c>
      <c r="J597">
        <f>(salidas26[[#This Row],[CANT BARRAS]]*salidas26[[#This Row],[PRECIO BARRA]])</f>
        <v>0</v>
      </c>
      <c r="K597">
        <v>90</v>
      </c>
      <c r="L597" t="s">
        <v>496</v>
      </c>
      <c r="M597" t="s">
        <v>466</v>
      </c>
    </row>
    <row r="598" spans="1:13">
      <c r="A598">
        <v>348</v>
      </c>
      <c r="B598">
        <v>8055</v>
      </c>
      <c r="C5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598" s="32">
        <v>46076</v>
      </c>
      <c r="E5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5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598">
        <v>1</v>
      </c>
      <c r="I598">
        <f>(salidas26[[#This Row],[CANT JUEGOS ]]*salidas26[[#This Row],[PRECIO JUEGO]])</f>
        <v>180</v>
      </c>
      <c r="J598">
        <f>(salidas26[[#This Row],[CANT BARRAS]]*salidas26[[#This Row],[PRECIO BARRA]])</f>
        <v>0</v>
      </c>
      <c r="K598">
        <v>180</v>
      </c>
      <c r="L598" t="s">
        <v>496</v>
      </c>
      <c r="M598" t="s">
        <v>466</v>
      </c>
    </row>
    <row r="599" spans="1:13">
      <c r="A599">
        <v>349</v>
      </c>
      <c r="B599">
        <v>1069</v>
      </c>
      <c r="C5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599" s="32">
        <v>46077</v>
      </c>
      <c r="E5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5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599">
        <v>1</v>
      </c>
      <c r="I599">
        <f>(salidas26[[#This Row],[CANT JUEGOS ]]*salidas26[[#This Row],[PRECIO JUEGO]])</f>
        <v>250</v>
      </c>
      <c r="J599">
        <f>(salidas26[[#This Row],[CANT BARRAS]]*salidas26[[#This Row],[PRECIO BARRA]])</f>
        <v>0</v>
      </c>
      <c r="K599">
        <v>220</v>
      </c>
      <c r="L599" t="s">
        <v>496</v>
      </c>
      <c r="M599" t="s">
        <v>480</v>
      </c>
    </row>
    <row r="600" spans="1:13">
      <c r="A600">
        <v>350</v>
      </c>
      <c r="B600">
        <v>1036</v>
      </c>
      <c r="C6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600" s="32">
        <v>46077</v>
      </c>
      <c r="E6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600">
        <v>1</v>
      </c>
      <c r="I600">
        <f>(salidas26[[#This Row],[CANT JUEGOS ]]*salidas26[[#This Row],[PRECIO JUEGO]])</f>
        <v>180</v>
      </c>
      <c r="J600">
        <f>(salidas26[[#This Row],[CANT BARRAS]]*salidas26[[#This Row],[PRECIO BARRA]])</f>
        <v>0</v>
      </c>
      <c r="K600">
        <v>180</v>
      </c>
      <c r="L600" t="s">
        <v>496</v>
      </c>
      <c r="M600" t="s">
        <v>466</v>
      </c>
    </row>
    <row r="601" spans="1:13">
      <c r="A601">
        <v>351</v>
      </c>
      <c r="B601">
        <v>1102</v>
      </c>
      <c r="C6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601" s="32">
        <v>46077</v>
      </c>
      <c r="E6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6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601">
        <v>1</v>
      </c>
      <c r="I601">
        <f>(salidas26[[#This Row],[CANT JUEGOS ]]*salidas26[[#This Row],[PRECIO JUEGO]])</f>
        <v>280</v>
      </c>
      <c r="J601">
        <f>(salidas26[[#This Row],[CANT BARRAS]]*salidas26[[#This Row],[PRECIO BARRA]])</f>
        <v>0</v>
      </c>
      <c r="K601">
        <v>206</v>
      </c>
      <c r="L601" t="s">
        <v>496</v>
      </c>
      <c r="M601" t="s">
        <v>466</v>
      </c>
    </row>
    <row r="602" spans="1:13">
      <c r="A602">
        <v>352</v>
      </c>
      <c r="B602">
        <v>1012</v>
      </c>
      <c r="C6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602" s="32">
        <v>46077</v>
      </c>
      <c r="E6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6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02">
        <v>1</v>
      </c>
      <c r="I602">
        <f>(salidas26[[#This Row],[CANT JUEGOS ]]*salidas26[[#This Row],[PRECIO JUEGO]])</f>
        <v>90</v>
      </c>
      <c r="J602">
        <f>(salidas26[[#This Row],[CANT BARRAS]]*salidas26[[#This Row],[PRECIO BARRA]])</f>
        <v>0</v>
      </c>
      <c r="K602">
        <v>90</v>
      </c>
      <c r="L602" t="s">
        <v>465</v>
      </c>
      <c r="M602" t="s">
        <v>577</v>
      </c>
    </row>
    <row r="603" spans="1:13">
      <c r="A603">
        <v>353</v>
      </c>
      <c r="B603">
        <v>7004</v>
      </c>
      <c r="C6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603" s="32">
        <v>46077</v>
      </c>
      <c r="E6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03">
        <v>1</v>
      </c>
      <c r="H603">
        <v>4</v>
      </c>
      <c r="I603">
        <f>(salidas26[[#This Row],[CANT JUEGOS ]]*salidas26[[#This Row],[PRECIO JUEGO]])</f>
        <v>150</v>
      </c>
      <c r="J603">
        <f>(salidas26[[#This Row],[CANT BARRAS]]*salidas26[[#This Row],[PRECIO BARRA]])</f>
        <v>200</v>
      </c>
      <c r="K603">
        <v>180</v>
      </c>
      <c r="L603" t="s">
        <v>465</v>
      </c>
      <c r="M603" t="s">
        <v>675</v>
      </c>
    </row>
    <row r="604" spans="1:13">
      <c r="A604">
        <v>354</v>
      </c>
      <c r="B604">
        <v>8100</v>
      </c>
      <c r="C6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604" s="32">
        <v>46077</v>
      </c>
      <c r="E6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04">
        <v>1</v>
      </c>
      <c r="I604">
        <f>(salidas26[[#This Row],[CANT JUEGOS ]]*salidas26[[#This Row],[PRECIO JUEGO]])</f>
        <v>300</v>
      </c>
      <c r="J604">
        <f>(salidas26[[#This Row],[CANT BARRAS]]*salidas26[[#This Row],[PRECIO BARRA]])</f>
        <v>0</v>
      </c>
      <c r="K604">
        <v>250</v>
      </c>
      <c r="L604" t="s">
        <v>496</v>
      </c>
      <c r="M604" t="s">
        <v>635</v>
      </c>
    </row>
    <row r="605" spans="1:13">
      <c r="A605">
        <v>355</v>
      </c>
      <c r="B605">
        <v>1039</v>
      </c>
      <c r="C6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42LN5200/10B/3V</v>
      </c>
      <c r="D605" s="32">
        <v>46077</v>
      </c>
      <c r="E6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6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605">
        <v>1</v>
      </c>
      <c r="I605">
        <f>(salidas26[[#This Row],[CANT JUEGOS ]]*salidas26[[#This Row],[PRECIO JUEGO]])</f>
        <v>200</v>
      </c>
      <c r="J605">
        <f>(salidas26[[#This Row],[CANT BARRAS]]*salidas26[[#This Row],[PRECIO BARRA]])</f>
        <v>0</v>
      </c>
      <c r="K605">
        <v>200</v>
      </c>
      <c r="L605" t="s">
        <v>465</v>
      </c>
      <c r="M605" t="s">
        <v>523</v>
      </c>
    </row>
    <row r="606" spans="1:13">
      <c r="A606">
        <v>356</v>
      </c>
      <c r="B606">
        <v>2000</v>
      </c>
      <c r="C6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606" s="32">
        <v>46077</v>
      </c>
      <c r="E6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606">
        <v>1</v>
      </c>
      <c r="I606">
        <f>(salidas26[[#This Row],[CANT JUEGOS ]]*salidas26[[#This Row],[PRECIO JUEGO]])</f>
        <v>80</v>
      </c>
      <c r="J606">
        <f>(salidas26[[#This Row],[CANT BARRAS]]*salidas26[[#This Row],[PRECIO BARRA]])</f>
        <v>0</v>
      </c>
      <c r="K606">
        <v>70</v>
      </c>
      <c r="L606" t="s">
        <v>465</v>
      </c>
      <c r="M606" t="s">
        <v>481</v>
      </c>
    </row>
    <row r="607" spans="1:13">
      <c r="A607">
        <v>357</v>
      </c>
      <c r="B607">
        <v>8015</v>
      </c>
      <c r="C6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607" s="32">
        <v>46077</v>
      </c>
      <c r="E6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07">
        <v>3</v>
      </c>
      <c r="I607">
        <f>(salidas26[[#This Row],[CANT JUEGOS ]]*salidas26[[#This Row],[PRECIO JUEGO]])</f>
        <v>180</v>
      </c>
      <c r="J607">
        <f>(salidas26[[#This Row],[CANT BARRAS]]*salidas26[[#This Row],[PRECIO BARRA]])</f>
        <v>0</v>
      </c>
      <c r="K607">
        <v>150</v>
      </c>
      <c r="L607" t="s">
        <v>496</v>
      </c>
      <c r="M607" t="s">
        <v>676</v>
      </c>
    </row>
    <row r="608" spans="1:13">
      <c r="A608">
        <v>358</v>
      </c>
      <c r="B608">
        <v>8021</v>
      </c>
      <c r="C6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608" s="32">
        <v>46077</v>
      </c>
      <c r="E6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08">
        <v>3</v>
      </c>
      <c r="I608">
        <f>(salidas26[[#This Row],[CANT JUEGOS ]]*salidas26[[#This Row],[PRECIO JUEGO]])</f>
        <v>180</v>
      </c>
      <c r="J608">
        <f>(salidas26[[#This Row],[CANT BARRAS]]*salidas26[[#This Row],[PRECIO BARRA]])</f>
        <v>0</v>
      </c>
      <c r="K608">
        <v>150</v>
      </c>
      <c r="L608" t="s">
        <v>496</v>
      </c>
      <c r="M608" t="s">
        <v>676</v>
      </c>
    </row>
    <row r="609" spans="1:13">
      <c r="A609">
        <v>359</v>
      </c>
      <c r="B609">
        <v>2000</v>
      </c>
      <c r="C6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609" s="32">
        <v>46077</v>
      </c>
      <c r="E6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609">
        <v>4</v>
      </c>
      <c r="I609">
        <f>(salidas26[[#This Row],[CANT JUEGOS ]]*salidas26[[#This Row],[PRECIO JUEGO]])</f>
        <v>320</v>
      </c>
      <c r="J609">
        <f>(salidas26[[#This Row],[CANT BARRAS]]*salidas26[[#This Row],[PRECIO BARRA]])</f>
        <v>0</v>
      </c>
      <c r="K609">
        <v>200</v>
      </c>
      <c r="L609" t="s">
        <v>496</v>
      </c>
      <c r="M609" t="s">
        <v>676</v>
      </c>
    </row>
    <row r="610" spans="1:13">
      <c r="A610">
        <v>360</v>
      </c>
      <c r="B610">
        <v>6000</v>
      </c>
      <c r="C6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610" s="32">
        <v>46077</v>
      </c>
      <c r="E6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10">
        <v>3</v>
      </c>
      <c r="I610">
        <f>(salidas26[[#This Row],[CANT JUEGOS ]]*salidas26[[#This Row],[PRECIO JUEGO]])</f>
        <v>180</v>
      </c>
      <c r="J610">
        <f>(salidas26[[#This Row],[CANT BARRAS]]*salidas26[[#This Row],[PRECIO BARRA]])</f>
        <v>0</v>
      </c>
      <c r="K610">
        <v>150</v>
      </c>
      <c r="L610" t="s">
        <v>496</v>
      </c>
      <c r="M610" t="s">
        <v>676</v>
      </c>
    </row>
    <row r="611" spans="1:13">
      <c r="A611">
        <v>369</v>
      </c>
      <c r="B611">
        <v>2065</v>
      </c>
      <c r="C6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UN50AU/BU8000 2B EDGE</v>
      </c>
      <c r="D611" s="32">
        <v>46077</v>
      </c>
      <c r="E6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6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611">
        <v>1</v>
      </c>
      <c r="I611">
        <f>(salidas26[[#This Row],[CANT JUEGOS ]]*salidas26[[#This Row],[PRECIO JUEGO]])</f>
        <v>220</v>
      </c>
      <c r="J611">
        <f>(salidas26[[#This Row],[CANT BARRAS]]*salidas26[[#This Row],[PRECIO BARRA]])</f>
        <v>0</v>
      </c>
      <c r="K611">
        <v>220</v>
      </c>
      <c r="L611" s="18" t="s">
        <v>465</v>
      </c>
      <c r="M611" t="s">
        <v>677</v>
      </c>
    </row>
    <row r="612" spans="1:13">
      <c r="B612">
        <v>6132</v>
      </c>
      <c r="C6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SKYWORTH-65 UB7500 10B</v>
      </c>
      <c r="D612" s="32">
        <v>46078</v>
      </c>
      <c r="E6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6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42</v>
      </c>
      <c r="G612">
        <v>1</v>
      </c>
      <c r="I612">
        <f>(salidas26[[#This Row],[CANT JUEGOS ]]*salidas26[[#This Row],[PRECIO JUEGO]])</f>
        <v>420</v>
      </c>
      <c r="J612">
        <f>(salidas26[[#This Row],[CANT BARRAS]]*salidas26[[#This Row],[PRECIO BARRA]])</f>
        <v>0</v>
      </c>
      <c r="K612">
        <v>360</v>
      </c>
      <c r="L612" t="s">
        <v>465</v>
      </c>
      <c r="M612" t="s">
        <v>678</v>
      </c>
    </row>
    <row r="613" spans="1:13">
      <c r="B613">
        <v>6000</v>
      </c>
      <c r="C6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613" s="32">
        <v>46078</v>
      </c>
      <c r="E6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13">
        <v>1</v>
      </c>
      <c r="I613">
        <f>(salidas26[[#This Row],[CANT JUEGOS ]]*salidas26[[#This Row],[PRECIO JUEGO]])</f>
        <v>60</v>
      </c>
      <c r="J613">
        <f>(salidas26[[#This Row],[CANT BARRAS]]*salidas26[[#This Row],[PRECIO BARRA]])</f>
        <v>0</v>
      </c>
      <c r="K613">
        <v>60</v>
      </c>
      <c r="L613" s="18" t="s">
        <v>465</v>
      </c>
      <c r="M613" t="s">
        <v>473</v>
      </c>
    </row>
    <row r="614" spans="1:13">
      <c r="B614">
        <v>8095</v>
      </c>
      <c r="C6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614" s="32">
        <v>46078</v>
      </c>
      <c r="E6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14">
        <v>1</v>
      </c>
      <c r="I614">
        <f>(salidas26[[#This Row],[CANT JUEGOS ]]*salidas26[[#This Row],[PRECIO JUEGO]])</f>
        <v>300</v>
      </c>
      <c r="J614">
        <f>(salidas26[[#This Row],[CANT BARRAS]]*salidas26[[#This Row],[PRECIO BARRA]])</f>
        <v>0</v>
      </c>
      <c r="K614">
        <v>300</v>
      </c>
      <c r="L614" s="18" t="s">
        <v>465</v>
      </c>
      <c r="M614" t="s">
        <v>473</v>
      </c>
    </row>
    <row r="615" spans="1:13">
      <c r="B615">
        <v>6000</v>
      </c>
      <c r="C6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615" s="32">
        <v>46078</v>
      </c>
      <c r="E6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15">
        <v>1</v>
      </c>
      <c r="I615">
        <f>(salidas26[[#This Row],[CANT JUEGOS ]]*salidas26[[#This Row],[PRECIO JUEGO]])</f>
        <v>60</v>
      </c>
      <c r="J615">
        <f>(salidas26[[#This Row],[CANT BARRAS]]*salidas26[[#This Row],[PRECIO BARRA]])</f>
        <v>0</v>
      </c>
      <c r="K615">
        <v>60</v>
      </c>
      <c r="L615" t="s">
        <v>465</v>
      </c>
      <c r="M615" t="s">
        <v>658</v>
      </c>
    </row>
    <row r="616" spans="1:13">
      <c r="B616">
        <v>2075</v>
      </c>
      <c r="C6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616" s="32">
        <v>46078</v>
      </c>
      <c r="E6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6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616">
        <v>1</v>
      </c>
      <c r="H616">
        <v>1</v>
      </c>
      <c r="I616">
        <f>(salidas26[[#This Row],[CANT JUEGOS ]]*salidas26[[#This Row],[PRECIO JUEGO]])</f>
        <v>200</v>
      </c>
      <c r="J616">
        <f>(salidas26[[#This Row],[CANT BARRAS]]*salidas26[[#This Row],[PRECIO BARRA]])</f>
        <v>100</v>
      </c>
      <c r="K616">
        <v>250</v>
      </c>
      <c r="L616" t="s">
        <v>496</v>
      </c>
      <c r="M616" t="s">
        <v>679</v>
      </c>
    </row>
    <row r="617" spans="1:13">
      <c r="B617">
        <v>1063</v>
      </c>
      <c r="C6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D617" s="32">
        <v>46078</v>
      </c>
      <c r="E6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617">
        <v>1</v>
      </c>
      <c r="I617">
        <f>(salidas26[[#This Row],[CANT JUEGOS ]]*salidas26[[#This Row],[PRECIO JUEGO]])</f>
        <v>180</v>
      </c>
      <c r="J617">
        <f>(salidas26[[#This Row],[CANT BARRAS]]*salidas26[[#This Row],[PRECIO BARRA]])</f>
        <v>0</v>
      </c>
      <c r="K617">
        <v>200</v>
      </c>
      <c r="L617" s="18" t="s">
        <v>496</v>
      </c>
      <c r="M617" t="s">
        <v>509</v>
      </c>
    </row>
    <row r="618" spans="1:13">
      <c r="B618">
        <v>2063</v>
      </c>
      <c r="C6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618" s="32">
        <v>46078</v>
      </c>
      <c r="E6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618">
        <v>1</v>
      </c>
      <c r="I618">
        <f>(salidas26[[#This Row],[CANT JUEGOS ]]*salidas26[[#This Row],[PRECIO JUEGO]])</f>
        <v>180</v>
      </c>
      <c r="J618">
        <f>(salidas26[[#This Row],[CANT BARRAS]]*salidas26[[#This Row],[PRECIO BARRA]])</f>
        <v>0</v>
      </c>
      <c r="K618">
        <v>180</v>
      </c>
      <c r="L618" t="s">
        <v>465</v>
      </c>
      <c r="M618" t="s">
        <v>469</v>
      </c>
    </row>
    <row r="619" spans="1:13">
      <c r="B619">
        <v>1105</v>
      </c>
      <c r="C6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50LB6500/10B</v>
      </c>
      <c r="D619" s="32">
        <v>46078</v>
      </c>
      <c r="E6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19">
        <v>1</v>
      </c>
      <c r="I619">
        <f>(salidas26[[#This Row],[CANT JUEGOS ]]*salidas26[[#This Row],[PRECIO JUEGO]])</f>
        <v>300</v>
      </c>
      <c r="J619">
        <f>(salidas26[[#This Row],[CANT BARRAS]]*salidas26[[#This Row],[PRECIO BARRA]])</f>
        <v>0</v>
      </c>
      <c r="K619">
        <v>280</v>
      </c>
      <c r="L619" t="s">
        <v>496</v>
      </c>
      <c r="M619" t="s">
        <v>466</v>
      </c>
    </row>
    <row r="620" spans="1:13">
      <c r="B620">
        <v>8068</v>
      </c>
      <c r="C6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620" s="32">
        <v>46078</v>
      </c>
      <c r="E6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6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620">
        <v>1</v>
      </c>
      <c r="I620">
        <f>(salidas26[[#This Row],[CANT JUEGOS ]]*salidas26[[#This Row],[PRECIO JUEGO]])</f>
        <v>220</v>
      </c>
      <c r="J620">
        <f>(salidas26[[#This Row],[CANT BARRAS]]*salidas26[[#This Row],[PRECIO BARRA]])</f>
        <v>0</v>
      </c>
      <c r="K620">
        <v>200</v>
      </c>
      <c r="L620" t="s">
        <v>465</v>
      </c>
      <c r="M620" t="s">
        <v>523</v>
      </c>
    </row>
    <row r="621" spans="1:13">
      <c r="B621">
        <v>8095</v>
      </c>
      <c r="C6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621" s="32">
        <v>46079</v>
      </c>
      <c r="E6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21">
        <v>1</v>
      </c>
      <c r="I621">
        <f>(salidas26[[#This Row],[CANT JUEGOS ]]*salidas26[[#This Row],[PRECIO JUEGO]])</f>
        <v>300</v>
      </c>
      <c r="J621">
        <f>(salidas26[[#This Row],[CANT BARRAS]]*salidas26[[#This Row],[PRECIO BARRA]])</f>
        <v>0</v>
      </c>
      <c r="K621">
        <v>280</v>
      </c>
      <c r="L621" t="s">
        <v>496</v>
      </c>
      <c r="M621" t="s">
        <v>507</v>
      </c>
    </row>
    <row r="622" spans="1:13">
      <c r="B622">
        <v>2087</v>
      </c>
      <c r="C6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622" s="32">
        <v>46079</v>
      </c>
      <c r="E6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6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622">
        <v>1</v>
      </c>
      <c r="I622">
        <f>(salidas26[[#This Row],[CANT JUEGOS ]]*salidas26[[#This Row],[PRECIO JUEGO]])</f>
        <v>240</v>
      </c>
      <c r="J622">
        <f>(salidas26[[#This Row],[CANT BARRAS]]*salidas26[[#This Row],[PRECIO BARRA]])</f>
        <v>0</v>
      </c>
      <c r="K622">
        <v>220</v>
      </c>
      <c r="L622" t="s">
        <v>496</v>
      </c>
      <c r="M622" t="s">
        <v>507</v>
      </c>
    </row>
    <row r="623" spans="1:13">
      <c r="A623">
        <v>381</v>
      </c>
      <c r="B623">
        <v>8087</v>
      </c>
      <c r="C6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PREMIER TV-7130SF55SF/9B</v>
      </c>
      <c r="D623" s="32">
        <v>46079</v>
      </c>
      <c r="E6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6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623">
        <v>1</v>
      </c>
      <c r="I623">
        <f>(salidas26[[#This Row],[CANT JUEGOS ]]*salidas26[[#This Row],[PRECIO JUEGO]])</f>
        <v>250</v>
      </c>
      <c r="J623">
        <f>(salidas26[[#This Row],[CANT BARRAS]]*salidas26[[#This Row],[PRECIO BARRA]])</f>
        <v>0</v>
      </c>
      <c r="K623">
        <v>200</v>
      </c>
      <c r="L623" t="s">
        <v>496</v>
      </c>
      <c r="M623" t="s">
        <v>680</v>
      </c>
    </row>
    <row r="624" spans="1:13">
      <c r="A624">
        <v>382</v>
      </c>
      <c r="B624">
        <v>2090</v>
      </c>
      <c r="C6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624" s="32">
        <v>46079</v>
      </c>
      <c r="E6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6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624">
        <v>1</v>
      </c>
      <c r="I624">
        <f>(salidas26[[#This Row],[CANT JUEGOS ]]*salidas26[[#This Row],[PRECIO JUEGO]])</f>
        <v>350</v>
      </c>
      <c r="J624">
        <f>(salidas26[[#This Row],[CANT BARRAS]]*salidas26[[#This Row],[PRECIO BARRA]])</f>
        <v>0</v>
      </c>
      <c r="K624">
        <v>340</v>
      </c>
      <c r="L624" t="s">
        <v>465</v>
      </c>
      <c r="M624" t="s">
        <v>628</v>
      </c>
    </row>
    <row r="625" spans="1:13">
      <c r="A625">
        <v>383</v>
      </c>
      <c r="B625">
        <v>8033</v>
      </c>
      <c r="C6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625" s="32">
        <v>46079</v>
      </c>
      <c r="E6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25">
        <v>1</v>
      </c>
      <c r="I625">
        <f>(salidas26[[#This Row],[CANT JUEGOS ]]*salidas26[[#This Row],[PRECIO JUEGO]])</f>
        <v>150</v>
      </c>
      <c r="J625">
        <f>(salidas26[[#This Row],[CANT BARRAS]]*salidas26[[#This Row],[PRECIO BARRA]])</f>
        <v>0</v>
      </c>
      <c r="K625">
        <v>140</v>
      </c>
      <c r="L625" t="s">
        <v>465</v>
      </c>
      <c r="M625" t="s">
        <v>628</v>
      </c>
    </row>
    <row r="626" spans="1:13">
      <c r="A626">
        <v>384</v>
      </c>
      <c r="B626">
        <v>6029</v>
      </c>
      <c r="C6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MASTER G MGU5810X 5L/10B
58G2 Skyworth</v>
      </c>
      <c r="D626" s="32">
        <v>46079</v>
      </c>
      <c r="E6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626">
        <v>2</v>
      </c>
      <c r="I626">
        <f>(salidas26[[#This Row],[CANT JUEGOS ]]*salidas26[[#This Row],[PRECIO JUEGO]])</f>
        <v>0</v>
      </c>
      <c r="J626">
        <f>(salidas26[[#This Row],[CANT BARRAS]]*salidas26[[#This Row],[PRECIO BARRA]])</f>
        <v>60</v>
      </c>
      <c r="K626">
        <v>60</v>
      </c>
      <c r="L626" t="s">
        <v>496</v>
      </c>
      <c r="M626" t="s">
        <v>628</v>
      </c>
    </row>
    <row r="627" spans="1:13">
      <c r="A627">
        <v>385</v>
      </c>
      <c r="B627">
        <v>6008</v>
      </c>
      <c r="C6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SKYWORTH SUC9350 8L /3B</v>
      </c>
      <c r="D627" s="32">
        <v>46079</v>
      </c>
      <c r="E6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27">
        <v>1</v>
      </c>
      <c r="I627">
        <f>(salidas26[[#This Row],[CANT JUEGOS ]]*salidas26[[#This Row],[PRECIO JUEGO]])</f>
        <v>180</v>
      </c>
      <c r="J627">
        <f>(salidas26[[#This Row],[CANT BARRAS]]*salidas26[[#This Row],[PRECIO BARRA]])</f>
        <v>0</v>
      </c>
      <c r="K627">
        <v>180</v>
      </c>
      <c r="L627" t="s">
        <v>465</v>
      </c>
      <c r="M627" t="s">
        <v>542</v>
      </c>
    </row>
    <row r="628" spans="1:13">
      <c r="A628">
        <v>386</v>
      </c>
      <c r="B628">
        <v>8033</v>
      </c>
      <c r="C6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628" s="32">
        <v>46079</v>
      </c>
      <c r="E6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28">
        <v>1</v>
      </c>
      <c r="I628">
        <f>(salidas26[[#This Row],[CANT JUEGOS ]]*salidas26[[#This Row],[PRECIO JUEGO]])</f>
        <v>150</v>
      </c>
      <c r="J628">
        <f>(salidas26[[#This Row],[CANT BARRAS]]*salidas26[[#This Row],[PRECIO BARRA]])</f>
        <v>0</v>
      </c>
      <c r="K628">
        <v>150</v>
      </c>
      <c r="L628" t="s">
        <v>496</v>
      </c>
      <c r="M628" t="s">
        <v>681</v>
      </c>
    </row>
    <row r="629" spans="1:13">
      <c r="A629">
        <v>387</v>
      </c>
      <c r="B629">
        <v>1015</v>
      </c>
      <c r="C6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629" s="32">
        <v>46079</v>
      </c>
      <c r="E6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629">
        <v>1</v>
      </c>
      <c r="I629">
        <f>(salidas26[[#This Row],[CANT JUEGOS ]]*salidas26[[#This Row],[PRECIO JUEGO]])</f>
        <v>80</v>
      </c>
      <c r="J629">
        <f>(salidas26[[#This Row],[CANT BARRAS]]*salidas26[[#This Row],[PRECIO BARRA]])</f>
        <v>0</v>
      </c>
      <c r="K629">
        <v>80</v>
      </c>
      <c r="L629" t="s">
        <v>465</v>
      </c>
      <c r="M629" t="s">
        <v>682</v>
      </c>
    </row>
    <row r="630" spans="1:13">
      <c r="A630">
        <v>388</v>
      </c>
      <c r="B630">
        <v>8024</v>
      </c>
      <c r="C6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630" s="32">
        <v>46079</v>
      </c>
      <c r="E6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630">
        <v>1</v>
      </c>
      <c r="I630">
        <f>(salidas26[[#This Row],[CANT JUEGOS ]]*salidas26[[#This Row],[PRECIO JUEGO]])</f>
        <v>150</v>
      </c>
      <c r="J630">
        <f>(salidas26[[#This Row],[CANT BARRAS]]*salidas26[[#This Row],[PRECIO BARRA]])</f>
        <v>0</v>
      </c>
      <c r="K630">
        <v>150</v>
      </c>
      <c r="L630" t="s">
        <v>465</v>
      </c>
      <c r="M630" t="s">
        <v>683</v>
      </c>
    </row>
    <row r="631" spans="1:13">
      <c r="A631">
        <v>389</v>
      </c>
      <c r="B631">
        <v>2027</v>
      </c>
      <c r="C6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631" s="32">
        <v>46079</v>
      </c>
      <c r="E6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631">
        <v>1</v>
      </c>
      <c r="I631">
        <f>(salidas26[[#This Row],[CANT JUEGOS ]]*salidas26[[#This Row],[PRECIO JUEGO]])</f>
        <v>180</v>
      </c>
      <c r="J631">
        <f>(salidas26[[#This Row],[CANT BARRAS]]*salidas26[[#This Row],[PRECIO BARRA]])</f>
        <v>0</v>
      </c>
      <c r="K631">
        <v>180</v>
      </c>
      <c r="L631" t="s">
        <v>465</v>
      </c>
      <c r="M631" t="s">
        <v>487</v>
      </c>
    </row>
    <row r="632" spans="1:13">
      <c r="A632">
        <v>390</v>
      </c>
      <c r="B632">
        <v>5012</v>
      </c>
      <c r="C6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KDL-40R455 SONY/10B</v>
      </c>
      <c r="D632" s="32">
        <v>46079</v>
      </c>
      <c r="E6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6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632">
        <v>1</v>
      </c>
      <c r="I632">
        <f>(salidas26[[#This Row],[CANT JUEGOS ]]*salidas26[[#This Row],[PRECIO JUEGO]])</f>
        <v>200</v>
      </c>
      <c r="J632">
        <f>(salidas26[[#This Row],[CANT BARRAS]]*salidas26[[#This Row],[PRECIO BARRA]])</f>
        <v>0</v>
      </c>
      <c r="K632">
        <v>144</v>
      </c>
      <c r="L632" t="s">
        <v>465</v>
      </c>
      <c r="M632" t="s">
        <v>497</v>
      </c>
    </row>
    <row r="633" spans="1:13">
      <c r="A633">
        <v>391</v>
      </c>
      <c r="B633">
        <v>8055</v>
      </c>
      <c r="C6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633" s="32">
        <v>46079</v>
      </c>
      <c r="E6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33">
        <v>1</v>
      </c>
      <c r="I633">
        <f>(salidas26[[#This Row],[CANT JUEGOS ]]*salidas26[[#This Row],[PRECIO JUEGO]])</f>
        <v>180</v>
      </c>
      <c r="J633">
        <f>(salidas26[[#This Row],[CANT BARRAS]]*salidas26[[#This Row],[PRECIO BARRA]])</f>
        <v>0</v>
      </c>
      <c r="K633">
        <v>160</v>
      </c>
      <c r="L633" t="s">
        <v>465</v>
      </c>
      <c r="M633" t="s">
        <v>497</v>
      </c>
    </row>
    <row r="634" spans="1:13">
      <c r="A634">
        <v>392</v>
      </c>
      <c r="B634">
        <v>8021</v>
      </c>
      <c r="C6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634" s="32">
        <v>46079</v>
      </c>
      <c r="E6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34">
        <v>1</v>
      </c>
      <c r="I634">
        <f>(salidas26[[#This Row],[CANT JUEGOS ]]*salidas26[[#This Row],[PRECIO JUEGO]])</f>
        <v>60</v>
      </c>
      <c r="J634">
        <f>(salidas26[[#This Row],[CANT BARRAS]]*salidas26[[#This Row],[PRECIO BARRA]])</f>
        <v>0</v>
      </c>
      <c r="K634">
        <v>48</v>
      </c>
      <c r="L634" t="s">
        <v>465</v>
      </c>
      <c r="M634" t="s">
        <v>497</v>
      </c>
    </row>
    <row r="635" spans="1:13">
      <c r="A635">
        <v>393</v>
      </c>
      <c r="B635">
        <v>4000</v>
      </c>
      <c r="C6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635" s="32">
        <v>46079</v>
      </c>
      <c r="E6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35">
        <v>1</v>
      </c>
      <c r="I635">
        <f>(salidas26[[#This Row],[CANT JUEGOS ]]*salidas26[[#This Row],[PRECIO JUEGO]])</f>
        <v>60</v>
      </c>
      <c r="J635">
        <f>(salidas26[[#This Row],[CANT BARRAS]]*salidas26[[#This Row],[PRECIO BARRA]])</f>
        <v>0</v>
      </c>
      <c r="K635">
        <v>48</v>
      </c>
      <c r="L635" t="s">
        <v>465</v>
      </c>
      <c r="M635" t="s">
        <v>497</v>
      </c>
    </row>
    <row r="636" spans="1:13">
      <c r="A636">
        <v>394</v>
      </c>
      <c r="B636">
        <v>1011</v>
      </c>
      <c r="C6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636" s="32">
        <v>46080</v>
      </c>
      <c r="E6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6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636">
        <v>1</v>
      </c>
      <c r="I636">
        <f>(salidas26[[#This Row],[CANT JUEGOS ]]*salidas26[[#This Row],[PRECIO JUEGO]])</f>
        <v>70</v>
      </c>
      <c r="J636">
        <f>(salidas26[[#This Row],[CANT BARRAS]]*salidas26[[#This Row],[PRECIO BARRA]])</f>
        <v>0</v>
      </c>
      <c r="K636">
        <v>60</v>
      </c>
      <c r="L636" t="s">
        <v>496</v>
      </c>
      <c r="M636" t="s">
        <v>693</v>
      </c>
    </row>
    <row r="637" spans="1:13">
      <c r="A637">
        <v>395</v>
      </c>
      <c r="B637">
        <v>2000</v>
      </c>
      <c r="C6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637" s="32">
        <v>46080</v>
      </c>
      <c r="E6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637">
        <v>1</v>
      </c>
      <c r="I637">
        <f>(salidas26[[#This Row],[CANT JUEGOS ]]*salidas26[[#This Row],[PRECIO JUEGO]])</f>
        <v>80</v>
      </c>
      <c r="J637">
        <f>(salidas26[[#This Row],[CANT BARRAS]]*salidas26[[#This Row],[PRECIO BARRA]])</f>
        <v>0</v>
      </c>
      <c r="K637">
        <v>70</v>
      </c>
      <c r="L637" t="s">
        <v>496</v>
      </c>
      <c r="M637" t="s">
        <v>693</v>
      </c>
    </row>
    <row r="638" spans="1:13">
      <c r="A638">
        <v>396</v>
      </c>
      <c r="B638">
        <v>2107</v>
      </c>
      <c r="C6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AU8000-/4B</v>
      </c>
      <c r="D638" s="32">
        <v>46080</v>
      </c>
      <c r="E6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6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638">
        <v>1</v>
      </c>
      <c r="I638">
        <f>(salidas26[[#This Row],[CANT JUEGOS ]]*salidas26[[#This Row],[PRECIO JUEGO]])</f>
        <v>400</v>
      </c>
      <c r="J638">
        <f>(salidas26[[#This Row],[CANT BARRAS]]*salidas26[[#This Row],[PRECIO BARRA]])</f>
        <v>0</v>
      </c>
      <c r="K638">
        <v>350</v>
      </c>
      <c r="L638" t="s">
        <v>465</v>
      </c>
      <c r="M638" t="s">
        <v>694</v>
      </c>
    </row>
    <row r="639" spans="1:13">
      <c r="A639">
        <v>397</v>
      </c>
      <c r="B639">
        <v>8055</v>
      </c>
      <c r="C6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639" s="32">
        <v>46080</v>
      </c>
      <c r="E6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39">
        <v>1</v>
      </c>
      <c r="I639">
        <f>(salidas26[[#This Row],[CANT JUEGOS ]]*salidas26[[#This Row],[PRECIO JUEGO]])</f>
        <v>180</v>
      </c>
      <c r="J639">
        <f>(salidas26[[#This Row],[CANT BARRAS]]*salidas26[[#This Row],[PRECIO BARRA]])</f>
        <v>0</v>
      </c>
      <c r="K639">
        <v>180</v>
      </c>
      <c r="L639" t="s">
        <v>465</v>
      </c>
      <c r="M639" t="s">
        <v>523</v>
      </c>
    </row>
    <row r="640" spans="1:13">
      <c r="A640">
        <v>398</v>
      </c>
      <c r="B640">
        <v>8090</v>
      </c>
      <c r="C6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TCL /8B/MASTER MGS5502XMG-</v>
      </c>
      <c r="D640" s="32">
        <v>46080</v>
      </c>
      <c r="E6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4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640">
        <v>1</v>
      </c>
      <c r="I640">
        <f>(salidas26[[#This Row],[CANT JUEGOS ]]*salidas26[[#This Row],[PRECIO JUEGO]])</f>
        <v>300</v>
      </c>
      <c r="J640" t="e">
        <f>(salidas26[[#This Row],[CANT BARRAS]]*salidas26[[#This Row],[PRECIO BARRA]])</f>
        <v>#VALUE!</v>
      </c>
      <c r="K640">
        <v>270</v>
      </c>
      <c r="L640" t="s">
        <v>496</v>
      </c>
      <c r="M640" t="s">
        <v>695</v>
      </c>
    </row>
    <row r="641" spans="1:13">
      <c r="A641">
        <v>399</v>
      </c>
      <c r="B641">
        <v>6022</v>
      </c>
      <c r="C6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641" s="32">
        <v>46080</v>
      </c>
      <c r="E6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6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641">
        <v>1</v>
      </c>
      <c r="I641">
        <f>(salidas26[[#This Row],[CANT JUEGOS ]]*salidas26[[#This Row],[PRECIO JUEGO]])</f>
        <v>350</v>
      </c>
      <c r="J641">
        <f>(salidas26[[#This Row],[CANT BARRAS]]*salidas26[[#This Row],[PRECIO BARRA]])</f>
        <v>0</v>
      </c>
      <c r="K641">
        <v>350</v>
      </c>
      <c r="L641" t="s">
        <v>465</v>
      </c>
      <c r="M641" t="s">
        <v>492</v>
      </c>
    </row>
    <row r="642" spans="1:13">
      <c r="A642">
        <v>400</v>
      </c>
      <c r="B642">
        <v>8082</v>
      </c>
      <c r="C6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642" s="32">
        <v>46080</v>
      </c>
      <c r="E6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64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642">
        <v>1</v>
      </c>
      <c r="I642">
        <f>(salidas26[[#This Row],[CANT JUEGOS ]]*salidas26[[#This Row],[PRECIO JUEGO]])</f>
        <v>320</v>
      </c>
      <c r="J642" t="e">
        <f>(salidas26[[#This Row],[CANT BARRAS]]*salidas26[[#This Row],[PRECIO BARRA]])</f>
        <v>#VALUE!</v>
      </c>
      <c r="K642">
        <v>300</v>
      </c>
      <c r="L642" t="s">
        <v>465</v>
      </c>
      <c r="M642" t="s">
        <v>481</v>
      </c>
    </row>
    <row r="643" spans="1:13">
      <c r="A643">
        <v>401</v>
      </c>
      <c r="B643">
        <v>4009</v>
      </c>
      <c r="C6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643" s="32">
        <v>46080</v>
      </c>
      <c r="E6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6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643">
        <v>1</v>
      </c>
      <c r="I643">
        <f>(salidas26[[#This Row],[CANT JUEGOS ]]*salidas26[[#This Row],[PRECIO JUEGO]])</f>
        <v>160</v>
      </c>
      <c r="J643">
        <f>(salidas26[[#This Row],[CANT BARRAS]]*salidas26[[#This Row],[PRECIO BARRA]])</f>
        <v>0</v>
      </c>
      <c r="K643">
        <v>160</v>
      </c>
      <c r="L643" t="s">
        <v>465</v>
      </c>
      <c r="M643" t="s">
        <v>683</v>
      </c>
    </row>
    <row r="644" spans="1:13">
      <c r="A644">
        <v>402</v>
      </c>
      <c r="B644">
        <v>2067</v>
      </c>
      <c r="C6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UN50J5300-50J5500 12B</v>
      </c>
      <c r="D644" s="32">
        <v>46080</v>
      </c>
      <c r="E6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6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644">
        <v>1</v>
      </c>
      <c r="I644">
        <f>(salidas26[[#This Row],[CANT JUEGOS ]]*salidas26[[#This Row],[PRECIO JUEGO]])</f>
        <v>400</v>
      </c>
      <c r="J644">
        <f>(salidas26[[#This Row],[CANT BARRAS]]*salidas26[[#This Row],[PRECIO BARRA]])</f>
        <v>0</v>
      </c>
      <c r="K644">
        <v>300</v>
      </c>
      <c r="L644" t="s">
        <v>496</v>
      </c>
      <c r="M644" t="s">
        <v>471</v>
      </c>
    </row>
    <row r="645" spans="1:13">
      <c r="A645">
        <v>405</v>
      </c>
      <c r="B645">
        <v>4000</v>
      </c>
      <c r="C6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645" s="32">
        <v>46081</v>
      </c>
      <c r="E6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45">
        <v>1</v>
      </c>
      <c r="I645">
        <f>(salidas26[[#This Row],[CANT JUEGOS ]]*salidas26[[#This Row],[PRECIO JUEGO]])</f>
        <v>60</v>
      </c>
      <c r="J645">
        <f>(salidas26[[#This Row],[CANT BARRAS]]*salidas26[[#This Row],[PRECIO BARRA]])</f>
        <v>0</v>
      </c>
      <c r="K645">
        <v>60</v>
      </c>
      <c r="L645" t="s">
        <v>465</v>
      </c>
      <c r="M645" t="s">
        <v>480</v>
      </c>
    </row>
    <row r="646" spans="1:13">
      <c r="A646">
        <v>406</v>
      </c>
      <c r="B646">
        <v>2000</v>
      </c>
      <c r="C6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646" s="32">
        <v>46081</v>
      </c>
      <c r="E6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646">
        <v>1</v>
      </c>
      <c r="I646">
        <f>(salidas26[[#This Row],[CANT JUEGOS ]]*salidas26[[#This Row],[PRECIO JUEGO]])</f>
        <v>80</v>
      </c>
      <c r="J646">
        <f>(salidas26[[#This Row],[CANT BARRAS]]*salidas26[[#This Row],[PRECIO BARRA]])</f>
        <v>0</v>
      </c>
      <c r="K646">
        <v>70</v>
      </c>
      <c r="L646" t="s">
        <v>496</v>
      </c>
      <c r="M646" t="s">
        <v>466</v>
      </c>
    </row>
    <row r="647" spans="1:13">
      <c r="A647">
        <v>407</v>
      </c>
      <c r="B647">
        <v>8033</v>
      </c>
      <c r="C6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647" s="32">
        <v>46081</v>
      </c>
      <c r="E6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47">
        <v>1</v>
      </c>
      <c r="I647">
        <f>(salidas26[[#This Row],[CANT JUEGOS ]]*salidas26[[#This Row],[PRECIO JUEGO]])</f>
        <v>150</v>
      </c>
      <c r="J647">
        <f>(salidas26[[#This Row],[CANT BARRAS]]*salidas26[[#This Row],[PRECIO BARRA]])</f>
        <v>0</v>
      </c>
      <c r="K647">
        <v>140</v>
      </c>
      <c r="L647" t="s">
        <v>465</v>
      </c>
      <c r="M647" t="s">
        <v>698</v>
      </c>
    </row>
    <row r="648" spans="1:13">
      <c r="A648">
        <v>408</v>
      </c>
      <c r="B648">
        <v>1139</v>
      </c>
      <c r="C6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UM 8L 4B EL JUEGO</v>
      </c>
      <c r="D648" s="32">
        <v>46081</v>
      </c>
      <c r="E6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6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80</v>
      </c>
      <c r="G648">
        <v>1</v>
      </c>
      <c r="I648">
        <f>(salidas26[[#This Row],[CANT JUEGOS ]]*salidas26[[#This Row],[PRECIO JUEGO]])</f>
        <v>320</v>
      </c>
      <c r="J648">
        <f>(salidas26[[#This Row],[CANT BARRAS]]*salidas26[[#This Row],[PRECIO BARRA]])</f>
        <v>0</v>
      </c>
      <c r="K648">
        <v>320</v>
      </c>
      <c r="L648" t="s">
        <v>465</v>
      </c>
      <c r="M648" t="s">
        <v>469</v>
      </c>
    </row>
    <row r="649" spans="1:13">
      <c r="A649">
        <v>409</v>
      </c>
      <c r="B649">
        <v>7015</v>
      </c>
      <c r="C6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649" s="32">
        <v>46081</v>
      </c>
      <c r="E6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6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49">
        <v>1</v>
      </c>
      <c r="I649">
        <f>(salidas26[[#This Row],[CANT JUEGOS ]]*salidas26[[#This Row],[PRECIO JUEGO]])</f>
        <v>200</v>
      </c>
      <c r="J649">
        <f>(salidas26[[#This Row],[CANT BARRAS]]*salidas26[[#This Row],[PRECIO BARRA]])</f>
        <v>0</v>
      </c>
      <c r="K649">
        <v>220</v>
      </c>
      <c r="L649" t="s">
        <v>496</v>
      </c>
      <c r="M649" t="s">
        <v>542</v>
      </c>
    </row>
    <row r="650" spans="1:13">
      <c r="A650">
        <v>410</v>
      </c>
      <c r="B650">
        <v>1099</v>
      </c>
      <c r="C6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49UJ6560-LUPA GIGANTE/4B</v>
      </c>
      <c r="D650" s="32">
        <v>46081</v>
      </c>
      <c r="E6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6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650">
        <v>1</v>
      </c>
      <c r="I650">
        <f>(salidas26[[#This Row],[CANT JUEGOS ]]*salidas26[[#This Row],[PRECIO JUEGO]])</f>
        <v>220</v>
      </c>
      <c r="J650">
        <f>(salidas26[[#This Row],[CANT BARRAS]]*salidas26[[#This Row],[PRECIO BARRA]])</f>
        <v>0</v>
      </c>
      <c r="K650">
        <v>220</v>
      </c>
      <c r="L650" t="s">
        <v>465</v>
      </c>
      <c r="M650" t="s">
        <v>466</v>
      </c>
    </row>
    <row r="651" spans="1:13">
      <c r="A651">
        <v>411</v>
      </c>
      <c r="B651">
        <v>8006</v>
      </c>
      <c r="C6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27 PULG</v>
      </c>
      <c r="D651" s="32">
        <v>46081</v>
      </c>
      <c r="E6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651">
        <v>1</v>
      </c>
      <c r="I651">
        <f>(salidas26[[#This Row],[CANT JUEGOS ]]*salidas26[[#This Row],[PRECIO JUEGO]])</f>
        <v>80</v>
      </c>
      <c r="J651">
        <f>(salidas26[[#This Row],[CANT BARRAS]]*salidas26[[#This Row],[PRECIO BARRA]])</f>
        <v>0</v>
      </c>
      <c r="K651">
        <v>50</v>
      </c>
      <c r="L651" s="18" t="s">
        <v>496</v>
      </c>
      <c r="M651" t="s">
        <v>471</v>
      </c>
    </row>
    <row r="652" spans="1:13">
      <c r="A652">
        <v>412</v>
      </c>
      <c r="B652">
        <v>6022</v>
      </c>
      <c r="C6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652" s="32">
        <v>46081</v>
      </c>
      <c r="E6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6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652">
        <v>2</v>
      </c>
      <c r="I652">
        <f>(salidas26[[#This Row],[CANT JUEGOS ]]*salidas26[[#This Row],[PRECIO JUEGO]])</f>
        <v>700</v>
      </c>
      <c r="J652">
        <f>(salidas26[[#This Row],[CANT BARRAS]]*salidas26[[#This Row],[PRECIO BARRA]])</f>
        <v>0</v>
      </c>
      <c r="K652">
        <v>560</v>
      </c>
      <c r="L652" t="s">
        <v>699</v>
      </c>
      <c r="M652" t="s">
        <v>635</v>
      </c>
    </row>
    <row r="653" spans="1:13">
      <c r="A653">
        <v>413</v>
      </c>
      <c r="B653">
        <v>8124</v>
      </c>
      <c r="C6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653" s="32">
        <v>46081</v>
      </c>
      <c r="E6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6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G653">
        <v>20</v>
      </c>
      <c r="I653">
        <f>(salidas26[[#This Row],[CANT JUEGOS ]]*salidas26[[#This Row],[PRECIO JUEGO]])</f>
        <v>70</v>
      </c>
      <c r="J653">
        <f>(salidas26[[#This Row],[CANT BARRAS]]*salidas26[[#This Row],[PRECIO BARRA]])</f>
        <v>0</v>
      </c>
      <c r="K653">
        <v>70</v>
      </c>
      <c r="L653" t="s">
        <v>465</v>
      </c>
      <c r="M653" t="s">
        <v>481</v>
      </c>
    </row>
    <row r="654" spans="1:13">
      <c r="A654">
        <v>414</v>
      </c>
      <c r="B654">
        <v>2040</v>
      </c>
      <c r="C6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UN48H6400-48J6400/12B</v>
      </c>
      <c r="D654" s="32">
        <v>46081</v>
      </c>
      <c r="E6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360</v>
      </c>
      <c r="F6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54">
        <v>1</v>
      </c>
      <c r="I654">
        <f>(salidas26[[#This Row],[CANT JUEGOS ]]*salidas26[[#This Row],[PRECIO JUEGO]])</f>
        <v>360</v>
      </c>
      <c r="J654">
        <f>(salidas26[[#This Row],[CANT BARRAS]]*salidas26[[#This Row],[PRECIO BARRA]])</f>
        <v>0</v>
      </c>
      <c r="K654">
        <v>250</v>
      </c>
      <c r="L654" t="s">
        <v>564</v>
      </c>
      <c r="M654" t="s">
        <v>700</v>
      </c>
    </row>
    <row r="655" spans="1:13">
      <c r="A655">
        <v>415</v>
      </c>
      <c r="B655">
        <v>4000</v>
      </c>
      <c r="C6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655" s="32">
        <v>46081</v>
      </c>
      <c r="E6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55">
        <v>1</v>
      </c>
      <c r="I655">
        <f>(salidas26[[#This Row],[CANT JUEGOS ]]*salidas26[[#This Row],[PRECIO JUEGO]])</f>
        <v>60</v>
      </c>
      <c r="J655">
        <f>(salidas26[[#This Row],[CANT BARRAS]]*salidas26[[#This Row],[PRECIO BARRA]])</f>
        <v>0</v>
      </c>
      <c r="K655">
        <v>60</v>
      </c>
      <c r="L655" t="s">
        <v>564</v>
      </c>
      <c r="M655" t="s">
        <v>470</v>
      </c>
    </row>
    <row r="656" spans="1:13">
      <c r="A656">
        <v>416</v>
      </c>
      <c r="B656">
        <v>2012</v>
      </c>
      <c r="C6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656" s="32">
        <v>46081</v>
      </c>
      <c r="E6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6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656">
        <v>1</v>
      </c>
      <c r="I656">
        <f>(salidas26[[#This Row],[CANT JUEGOS ]]*salidas26[[#This Row],[PRECIO JUEGO]])</f>
        <v>160</v>
      </c>
      <c r="J656">
        <f>(salidas26[[#This Row],[CANT BARRAS]]*salidas26[[#This Row],[PRECIO BARRA]])</f>
        <v>0</v>
      </c>
      <c r="K656">
        <v>150</v>
      </c>
      <c r="L656" t="s">
        <v>465</v>
      </c>
      <c r="M656" t="s">
        <v>701</v>
      </c>
    </row>
    <row r="657" spans="1:13">
      <c r="A657">
        <v>417</v>
      </c>
      <c r="B657">
        <v>8033</v>
      </c>
      <c r="C6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657" s="32">
        <v>46083</v>
      </c>
      <c r="E6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57">
        <v>1</v>
      </c>
      <c r="I657">
        <f>(salidas26[[#This Row],[CANT JUEGOS ]]*salidas26[[#This Row],[PRECIO JUEGO]])</f>
        <v>150</v>
      </c>
      <c r="J657">
        <f>(salidas26[[#This Row],[CANT BARRAS]]*salidas26[[#This Row],[PRECIO BARRA]])</f>
        <v>0</v>
      </c>
      <c r="K657">
        <v>150</v>
      </c>
      <c r="L657" t="s">
        <v>465</v>
      </c>
      <c r="M657" t="s">
        <v>482</v>
      </c>
    </row>
    <row r="658" spans="1:13">
      <c r="A658">
        <v>418</v>
      </c>
      <c r="B658">
        <v>4003</v>
      </c>
      <c r="C6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658" s="32">
        <v>46083</v>
      </c>
      <c r="E6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6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58">
        <v>1</v>
      </c>
      <c r="I658">
        <f>(salidas26[[#This Row],[CANT JUEGOS ]]*salidas26[[#This Row],[PRECIO JUEGO]])</f>
        <v>90</v>
      </c>
      <c r="J658">
        <f>(salidas26[[#This Row],[CANT BARRAS]]*salidas26[[#This Row],[PRECIO BARRA]])</f>
        <v>0</v>
      </c>
      <c r="K658">
        <v>70</v>
      </c>
      <c r="L658" t="s">
        <v>496</v>
      </c>
      <c r="M658" t="s">
        <v>482</v>
      </c>
    </row>
    <row r="659" spans="1:13">
      <c r="A659">
        <v>419</v>
      </c>
      <c r="B659">
        <v>8055</v>
      </c>
      <c r="C6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659" s="32">
        <v>46083</v>
      </c>
      <c r="E6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59">
        <v>1</v>
      </c>
      <c r="I659">
        <f>(salidas26[[#This Row],[CANT JUEGOS ]]*salidas26[[#This Row],[PRECIO JUEGO]])</f>
        <v>180</v>
      </c>
      <c r="J659">
        <f>(salidas26[[#This Row],[CANT BARRAS]]*salidas26[[#This Row],[PRECIO BARRA]])</f>
        <v>0</v>
      </c>
      <c r="K659">
        <v>180</v>
      </c>
      <c r="L659" t="s">
        <v>465</v>
      </c>
      <c r="M659" t="s">
        <v>523</v>
      </c>
    </row>
    <row r="660" spans="1:13">
      <c r="A660">
        <v>420</v>
      </c>
      <c r="B660">
        <v>8100</v>
      </c>
      <c r="C6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660" s="32">
        <v>46083</v>
      </c>
      <c r="E6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60">
        <v>1</v>
      </c>
      <c r="I660">
        <f>(salidas26[[#This Row],[CANT JUEGOS ]]*salidas26[[#This Row],[PRECIO JUEGO]])</f>
        <v>300</v>
      </c>
      <c r="J660">
        <f>(salidas26[[#This Row],[CANT BARRAS]]*salidas26[[#This Row],[PRECIO BARRA]])</f>
        <v>0</v>
      </c>
      <c r="K660">
        <v>240</v>
      </c>
      <c r="L660" t="s">
        <v>465</v>
      </c>
      <c r="M660" t="s">
        <v>702</v>
      </c>
    </row>
    <row r="661" spans="1:13">
      <c r="A661">
        <v>421</v>
      </c>
      <c r="B661">
        <v>4000</v>
      </c>
      <c r="C6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661" s="32">
        <v>46083</v>
      </c>
      <c r="E6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61">
        <v>2</v>
      </c>
      <c r="I661">
        <f>(salidas26[[#This Row],[CANT JUEGOS ]]*salidas26[[#This Row],[PRECIO JUEGO]])</f>
        <v>120</v>
      </c>
      <c r="J661">
        <f>(salidas26[[#This Row],[CANT BARRAS]]*salidas26[[#This Row],[PRECIO BARRA]])</f>
        <v>0</v>
      </c>
      <c r="K661">
        <v>96</v>
      </c>
      <c r="L661" t="s">
        <v>465</v>
      </c>
      <c r="M661" t="s">
        <v>702</v>
      </c>
    </row>
    <row r="662" spans="1:13">
      <c r="A662">
        <v>422</v>
      </c>
      <c r="B662">
        <v>1132</v>
      </c>
      <c r="C6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662" s="32">
        <v>46083</v>
      </c>
      <c r="E6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6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662">
        <v>1</v>
      </c>
      <c r="I662">
        <f>(salidas26[[#This Row],[CANT JUEGOS ]]*salidas26[[#This Row],[PRECIO JUEGO]])</f>
        <v>260</v>
      </c>
      <c r="J662">
        <f>(salidas26[[#This Row],[CANT BARRAS]]*salidas26[[#This Row],[PRECIO BARRA]])</f>
        <v>0</v>
      </c>
      <c r="K662">
        <v>237</v>
      </c>
      <c r="L662" s="18" t="s">
        <v>496</v>
      </c>
      <c r="M662" t="s">
        <v>509</v>
      </c>
    </row>
    <row r="663" spans="1:13">
      <c r="A663">
        <v>423</v>
      </c>
      <c r="B663">
        <v>1012</v>
      </c>
      <c r="C6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663" s="32">
        <v>46083</v>
      </c>
      <c r="E6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6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63">
        <v>1</v>
      </c>
      <c r="I663">
        <f>(salidas26[[#This Row],[CANT JUEGOS ]]*salidas26[[#This Row],[PRECIO JUEGO]])</f>
        <v>90</v>
      </c>
      <c r="J663">
        <f>(salidas26[[#This Row],[CANT BARRAS]]*salidas26[[#This Row],[PRECIO BARRA]])</f>
        <v>0</v>
      </c>
      <c r="K663">
        <v>90</v>
      </c>
      <c r="L663" t="s">
        <v>465</v>
      </c>
      <c r="M663" t="s">
        <v>469</v>
      </c>
    </row>
    <row r="664" spans="1:13">
      <c r="A664">
        <v>425</v>
      </c>
      <c r="B664">
        <v>5010</v>
      </c>
      <c r="C6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664" s="32">
        <v>46083</v>
      </c>
      <c r="E6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664">
        <v>1</v>
      </c>
      <c r="I664">
        <f>(salidas26[[#This Row],[CANT JUEGOS ]]*salidas26[[#This Row],[PRECIO JUEGO]])</f>
        <v>180</v>
      </c>
      <c r="J664">
        <f>(salidas26[[#This Row],[CANT BARRAS]]*salidas26[[#This Row],[PRECIO BARRA]])</f>
        <v>0</v>
      </c>
      <c r="K664">
        <v>180</v>
      </c>
      <c r="L664" t="s">
        <v>465</v>
      </c>
      <c r="M664" t="s">
        <v>481</v>
      </c>
    </row>
    <row r="665" spans="1:13">
      <c r="A665">
        <v>426</v>
      </c>
      <c r="B665">
        <v>2063</v>
      </c>
      <c r="C6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665" s="32">
        <v>46084</v>
      </c>
      <c r="E6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665">
        <v>1</v>
      </c>
      <c r="I665">
        <f>(salidas26[[#This Row],[CANT JUEGOS ]]*salidas26[[#This Row],[PRECIO JUEGO]])</f>
        <v>180</v>
      </c>
      <c r="J665">
        <f>(salidas26[[#This Row],[CANT BARRAS]]*salidas26[[#This Row],[PRECIO BARRA]])</f>
        <v>0</v>
      </c>
      <c r="K665">
        <v>180</v>
      </c>
      <c r="L665" t="s">
        <v>465</v>
      </c>
      <c r="M665" t="s">
        <v>507</v>
      </c>
    </row>
    <row r="666" spans="1:13">
      <c r="A666">
        <v>427</v>
      </c>
      <c r="B666">
        <v>1111</v>
      </c>
      <c r="C6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UK 6300-UM7100 /3B</v>
      </c>
      <c r="D666" s="32">
        <v>46084</v>
      </c>
      <c r="E6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6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93.333333333333329</v>
      </c>
      <c r="G666">
        <v>1</v>
      </c>
      <c r="I666">
        <f>(salidas26[[#This Row],[CANT JUEGOS ]]*salidas26[[#This Row],[PRECIO JUEGO]])</f>
        <v>280</v>
      </c>
      <c r="J666">
        <f>(salidas26[[#This Row],[CANT BARRAS]]*salidas26[[#This Row],[PRECIO BARRA]])</f>
        <v>0</v>
      </c>
      <c r="K666">
        <v>300</v>
      </c>
      <c r="L666" t="s">
        <v>465</v>
      </c>
      <c r="M666" t="s">
        <v>628</v>
      </c>
    </row>
    <row r="667" spans="1:13">
      <c r="A667">
        <v>428</v>
      </c>
      <c r="B667">
        <v>7018</v>
      </c>
      <c r="C6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IRT 5L/3V KONKA- CROWN-TV5577SD/9L/9B</v>
      </c>
      <c r="D667" s="32">
        <v>46084</v>
      </c>
      <c r="E6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6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H667">
        <v>2</v>
      </c>
      <c r="I667">
        <f>(salidas26[[#This Row],[CANT JUEGOS ]]*salidas26[[#This Row],[PRECIO JUEGO]])</f>
        <v>0</v>
      </c>
      <c r="J667">
        <f>(salidas26[[#This Row],[CANT BARRAS]]*salidas26[[#This Row],[PRECIO BARRA]])</f>
        <v>62.222222222222221</v>
      </c>
      <c r="K667">
        <v>60</v>
      </c>
      <c r="L667" t="s">
        <v>496</v>
      </c>
      <c r="M667" t="s">
        <v>542</v>
      </c>
    </row>
    <row r="668" spans="1:13">
      <c r="A668">
        <v>429</v>
      </c>
      <c r="B668">
        <v>4000</v>
      </c>
      <c r="C6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668" s="32">
        <v>46084</v>
      </c>
      <c r="E6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68">
        <v>1</v>
      </c>
      <c r="I668">
        <f>(salidas26[[#This Row],[CANT JUEGOS ]]*salidas26[[#This Row],[PRECIO JUEGO]])</f>
        <v>60</v>
      </c>
      <c r="J668">
        <f>(salidas26[[#This Row],[CANT BARRAS]]*salidas26[[#This Row],[PRECIO BARRA]])</f>
        <v>0</v>
      </c>
      <c r="K668">
        <v>50</v>
      </c>
      <c r="L668" t="s">
        <v>465</v>
      </c>
      <c r="M668" t="s">
        <v>595</v>
      </c>
    </row>
    <row r="669" spans="1:13">
      <c r="A669">
        <v>430</v>
      </c>
      <c r="B669">
        <v>8033</v>
      </c>
      <c r="C6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669" s="32">
        <v>46084</v>
      </c>
      <c r="E6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669">
        <v>1</v>
      </c>
      <c r="I669">
        <f>(salidas26[[#This Row],[CANT JUEGOS ]]*salidas26[[#This Row],[PRECIO JUEGO]])</f>
        <v>150</v>
      </c>
      <c r="J669">
        <f>(salidas26[[#This Row],[CANT BARRAS]]*salidas26[[#This Row],[PRECIO BARRA]])</f>
        <v>0</v>
      </c>
      <c r="K669">
        <v>140</v>
      </c>
      <c r="M669" t="s">
        <v>703</v>
      </c>
    </row>
    <row r="670" spans="1:13">
      <c r="A670">
        <v>431</v>
      </c>
      <c r="B670">
        <v>3028</v>
      </c>
      <c r="C6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55U6500 8L/14B</v>
      </c>
      <c r="D670" s="32">
        <v>46084</v>
      </c>
      <c r="E6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6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670">
        <v>1</v>
      </c>
      <c r="I670">
        <f>(salidas26[[#This Row],[CANT JUEGOS ]]*salidas26[[#This Row],[PRECIO JUEGO]])</f>
        <v>350</v>
      </c>
      <c r="J670">
        <f>(salidas26[[#This Row],[CANT BARRAS]]*salidas26[[#This Row],[PRECIO BARRA]])</f>
        <v>0</v>
      </c>
      <c r="K670">
        <v>340</v>
      </c>
      <c r="M670" t="s">
        <v>536</v>
      </c>
    </row>
    <row r="671" spans="1:13">
      <c r="A671">
        <v>432</v>
      </c>
      <c r="B671">
        <v>1064</v>
      </c>
      <c r="C6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43LK540 8B/3V</v>
      </c>
      <c r="D671" s="32">
        <v>46084</v>
      </c>
      <c r="E6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671">
        <v>1</v>
      </c>
      <c r="I671">
        <f>(salidas26[[#This Row],[CANT JUEGOS ]]*salidas26[[#This Row],[PRECIO JUEGO]])</f>
        <v>180</v>
      </c>
      <c r="J671">
        <f>(salidas26[[#This Row],[CANT BARRAS]]*salidas26[[#This Row],[PRECIO BARRA]])</f>
        <v>0</v>
      </c>
      <c r="K671">
        <v>140</v>
      </c>
    </row>
    <row r="672" spans="1:13">
      <c r="A672">
        <v>433</v>
      </c>
      <c r="B672">
        <v>8124</v>
      </c>
      <c r="C6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672" s="32">
        <v>46084</v>
      </c>
      <c r="E6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6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672">
        <v>20</v>
      </c>
      <c r="I672">
        <f>(salidas26[[#This Row],[CANT JUEGOS ]]*salidas26[[#This Row],[PRECIO JUEGO]])</f>
        <v>0</v>
      </c>
      <c r="J672">
        <f>(salidas26[[#This Row],[CANT BARRAS]]*salidas26[[#This Row],[PRECIO BARRA]])</f>
        <v>70</v>
      </c>
      <c r="K672">
        <v>60</v>
      </c>
    </row>
    <row r="673" spans="1:13">
      <c r="A673">
        <v>434</v>
      </c>
      <c r="B673">
        <v>8130</v>
      </c>
      <c r="C6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673" s="32">
        <v>46084</v>
      </c>
      <c r="E6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6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673">
        <v>20</v>
      </c>
      <c r="I673">
        <f>(salidas26[[#This Row],[CANT JUEGOS ]]*salidas26[[#This Row],[PRECIO JUEGO]])</f>
        <v>0</v>
      </c>
      <c r="J673">
        <f>(salidas26[[#This Row],[CANT BARRAS]]*salidas26[[#This Row],[PRECIO BARRA]])</f>
        <v>70</v>
      </c>
      <c r="K673">
        <v>60</v>
      </c>
    </row>
    <row r="674" spans="1:13">
      <c r="A674">
        <v>435</v>
      </c>
      <c r="B674">
        <v>2051</v>
      </c>
      <c r="C6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674" s="32">
        <v>46084</v>
      </c>
      <c r="E6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6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674">
        <v>1</v>
      </c>
      <c r="I674">
        <f>(salidas26[[#This Row],[CANT JUEGOS ]]*salidas26[[#This Row],[PRECIO JUEGO]])</f>
        <v>260</v>
      </c>
      <c r="J674">
        <f>(salidas26[[#This Row],[CANT BARRAS]]*salidas26[[#This Row],[PRECIO BARRA]])</f>
        <v>0</v>
      </c>
      <c r="K674">
        <v>240</v>
      </c>
      <c r="L674" t="s">
        <v>496</v>
      </c>
    </row>
    <row r="675" spans="1:13">
      <c r="A675">
        <v>436</v>
      </c>
      <c r="B675">
        <v>2012</v>
      </c>
      <c r="C6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675" s="32">
        <v>46084</v>
      </c>
      <c r="E6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6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675">
        <v>1</v>
      </c>
      <c r="I675">
        <f>(salidas26[[#This Row],[CANT JUEGOS ]]*salidas26[[#This Row],[PRECIO JUEGO]])</f>
        <v>160</v>
      </c>
      <c r="J675">
        <f>(salidas26[[#This Row],[CANT BARRAS]]*salidas26[[#This Row],[PRECIO BARRA]])</f>
        <v>0</v>
      </c>
      <c r="K675">
        <v>160</v>
      </c>
      <c r="M675" t="s">
        <v>704</v>
      </c>
    </row>
    <row r="676" spans="1:13">
      <c r="A676">
        <v>437</v>
      </c>
      <c r="B676">
        <v>2087</v>
      </c>
      <c r="C6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676" s="32">
        <v>46084</v>
      </c>
      <c r="E6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6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676">
        <v>1</v>
      </c>
      <c r="I676">
        <f>(salidas26[[#This Row],[CANT JUEGOS ]]*salidas26[[#This Row],[PRECIO JUEGO]])</f>
        <v>240</v>
      </c>
      <c r="J676">
        <f>(salidas26[[#This Row],[CANT BARRAS]]*salidas26[[#This Row],[PRECIO BARRA]])</f>
        <v>0</v>
      </c>
      <c r="K676">
        <v>220</v>
      </c>
      <c r="L676" t="s">
        <v>496</v>
      </c>
      <c r="M676" t="s">
        <v>705</v>
      </c>
    </row>
    <row r="677" spans="1:13">
      <c r="A677">
        <v>439</v>
      </c>
      <c r="B677">
        <v>1024</v>
      </c>
      <c r="C6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677" s="32">
        <v>46084</v>
      </c>
      <c r="E6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6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677">
        <v>1</v>
      </c>
      <c r="I677">
        <f>(salidas26[[#This Row],[CANT JUEGOS ]]*salidas26[[#This Row],[PRECIO JUEGO]])</f>
        <v>100</v>
      </c>
      <c r="J677">
        <f>(salidas26[[#This Row],[CANT BARRAS]]*salidas26[[#This Row],[PRECIO BARRA]])</f>
        <v>0</v>
      </c>
      <c r="K677">
        <v>100</v>
      </c>
      <c r="L677" t="s">
        <v>496</v>
      </c>
    </row>
    <row r="678" spans="1:13">
      <c r="A678">
        <v>440</v>
      </c>
      <c r="B678">
        <v>8074</v>
      </c>
      <c r="C6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PULG</v>
      </c>
      <c r="D678" s="32">
        <v>46084</v>
      </c>
      <c r="E6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6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678">
        <v>1</v>
      </c>
      <c r="I678">
        <f>(salidas26[[#This Row],[CANT JUEGOS ]]*salidas26[[#This Row],[PRECIO JUEGO]])</f>
        <v>280</v>
      </c>
      <c r="J678">
        <f>(salidas26[[#This Row],[CANT BARRAS]]*salidas26[[#This Row],[PRECIO BARRA]])</f>
        <v>0</v>
      </c>
      <c r="K678">
        <v>280</v>
      </c>
      <c r="L678" t="s">
        <v>496</v>
      </c>
    </row>
    <row r="679" spans="1:13">
      <c r="B679">
        <v>2095</v>
      </c>
      <c r="C6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679" s="32">
        <v>46085</v>
      </c>
      <c r="E6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6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679">
        <v>1</v>
      </c>
      <c r="I679">
        <f>(salidas26[[#This Row],[CANT JUEGOS ]]*salidas26[[#This Row],[PRECIO JUEGO]])</f>
        <v>250</v>
      </c>
      <c r="J679">
        <f>(salidas26[[#This Row],[CANT BARRAS]]*salidas26[[#This Row],[PRECIO BARRA]])</f>
        <v>0</v>
      </c>
      <c r="K679">
        <v>250</v>
      </c>
      <c r="L679" t="s">
        <v>496</v>
      </c>
      <c r="M679" t="s">
        <v>469</v>
      </c>
    </row>
    <row r="680" spans="1:13">
      <c r="B680">
        <v>8090</v>
      </c>
      <c r="C6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TCL /8B/MASTER MGS5502XMG-</v>
      </c>
      <c r="D680" s="32">
        <v>46086</v>
      </c>
      <c r="E6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8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680">
        <v>1</v>
      </c>
      <c r="I680">
        <f>(salidas26[[#This Row],[CANT JUEGOS ]]*salidas26[[#This Row],[PRECIO JUEGO]])</f>
        <v>300</v>
      </c>
      <c r="J680" t="e">
        <f>(salidas26[[#This Row],[CANT BARRAS]]*salidas26[[#This Row],[PRECIO BARRA]])</f>
        <v>#VALUE!</v>
      </c>
      <c r="K680">
        <v>280</v>
      </c>
      <c r="L680" t="s">
        <v>465</v>
      </c>
      <c r="M680" t="s">
        <v>481</v>
      </c>
    </row>
    <row r="681" spans="1:13">
      <c r="A681">
        <v>443</v>
      </c>
      <c r="B681">
        <v>6015</v>
      </c>
      <c r="C6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681" s="32">
        <v>46086</v>
      </c>
      <c r="E6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6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681">
        <v>1</v>
      </c>
      <c r="I681">
        <f>(salidas26[[#This Row],[CANT JUEGOS ]]*salidas26[[#This Row],[PRECIO JUEGO]])</f>
        <v>220</v>
      </c>
      <c r="J681">
        <f>(salidas26[[#This Row],[CANT BARRAS]]*salidas26[[#This Row],[PRECIO BARRA]])</f>
        <v>0</v>
      </c>
      <c r="K681">
        <v>154</v>
      </c>
      <c r="L681" t="s">
        <v>465</v>
      </c>
      <c r="M681" t="s">
        <v>471</v>
      </c>
    </row>
    <row r="682" spans="1:13">
      <c r="B682">
        <v>6007</v>
      </c>
      <c r="C6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TB70000 SKYWORTH 3B</v>
      </c>
      <c r="D682" s="32">
        <v>46086</v>
      </c>
      <c r="E6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82">
        <v>1</v>
      </c>
      <c r="I682">
        <f>(salidas26[[#This Row],[CANT JUEGOS ]]*salidas26[[#This Row],[PRECIO JUEGO]])</f>
        <v>180</v>
      </c>
      <c r="J682">
        <f>(salidas26[[#This Row],[CANT BARRAS]]*salidas26[[#This Row],[PRECIO BARRA]])</f>
        <v>0</v>
      </c>
      <c r="K682">
        <v>180</v>
      </c>
      <c r="L682" t="s">
        <v>496</v>
      </c>
      <c r="M682" t="s">
        <v>566</v>
      </c>
    </row>
    <row r="683" spans="1:13">
      <c r="B683">
        <v>1012</v>
      </c>
      <c r="C6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683" s="32">
        <v>46086</v>
      </c>
      <c r="E6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6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83">
        <v>1</v>
      </c>
      <c r="I683">
        <f>(salidas26[[#This Row],[CANT JUEGOS ]]*salidas26[[#This Row],[PRECIO JUEGO]])</f>
        <v>90</v>
      </c>
      <c r="J683">
        <f>(salidas26[[#This Row],[CANT BARRAS]]*salidas26[[#This Row],[PRECIO BARRA]])</f>
        <v>0</v>
      </c>
      <c r="K683">
        <v>90</v>
      </c>
      <c r="L683" t="s">
        <v>496</v>
      </c>
      <c r="M683" t="s">
        <v>706</v>
      </c>
    </row>
    <row r="684" spans="1:13">
      <c r="B684">
        <v>5010</v>
      </c>
      <c r="C6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684" s="32">
        <v>46086</v>
      </c>
      <c r="E6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684">
        <v>1</v>
      </c>
      <c r="I684">
        <f>(salidas26[[#This Row],[CANT JUEGOS ]]*salidas26[[#This Row],[PRECIO JUEGO]])</f>
        <v>180</v>
      </c>
      <c r="J684">
        <f>(salidas26[[#This Row],[CANT BARRAS]]*salidas26[[#This Row],[PRECIO BARRA]])</f>
        <v>0</v>
      </c>
      <c r="K684">
        <v>170</v>
      </c>
      <c r="L684" t="s">
        <v>465</v>
      </c>
      <c r="M684" t="s">
        <v>707</v>
      </c>
    </row>
    <row r="685" spans="1:13">
      <c r="B685">
        <v>5006</v>
      </c>
      <c r="C6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685" s="32">
        <v>46086</v>
      </c>
      <c r="E6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6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85">
        <v>1</v>
      </c>
      <c r="I685">
        <f>(salidas26[[#This Row],[CANT JUEGOS ]]*salidas26[[#This Row],[PRECIO JUEGO]])</f>
        <v>90</v>
      </c>
      <c r="J685">
        <f>(salidas26[[#This Row],[CANT BARRAS]]*salidas26[[#This Row],[PRECIO BARRA]])</f>
        <v>0</v>
      </c>
      <c r="K685">
        <v>72</v>
      </c>
      <c r="L685" t="s">
        <v>465</v>
      </c>
      <c r="M685" t="s">
        <v>497</v>
      </c>
    </row>
    <row r="686" spans="1:13">
      <c r="B686">
        <v>2097</v>
      </c>
      <c r="C6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686" s="32">
        <v>46086</v>
      </c>
      <c r="E6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6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686">
        <v>1</v>
      </c>
      <c r="I686">
        <f>(salidas26[[#This Row],[CANT JUEGOS ]]*salidas26[[#This Row],[PRECIO JUEGO]])</f>
        <v>320</v>
      </c>
      <c r="J686">
        <f>(salidas26[[#This Row],[CANT BARRAS]]*salidas26[[#This Row],[PRECIO BARRA]])</f>
        <v>0</v>
      </c>
      <c r="K686">
        <v>280</v>
      </c>
      <c r="L686" t="s">
        <v>465</v>
      </c>
      <c r="M686" t="s">
        <v>497</v>
      </c>
    </row>
    <row r="687" spans="1:13">
      <c r="B687">
        <v>1036</v>
      </c>
      <c r="C6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687" s="32">
        <v>46086</v>
      </c>
      <c r="E6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687">
        <v>1</v>
      </c>
      <c r="I687">
        <f>(salidas26[[#This Row],[CANT JUEGOS ]]*salidas26[[#This Row],[PRECIO JUEGO]])</f>
        <v>180</v>
      </c>
      <c r="J687">
        <f>(salidas26[[#This Row],[CANT BARRAS]]*salidas26[[#This Row],[PRECIO BARRA]])</f>
        <v>0</v>
      </c>
      <c r="K687">
        <v>160</v>
      </c>
      <c r="L687" t="s">
        <v>465</v>
      </c>
      <c r="M687" t="s">
        <v>497</v>
      </c>
    </row>
    <row r="688" spans="1:13">
      <c r="B688">
        <v>5002</v>
      </c>
      <c r="C6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688" s="32">
        <v>46086</v>
      </c>
      <c r="E6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6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88">
        <v>1</v>
      </c>
      <c r="I688">
        <f>(salidas26[[#This Row],[CANT JUEGOS ]]*salidas26[[#This Row],[PRECIO JUEGO]])</f>
        <v>90</v>
      </c>
      <c r="J688">
        <f>(salidas26[[#This Row],[CANT BARRAS]]*salidas26[[#This Row],[PRECIO BARRA]])</f>
        <v>0</v>
      </c>
      <c r="K688">
        <v>90</v>
      </c>
      <c r="L688" t="s">
        <v>496</v>
      </c>
      <c r="M688" t="s">
        <v>466</v>
      </c>
    </row>
    <row r="689" spans="1:13">
      <c r="B689">
        <v>6000</v>
      </c>
      <c r="C6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689" s="32">
        <v>46086</v>
      </c>
      <c r="E6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89">
        <v>1</v>
      </c>
      <c r="I689">
        <f>(salidas26[[#This Row],[CANT JUEGOS ]]*salidas26[[#This Row],[PRECIO JUEGO]])</f>
        <v>60</v>
      </c>
      <c r="J689">
        <f>(salidas26[[#This Row],[CANT BARRAS]]*salidas26[[#This Row],[PRECIO BARRA]])</f>
        <v>0</v>
      </c>
      <c r="K689">
        <v>60</v>
      </c>
      <c r="L689" t="s">
        <v>465</v>
      </c>
    </row>
    <row r="690" spans="1:13">
      <c r="B690">
        <v>8100</v>
      </c>
      <c r="C6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690" s="32">
        <v>46086</v>
      </c>
      <c r="E6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6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90">
        <v>1</v>
      </c>
      <c r="I690">
        <f>(salidas26[[#This Row],[CANT JUEGOS ]]*salidas26[[#This Row],[PRECIO JUEGO]])</f>
        <v>300</v>
      </c>
      <c r="J690">
        <f>(salidas26[[#This Row],[CANT BARRAS]]*salidas26[[#This Row],[PRECIO BARRA]])</f>
        <v>0</v>
      </c>
      <c r="K690">
        <v>300</v>
      </c>
      <c r="L690" t="s">
        <v>496</v>
      </c>
      <c r="M690" t="s">
        <v>628</v>
      </c>
    </row>
    <row r="691" spans="1:13">
      <c r="B691">
        <v>2036</v>
      </c>
      <c r="C6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691" s="32">
        <v>46086</v>
      </c>
      <c r="E6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6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691">
        <v>1</v>
      </c>
      <c r="I691">
        <f>(salidas26[[#This Row],[CANT JUEGOS ]]*salidas26[[#This Row],[PRECIO JUEGO]])</f>
        <v>220</v>
      </c>
      <c r="J691">
        <f>(salidas26[[#This Row],[CANT BARRAS]]*salidas26[[#This Row],[PRECIO BARRA]])</f>
        <v>0</v>
      </c>
      <c r="K691">
        <v>220</v>
      </c>
      <c r="L691" t="s">
        <v>465</v>
      </c>
      <c r="M691" t="s">
        <v>470</v>
      </c>
    </row>
    <row r="692" spans="1:13">
      <c r="A692">
        <v>454</v>
      </c>
      <c r="B692">
        <v>6025</v>
      </c>
      <c r="C6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M550KB TOSHIBA 5B/14L</v>
      </c>
      <c r="D692" s="32">
        <v>46087</v>
      </c>
      <c r="E6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6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64</v>
      </c>
      <c r="G692">
        <v>1</v>
      </c>
      <c r="I692">
        <f>(salidas26[[#This Row],[CANT JUEGOS ]]*salidas26[[#This Row],[PRECIO JUEGO]])</f>
        <v>320</v>
      </c>
      <c r="J692">
        <f>(salidas26[[#This Row],[CANT BARRAS]]*salidas26[[#This Row],[PRECIO BARRA]])</f>
        <v>0</v>
      </c>
      <c r="K692">
        <v>250</v>
      </c>
      <c r="L692" t="s">
        <v>465</v>
      </c>
      <c r="M692" t="s">
        <v>471</v>
      </c>
    </row>
    <row r="693" spans="1:13">
      <c r="B693">
        <v>4020</v>
      </c>
      <c r="C6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DAEWOO L49R770BNS 6L/10B</v>
      </c>
      <c r="D693" s="32">
        <v>46087</v>
      </c>
      <c r="E6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6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693">
        <v>1</v>
      </c>
      <c r="I693">
        <f>(salidas26[[#This Row],[CANT JUEGOS ]]*salidas26[[#This Row],[PRECIO JUEGO]])</f>
        <v>250</v>
      </c>
      <c r="J693">
        <f>(salidas26[[#This Row],[CANT BARRAS]]*salidas26[[#This Row],[PRECIO BARRA]])</f>
        <v>0</v>
      </c>
      <c r="K693">
        <v>230</v>
      </c>
      <c r="L693" t="s">
        <v>465</v>
      </c>
      <c r="M693" t="s">
        <v>708</v>
      </c>
    </row>
    <row r="694" spans="1:13">
      <c r="B694">
        <v>2000</v>
      </c>
      <c r="C6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694" s="32">
        <v>46087</v>
      </c>
      <c r="E6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6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694">
        <v>1</v>
      </c>
      <c r="I694">
        <f>(salidas26[[#This Row],[CANT JUEGOS ]]*salidas26[[#This Row],[PRECIO JUEGO]])</f>
        <v>80</v>
      </c>
      <c r="J694">
        <f>(salidas26[[#This Row],[CANT BARRAS]]*salidas26[[#This Row],[PRECIO BARRA]])</f>
        <v>0</v>
      </c>
      <c r="K694">
        <v>70</v>
      </c>
      <c r="L694" t="s">
        <v>465</v>
      </c>
      <c r="M694" t="s">
        <v>520</v>
      </c>
    </row>
    <row r="695" spans="1:13">
      <c r="B695">
        <v>5009</v>
      </c>
      <c r="C6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KDL-39R475B - SONY/10B</v>
      </c>
      <c r="D695" s="32">
        <v>46087</v>
      </c>
      <c r="E6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6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H695">
        <v>6</v>
      </c>
      <c r="I695">
        <f>(salidas26[[#This Row],[CANT JUEGOS ]]*salidas26[[#This Row],[PRECIO JUEGO]])</f>
        <v>0</v>
      </c>
      <c r="J695">
        <f>(salidas26[[#This Row],[CANT BARRAS]]*salidas26[[#This Row],[PRECIO BARRA]])</f>
        <v>90</v>
      </c>
      <c r="K695">
        <v>100</v>
      </c>
      <c r="L695" t="s">
        <v>465</v>
      </c>
      <c r="M695" t="s">
        <v>471</v>
      </c>
    </row>
    <row r="696" spans="1:13">
      <c r="B696">
        <v>8015</v>
      </c>
      <c r="C6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696" s="32">
        <v>46087</v>
      </c>
      <c r="E6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6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96">
        <v>1</v>
      </c>
      <c r="I696">
        <f>(salidas26[[#This Row],[CANT JUEGOS ]]*salidas26[[#This Row],[PRECIO JUEGO]])</f>
        <v>60</v>
      </c>
      <c r="J696">
        <f>(salidas26[[#This Row],[CANT BARRAS]]*salidas26[[#This Row],[PRECIO BARRA]])</f>
        <v>0</v>
      </c>
      <c r="K696">
        <v>60</v>
      </c>
      <c r="L696" t="s">
        <v>465</v>
      </c>
      <c r="M696" t="s">
        <v>468</v>
      </c>
    </row>
    <row r="697" spans="1:13">
      <c r="B697">
        <v>6007</v>
      </c>
      <c r="C6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TB70000 SKYWORTH 3B</v>
      </c>
      <c r="D697" s="32">
        <v>46087</v>
      </c>
      <c r="E6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6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697">
        <v>1</v>
      </c>
      <c r="I697">
        <f>(salidas26[[#This Row],[CANT JUEGOS ]]*salidas26[[#This Row],[PRECIO JUEGO]])</f>
        <v>180</v>
      </c>
      <c r="J697">
        <f>(salidas26[[#This Row],[CANT BARRAS]]*salidas26[[#This Row],[PRECIO BARRA]])</f>
        <v>0</v>
      </c>
      <c r="K697">
        <v>180</v>
      </c>
      <c r="L697" t="s">
        <v>496</v>
      </c>
      <c r="M697" t="s">
        <v>542</v>
      </c>
    </row>
    <row r="698" spans="1:13">
      <c r="B698">
        <v>1075</v>
      </c>
      <c r="C6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698" s="32">
        <v>46087</v>
      </c>
      <c r="E6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6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698">
        <v>1</v>
      </c>
      <c r="I698">
        <f>(salidas26[[#This Row],[CANT JUEGOS ]]*salidas26[[#This Row],[PRECIO JUEGO]])</f>
        <v>240</v>
      </c>
      <c r="J698">
        <f>(salidas26[[#This Row],[CANT BARRAS]]*salidas26[[#This Row],[PRECIO BARRA]])</f>
        <v>0</v>
      </c>
      <c r="K698">
        <v>240</v>
      </c>
      <c r="L698" t="s">
        <v>465</v>
      </c>
      <c r="M698" t="s">
        <v>474</v>
      </c>
    </row>
    <row r="699" spans="1:13">
      <c r="B699">
        <v>8130</v>
      </c>
      <c r="C6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699" s="32">
        <v>46084</v>
      </c>
      <c r="E6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6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699">
        <v>10</v>
      </c>
      <c r="I699">
        <f>(salidas26[[#This Row],[CANT JUEGOS ]]*salidas26[[#This Row],[PRECIO JUEGO]])</f>
        <v>0</v>
      </c>
      <c r="J699">
        <f>(salidas26[[#This Row],[CANT BARRAS]]*salidas26[[#This Row],[PRECIO BARRA]])</f>
        <v>35</v>
      </c>
      <c r="K699">
        <v>35</v>
      </c>
      <c r="L699" t="s">
        <v>496</v>
      </c>
      <c r="M699" t="s">
        <v>663</v>
      </c>
    </row>
    <row r="700" spans="1:13">
      <c r="B700">
        <v>1015</v>
      </c>
      <c r="C7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700" s="32">
        <v>46087</v>
      </c>
      <c r="E7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700">
        <v>3</v>
      </c>
      <c r="I700">
        <f>(salidas26[[#This Row],[CANT JUEGOS ]]*salidas26[[#This Row],[PRECIO JUEGO]])</f>
        <v>240</v>
      </c>
      <c r="J700">
        <f>(salidas26[[#This Row],[CANT BARRAS]]*salidas26[[#This Row],[PRECIO BARRA]])</f>
        <v>0</v>
      </c>
      <c r="K700">
        <v>192</v>
      </c>
      <c r="L700" t="s">
        <v>465</v>
      </c>
      <c r="M700" t="s">
        <v>497</v>
      </c>
    </row>
    <row r="701" spans="1:13">
      <c r="A701">
        <v>465</v>
      </c>
      <c r="B701">
        <v>2095</v>
      </c>
      <c r="C7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701" s="32">
        <v>46087</v>
      </c>
      <c r="E7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7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701">
        <v>1</v>
      </c>
      <c r="H701">
        <v>1</v>
      </c>
      <c r="I701">
        <f>(salidas26[[#This Row],[CANT JUEGOS ]]*salidas26[[#This Row],[PRECIO JUEGO]])</f>
        <v>250</v>
      </c>
      <c r="J701">
        <f>(salidas26[[#This Row],[CANT BARRAS]]*salidas26[[#This Row],[PRECIO BARRA]])</f>
        <v>125</v>
      </c>
      <c r="M701" t="s">
        <v>709</v>
      </c>
    </row>
    <row r="702" spans="1:13">
      <c r="A702">
        <v>466</v>
      </c>
      <c r="B702">
        <v>6131</v>
      </c>
      <c r="C7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702" s="32">
        <v>46087</v>
      </c>
      <c r="E7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7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702">
        <v>12</v>
      </c>
      <c r="I702">
        <f>(salidas26[[#This Row],[CANT JUEGOS ]]*salidas26[[#This Row],[PRECIO JUEGO]])</f>
        <v>0</v>
      </c>
      <c r="J702">
        <f>(salidas26[[#This Row],[CANT BARRAS]]*salidas26[[#This Row],[PRECIO BARRA]])</f>
        <v>400</v>
      </c>
      <c r="K702">
        <v>370</v>
      </c>
      <c r="L702" t="s">
        <v>496</v>
      </c>
      <c r="M702" t="s">
        <v>635</v>
      </c>
    </row>
    <row r="703" spans="1:13">
      <c r="A703">
        <v>467</v>
      </c>
      <c r="B703">
        <v>2051</v>
      </c>
      <c r="C7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703" s="32">
        <v>46088</v>
      </c>
      <c r="E7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7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703">
        <v>1</v>
      </c>
      <c r="I703">
        <f>(salidas26[[#This Row],[CANT JUEGOS ]]*salidas26[[#This Row],[PRECIO JUEGO]])</f>
        <v>260</v>
      </c>
      <c r="J703">
        <f>(salidas26[[#This Row],[CANT BARRAS]]*salidas26[[#This Row],[PRECIO BARRA]])</f>
        <v>0</v>
      </c>
      <c r="K703">
        <v>250</v>
      </c>
      <c r="L703" t="s">
        <v>465</v>
      </c>
      <c r="M703" t="s">
        <v>710</v>
      </c>
    </row>
    <row r="704" spans="1:13">
      <c r="A704">
        <v>468</v>
      </c>
      <c r="B704">
        <v>2048</v>
      </c>
      <c r="C7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 NU7100/2B EDGE</v>
      </c>
      <c r="D704" s="32">
        <v>46088</v>
      </c>
      <c r="E7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704">
        <v>1</v>
      </c>
      <c r="I704">
        <f>(salidas26[[#This Row],[CANT JUEGOS ]]*salidas26[[#This Row],[PRECIO JUEGO]])</f>
        <v>180</v>
      </c>
      <c r="J704">
        <f>(salidas26[[#This Row],[CANT BARRAS]]*salidas26[[#This Row],[PRECIO BARRA]])</f>
        <v>0</v>
      </c>
      <c r="K704">
        <v>180</v>
      </c>
      <c r="L704" t="s">
        <v>465</v>
      </c>
      <c r="M704" t="s">
        <v>541</v>
      </c>
    </row>
    <row r="705" spans="1:13">
      <c r="A705">
        <v>469</v>
      </c>
      <c r="B705">
        <v>2024</v>
      </c>
      <c r="C7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705" s="32">
        <v>46088</v>
      </c>
      <c r="E7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705">
        <v>1</v>
      </c>
      <c r="I705">
        <f>(salidas26[[#This Row],[CANT JUEGOS ]]*salidas26[[#This Row],[PRECIO JUEGO]])</f>
        <v>180</v>
      </c>
      <c r="J705">
        <f>(salidas26[[#This Row],[CANT BARRAS]]*salidas26[[#This Row],[PRECIO BARRA]])</f>
        <v>0</v>
      </c>
      <c r="K705">
        <v>170</v>
      </c>
      <c r="L705" t="s">
        <v>465</v>
      </c>
      <c r="M705" t="s">
        <v>711</v>
      </c>
    </row>
    <row r="706" spans="1:13">
      <c r="A706">
        <v>470</v>
      </c>
      <c r="B706">
        <v>2024</v>
      </c>
      <c r="C7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706" s="32">
        <v>46088</v>
      </c>
      <c r="E7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706">
        <v>1</v>
      </c>
      <c r="I706">
        <f>(salidas26[[#This Row],[CANT JUEGOS ]]*salidas26[[#This Row],[PRECIO JUEGO]])</f>
        <v>180</v>
      </c>
      <c r="J706">
        <f>(salidas26[[#This Row],[CANT BARRAS]]*salidas26[[#This Row],[PRECIO BARRA]])</f>
        <v>0</v>
      </c>
      <c r="K706">
        <v>180</v>
      </c>
      <c r="L706" t="s">
        <v>496</v>
      </c>
      <c r="M706" t="s">
        <v>474</v>
      </c>
    </row>
    <row r="707" spans="1:13">
      <c r="A707">
        <v>471</v>
      </c>
      <c r="B707">
        <v>1003</v>
      </c>
      <c r="C7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707" s="32">
        <v>46088</v>
      </c>
      <c r="E7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707">
        <v>1</v>
      </c>
      <c r="I707">
        <f>(salidas26[[#This Row],[CANT JUEGOS ]]*salidas26[[#This Row],[PRECIO JUEGO]])</f>
        <v>80</v>
      </c>
      <c r="J707">
        <f>(salidas26[[#This Row],[CANT BARRAS]]*salidas26[[#This Row],[PRECIO BARRA]])</f>
        <v>0</v>
      </c>
      <c r="K707">
        <v>90</v>
      </c>
      <c r="L707" t="s">
        <v>465</v>
      </c>
      <c r="M707" t="s">
        <v>481</v>
      </c>
    </row>
    <row r="708" spans="1:13">
      <c r="A708">
        <v>472</v>
      </c>
      <c r="B708">
        <v>3000</v>
      </c>
      <c r="C7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708" s="32">
        <v>46088</v>
      </c>
      <c r="E7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08">
        <v>1</v>
      </c>
      <c r="I708">
        <f>(salidas26[[#This Row],[CANT JUEGOS ]]*salidas26[[#This Row],[PRECIO JUEGO]])</f>
        <v>90</v>
      </c>
      <c r="J708">
        <f>(salidas26[[#This Row],[CANT BARRAS]]*salidas26[[#This Row],[PRECIO BARRA]])</f>
        <v>0</v>
      </c>
      <c r="K708">
        <v>105</v>
      </c>
      <c r="L708" t="s">
        <v>465</v>
      </c>
      <c r="M708" t="s">
        <v>629</v>
      </c>
    </row>
    <row r="709" spans="1:13">
      <c r="A709">
        <v>473</v>
      </c>
      <c r="B709">
        <v>8123</v>
      </c>
      <c r="C7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709" s="32">
        <v>46090</v>
      </c>
      <c r="E7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7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709">
        <v>32</v>
      </c>
      <c r="I709">
        <f>(salidas26[[#This Row],[CANT JUEGOS ]]*salidas26[[#This Row],[PRECIO JUEGO]])</f>
        <v>0</v>
      </c>
      <c r="J709">
        <f>(salidas26[[#This Row],[CANT BARRAS]]*salidas26[[#This Row],[PRECIO BARRA]])</f>
        <v>112</v>
      </c>
      <c r="K709">
        <v>112</v>
      </c>
      <c r="L709" t="s">
        <v>465</v>
      </c>
      <c r="M709" t="s">
        <v>663</v>
      </c>
    </row>
    <row r="710" spans="1:13">
      <c r="A710">
        <v>474</v>
      </c>
      <c r="B710">
        <v>2000</v>
      </c>
      <c r="C7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710" s="32">
        <v>46090</v>
      </c>
      <c r="E7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710">
        <v>1</v>
      </c>
      <c r="I710">
        <f>(salidas26[[#This Row],[CANT JUEGOS ]]*salidas26[[#This Row],[PRECIO JUEGO]])</f>
        <v>80</v>
      </c>
      <c r="J710">
        <f>(salidas26[[#This Row],[CANT BARRAS]]*salidas26[[#This Row],[PRECIO BARRA]])</f>
        <v>0</v>
      </c>
      <c r="K710">
        <v>70</v>
      </c>
      <c r="L710" t="s">
        <v>465</v>
      </c>
      <c r="M710" t="s">
        <v>482</v>
      </c>
    </row>
    <row r="711" spans="1:13">
      <c r="A711">
        <v>475</v>
      </c>
      <c r="B711">
        <v>8000</v>
      </c>
      <c r="C7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711" s="32">
        <v>46090</v>
      </c>
      <c r="E7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711">
        <v>1</v>
      </c>
      <c r="I711">
        <f>(salidas26[[#This Row],[CANT JUEGOS ]]*salidas26[[#This Row],[PRECIO JUEGO]])</f>
        <v>0</v>
      </c>
      <c r="J711">
        <f>(salidas26[[#This Row],[CANT BARRAS]]*salidas26[[#This Row],[PRECIO BARRA]])</f>
        <v>30</v>
      </c>
      <c r="K711">
        <v>50</v>
      </c>
      <c r="L711" t="s">
        <v>465</v>
      </c>
      <c r="M711" t="s">
        <v>471</v>
      </c>
    </row>
    <row r="712" spans="1:13">
      <c r="A712">
        <v>476</v>
      </c>
      <c r="B712">
        <v>2075</v>
      </c>
      <c r="C7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712" s="32">
        <v>46090</v>
      </c>
      <c r="E7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7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712">
        <v>1</v>
      </c>
      <c r="I712">
        <f>(salidas26[[#This Row],[CANT JUEGOS ]]*salidas26[[#This Row],[PRECIO JUEGO]])</f>
        <v>200</v>
      </c>
      <c r="J712">
        <f>(salidas26[[#This Row],[CANT BARRAS]]*salidas26[[#This Row],[PRECIO BARRA]])</f>
        <v>0</v>
      </c>
      <c r="K712">
        <v>200</v>
      </c>
      <c r="L712" t="s">
        <v>465</v>
      </c>
      <c r="M712" t="s">
        <v>466</v>
      </c>
    </row>
    <row r="713" spans="1:13">
      <c r="A713">
        <v>477</v>
      </c>
      <c r="B713">
        <v>1069</v>
      </c>
      <c r="C7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713" s="32">
        <v>46091</v>
      </c>
      <c r="E7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7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713">
        <v>1</v>
      </c>
      <c r="I713">
        <f>(salidas26[[#This Row],[CANT JUEGOS ]]*salidas26[[#This Row],[PRECIO JUEGO]])</f>
        <v>250</v>
      </c>
      <c r="J713">
        <f>(salidas26[[#This Row],[CANT BARRAS]]*salidas26[[#This Row],[PRECIO BARRA]])</f>
        <v>0</v>
      </c>
      <c r="K713">
        <v>250</v>
      </c>
      <c r="L713" t="s">
        <v>564</v>
      </c>
      <c r="M713" t="s">
        <v>470</v>
      </c>
    </row>
    <row r="714" spans="1:13">
      <c r="A714">
        <v>478</v>
      </c>
      <c r="B714">
        <v>1033</v>
      </c>
      <c r="C7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714" s="32">
        <v>46091</v>
      </c>
      <c r="E7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714">
        <v>1</v>
      </c>
      <c r="I714">
        <f>(salidas26[[#This Row],[CANT JUEGOS ]]*salidas26[[#This Row],[PRECIO JUEGO]])</f>
        <v>180</v>
      </c>
      <c r="J714">
        <f>(salidas26[[#This Row],[CANT BARRAS]]*salidas26[[#This Row],[PRECIO BARRA]])</f>
        <v>0</v>
      </c>
      <c r="K714">
        <v>170</v>
      </c>
      <c r="L714" t="s">
        <v>465</v>
      </c>
      <c r="M714" t="s">
        <v>638</v>
      </c>
    </row>
    <row r="715" spans="1:13">
      <c r="A715">
        <v>479</v>
      </c>
      <c r="B715">
        <v>6034</v>
      </c>
      <c r="C7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HISENSE A6GSA 6B/8L/3V</v>
      </c>
      <c r="D715" s="32">
        <v>46091</v>
      </c>
      <c r="E7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7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63.333333333333336</v>
      </c>
      <c r="G715">
        <v>2</v>
      </c>
      <c r="H715">
        <v>2</v>
      </c>
      <c r="I715">
        <f>(salidas26[[#This Row],[CANT JUEGOS ]]*salidas26[[#This Row],[PRECIO JUEGO]])</f>
        <v>760</v>
      </c>
      <c r="J715">
        <f>(salidas26[[#This Row],[CANT BARRAS]]*salidas26[[#This Row],[PRECIO BARRA]])</f>
        <v>126.66666666666667</v>
      </c>
      <c r="K715">
        <v>380</v>
      </c>
      <c r="L715" t="s">
        <v>465</v>
      </c>
      <c r="M715" t="s">
        <v>628</v>
      </c>
    </row>
    <row r="716" spans="1:13">
      <c r="A716">
        <v>480</v>
      </c>
      <c r="B716">
        <v>2000</v>
      </c>
      <c r="C7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716" s="32">
        <v>46091</v>
      </c>
      <c r="E7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716">
        <v>1</v>
      </c>
      <c r="I716">
        <f>(salidas26[[#This Row],[CANT JUEGOS ]]*salidas26[[#This Row],[PRECIO JUEGO]])</f>
        <v>80</v>
      </c>
      <c r="J716">
        <f>(salidas26[[#This Row],[CANT BARRAS]]*salidas26[[#This Row],[PRECIO BARRA]])</f>
        <v>0</v>
      </c>
      <c r="K716">
        <v>70</v>
      </c>
      <c r="L716" t="s">
        <v>465</v>
      </c>
      <c r="M716" t="s">
        <v>628</v>
      </c>
    </row>
    <row r="717" spans="1:13">
      <c r="A717">
        <v>481</v>
      </c>
      <c r="B717">
        <v>8021</v>
      </c>
      <c r="C7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717" s="32">
        <v>46091</v>
      </c>
      <c r="E7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17">
        <v>1</v>
      </c>
      <c r="I717">
        <f>(salidas26[[#This Row],[CANT JUEGOS ]]*salidas26[[#This Row],[PRECIO JUEGO]])</f>
        <v>60</v>
      </c>
      <c r="J717">
        <f>(salidas26[[#This Row],[CANT BARRAS]]*salidas26[[#This Row],[PRECIO BARRA]])</f>
        <v>0</v>
      </c>
      <c r="K717">
        <v>60</v>
      </c>
      <c r="L717" t="s">
        <v>465</v>
      </c>
      <c r="M717" t="s">
        <v>628</v>
      </c>
    </row>
    <row r="718" spans="1:13">
      <c r="A718">
        <v>482</v>
      </c>
      <c r="B718">
        <v>8033</v>
      </c>
      <c r="C7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718" s="32">
        <v>46091</v>
      </c>
      <c r="E7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18">
        <v>1</v>
      </c>
      <c r="I718">
        <f>(salidas26[[#This Row],[CANT JUEGOS ]]*salidas26[[#This Row],[PRECIO JUEGO]])</f>
        <v>150</v>
      </c>
      <c r="J718">
        <f>(salidas26[[#This Row],[CANT BARRAS]]*salidas26[[#This Row],[PRECIO BARRA]])</f>
        <v>0</v>
      </c>
      <c r="K718">
        <v>140</v>
      </c>
      <c r="L718" t="s">
        <v>496</v>
      </c>
      <c r="M718" t="s">
        <v>712</v>
      </c>
    </row>
    <row r="719" spans="1:13">
      <c r="A719">
        <v>483</v>
      </c>
      <c r="B719">
        <v>2036</v>
      </c>
      <c r="C7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719" s="32">
        <v>46091</v>
      </c>
      <c r="E7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7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719">
        <v>1</v>
      </c>
      <c r="I719">
        <f>(salidas26[[#This Row],[CANT JUEGOS ]]*salidas26[[#This Row],[PRECIO JUEGO]])</f>
        <v>220</v>
      </c>
      <c r="J719">
        <f>(salidas26[[#This Row],[CANT BARRAS]]*salidas26[[#This Row],[PRECIO BARRA]])</f>
        <v>0</v>
      </c>
      <c r="K719">
        <v>210</v>
      </c>
      <c r="L719" t="s">
        <v>496</v>
      </c>
      <c r="M719" t="s">
        <v>712</v>
      </c>
    </row>
    <row r="720" spans="1:13">
      <c r="A720">
        <v>484</v>
      </c>
      <c r="B720">
        <v>2048</v>
      </c>
      <c r="C7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 NU7100/2B EDGE</v>
      </c>
      <c r="D720" s="32">
        <v>46091</v>
      </c>
      <c r="E7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720">
        <v>1</v>
      </c>
      <c r="H720">
        <v>1</v>
      </c>
      <c r="I720">
        <f>(salidas26[[#This Row],[CANT JUEGOS ]]*salidas26[[#This Row],[PRECIO JUEGO]])</f>
        <v>180</v>
      </c>
      <c r="J720">
        <f>(salidas26[[#This Row],[CANT BARRAS]]*salidas26[[#This Row],[PRECIO BARRA]])</f>
        <v>90</v>
      </c>
      <c r="K720">
        <v>60</v>
      </c>
      <c r="L720" t="s">
        <v>496</v>
      </c>
      <c r="M720" t="s">
        <v>547</v>
      </c>
    </row>
    <row r="721" spans="1:13">
      <c r="A721">
        <v>485</v>
      </c>
      <c r="B721">
        <v>8015</v>
      </c>
      <c r="C7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721" s="32">
        <v>46091</v>
      </c>
      <c r="E7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21">
        <v>1</v>
      </c>
      <c r="I721">
        <f>(salidas26[[#This Row],[CANT JUEGOS ]]*salidas26[[#This Row],[PRECIO JUEGO]])</f>
        <v>60</v>
      </c>
      <c r="J721">
        <f>(salidas26[[#This Row],[CANT BARRAS]]*salidas26[[#This Row],[PRECIO BARRA]])</f>
        <v>0</v>
      </c>
      <c r="K721">
        <v>60</v>
      </c>
      <c r="L721" t="s">
        <v>496</v>
      </c>
      <c r="M721" t="s">
        <v>507</v>
      </c>
    </row>
    <row r="722" spans="1:13">
      <c r="A722">
        <v>486</v>
      </c>
      <c r="B722">
        <v>6027</v>
      </c>
      <c r="C7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722" s="32">
        <v>46091</v>
      </c>
      <c r="E7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7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722">
        <v>3</v>
      </c>
      <c r="I722">
        <f>(salidas26[[#This Row],[CANT JUEGOS ]]*salidas26[[#This Row],[PRECIO JUEGO]])</f>
        <v>0</v>
      </c>
      <c r="J722">
        <f>(salidas26[[#This Row],[CANT BARRAS]]*salidas26[[#This Row],[PRECIO BARRA]])</f>
        <v>84</v>
      </c>
      <c r="K722">
        <v>80</v>
      </c>
      <c r="L722" t="s">
        <v>496</v>
      </c>
      <c r="M722" t="s">
        <v>507</v>
      </c>
    </row>
    <row r="723" spans="1:13">
      <c r="A723">
        <v>487</v>
      </c>
      <c r="B723">
        <v>7004</v>
      </c>
      <c r="C7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723" s="32">
        <v>46091</v>
      </c>
      <c r="E7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23">
        <v>1</v>
      </c>
      <c r="I723">
        <f>(salidas26[[#This Row],[CANT JUEGOS ]]*salidas26[[#This Row],[PRECIO JUEGO]])</f>
        <v>150</v>
      </c>
      <c r="J723">
        <f>(salidas26[[#This Row],[CANT BARRAS]]*salidas26[[#This Row],[PRECIO BARRA]])</f>
        <v>0</v>
      </c>
      <c r="K723">
        <v>140</v>
      </c>
      <c r="L723">
        <v>140</v>
      </c>
      <c r="M723" t="s">
        <v>481</v>
      </c>
    </row>
    <row r="724" spans="1:13">
      <c r="A724">
        <v>488</v>
      </c>
      <c r="B724">
        <v>1123</v>
      </c>
      <c r="C7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UB8300/2B</v>
      </c>
      <c r="D724" s="32">
        <v>46091</v>
      </c>
      <c r="E7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7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724">
        <v>1</v>
      </c>
      <c r="I724">
        <f>(salidas26[[#This Row],[CANT JUEGOS ]]*salidas26[[#This Row],[PRECIO JUEGO]])</f>
        <v>320</v>
      </c>
      <c r="J724">
        <f>(salidas26[[#This Row],[CANT BARRAS]]*salidas26[[#This Row],[PRECIO BARRA]])</f>
        <v>0</v>
      </c>
      <c r="K724">
        <v>320</v>
      </c>
      <c r="L724" t="s">
        <v>496</v>
      </c>
      <c r="M724" t="s">
        <v>713</v>
      </c>
    </row>
    <row r="725" spans="1:13">
      <c r="A725">
        <v>489</v>
      </c>
      <c r="B725">
        <v>6009</v>
      </c>
      <c r="C7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725" s="32">
        <v>46091</v>
      </c>
      <c r="E7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725">
        <v>6</v>
      </c>
      <c r="I725">
        <f>(salidas26[[#This Row],[CANT JUEGOS ]]*salidas26[[#This Row],[PRECIO JUEGO]])</f>
        <v>0</v>
      </c>
      <c r="J725">
        <f>(salidas26[[#This Row],[CANT BARRAS]]*salidas26[[#This Row],[PRECIO BARRA]])</f>
        <v>135</v>
      </c>
      <c r="K725">
        <v>180</v>
      </c>
      <c r="L725" t="s">
        <v>496</v>
      </c>
      <c r="M725" t="s">
        <v>714</v>
      </c>
    </row>
    <row r="726" spans="1:13">
      <c r="A726">
        <v>490</v>
      </c>
      <c r="B726">
        <v>2095</v>
      </c>
      <c r="C7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726" s="32">
        <v>46091</v>
      </c>
      <c r="E7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7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726">
        <v>1</v>
      </c>
      <c r="I726">
        <f>(salidas26[[#This Row],[CANT JUEGOS ]]*salidas26[[#This Row],[PRECIO JUEGO]])</f>
        <v>250</v>
      </c>
      <c r="J726">
        <f>(salidas26[[#This Row],[CANT BARRAS]]*salidas26[[#This Row],[PRECIO BARRA]])</f>
        <v>0</v>
      </c>
      <c r="K726">
        <v>82</v>
      </c>
      <c r="L726" t="s">
        <v>496</v>
      </c>
      <c r="M726" t="s">
        <v>509</v>
      </c>
    </row>
    <row r="727" spans="1:13">
      <c r="A727">
        <v>491</v>
      </c>
      <c r="B727">
        <v>1011</v>
      </c>
      <c r="C7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727" s="32">
        <v>46091</v>
      </c>
      <c r="E7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27">
        <v>1</v>
      </c>
      <c r="I727">
        <f>(salidas26[[#This Row],[CANT JUEGOS ]]*salidas26[[#This Row],[PRECIO JUEGO]])</f>
        <v>70</v>
      </c>
      <c r="J727">
        <f>(salidas26[[#This Row],[CANT BARRAS]]*salidas26[[#This Row],[PRECIO BARRA]])</f>
        <v>0</v>
      </c>
      <c r="K727">
        <v>350</v>
      </c>
      <c r="L727" t="s">
        <v>496</v>
      </c>
      <c r="M727" t="s">
        <v>715</v>
      </c>
    </row>
    <row r="728" spans="1:13">
      <c r="A728">
        <v>492</v>
      </c>
      <c r="B728">
        <v>8021</v>
      </c>
      <c r="C7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728" s="32">
        <v>46091</v>
      </c>
      <c r="E7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28">
        <v>1</v>
      </c>
      <c r="I728">
        <f>(salidas26[[#This Row],[CANT JUEGOS ]]*salidas26[[#This Row],[PRECIO JUEGO]])</f>
        <v>60</v>
      </c>
      <c r="J728">
        <f>(salidas26[[#This Row],[CANT BARRAS]]*salidas26[[#This Row],[PRECIO BARRA]])</f>
        <v>0</v>
      </c>
      <c r="K728">
        <v>60</v>
      </c>
      <c r="L728" t="s">
        <v>465</v>
      </c>
      <c r="M728" t="s">
        <v>706</v>
      </c>
    </row>
    <row r="729" spans="1:13">
      <c r="A729">
        <v>494</v>
      </c>
      <c r="B729">
        <v>6000</v>
      </c>
      <c r="C7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729" s="32">
        <v>46091</v>
      </c>
      <c r="E7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29">
        <v>1</v>
      </c>
      <c r="I729">
        <f>(salidas26[[#This Row],[CANT JUEGOS ]]*salidas26[[#This Row],[PRECIO JUEGO]])</f>
        <v>60</v>
      </c>
      <c r="J729">
        <f>(salidas26[[#This Row],[CANT BARRAS]]*salidas26[[#This Row],[PRECIO BARRA]])</f>
        <v>0</v>
      </c>
      <c r="K729">
        <v>60</v>
      </c>
      <c r="L729" t="s">
        <v>465</v>
      </c>
      <c r="M729" t="s">
        <v>716</v>
      </c>
    </row>
    <row r="730" spans="1:13">
      <c r="A730">
        <v>497</v>
      </c>
      <c r="B730">
        <v>3000</v>
      </c>
      <c r="C7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730" s="32">
        <v>46092</v>
      </c>
      <c r="E7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30">
        <v>1</v>
      </c>
      <c r="I730">
        <f>(salidas26[[#This Row],[CANT JUEGOS ]]*salidas26[[#This Row],[PRECIO JUEGO]])</f>
        <v>90</v>
      </c>
      <c r="J730">
        <f>(salidas26[[#This Row],[CANT BARRAS]]*salidas26[[#This Row],[PRECIO BARRA]])</f>
        <v>0</v>
      </c>
      <c r="K730">
        <v>90</v>
      </c>
      <c r="L730" t="s">
        <v>465</v>
      </c>
      <c r="M730" t="s">
        <v>481</v>
      </c>
    </row>
    <row r="731" spans="1:13">
      <c r="A731">
        <v>498</v>
      </c>
      <c r="B731">
        <v>8068</v>
      </c>
      <c r="C7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731" s="32">
        <v>46092</v>
      </c>
      <c r="E7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7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731">
        <v>1</v>
      </c>
      <c r="I731">
        <f>(salidas26[[#This Row],[CANT JUEGOS ]]*salidas26[[#This Row],[PRECIO JUEGO]])</f>
        <v>220</v>
      </c>
      <c r="J731">
        <f>(salidas26[[#This Row],[CANT BARRAS]]*salidas26[[#This Row],[PRECIO BARRA]])</f>
        <v>0</v>
      </c>
      <c r="K731">
        <v>200</v>
      </c>
      <c r="L731" t="s">
        <v>465</v>
      </c>
      <c r="M731" t="s">
        <v>466</v>
      </c>
    </row>
    <row r="732" spans="1:13">
      <c r="A732">
        <v>500</v>
      </c>
      <c r="B732">
        <v>3000</v>
      </c>
      <c r="C7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732" s="32">
        <v>46092</v>
      </c>
      <c r="E7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32">
        <v>2</v>
      </c>
      <c r="I732">
        <f>(salidas26[[#This Row],[CANT JUEGOS ]]*salidas26[[#This Row],[PRECIO JUEGO]])</f>
        <v>180</v>
      </c>
      <c r="J732">
        <f>(salidas26[[#This Row],[CANT BARRAS]]*salidas26[[#This Row],[PRECIO BARRA]])</f>
        <v>0</v>
      </c>
      <c r="K732">
        <v>144</v>
      </c>
      <c r="L732" t="s">
        <v>465</v>
      </c>
      <c r="M732" t="s">
        <v>497</v>
      </c>
    </row>
    <row r="733" spans="1:13">
      <c r="A733">
        <v>501</v>
      </c>
      <c r="B733">
        <v>6000</v>
      </c>
      <c r="C7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733" s="32">
        <v>46092</v>
      </c>
      <c r="E7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33">
        <v>1</v>
      </c>
      <c r="I733">
        <f>(salidas26[[#This Row],[CANT JUEGOS ]]*salidas26[[#This Row],[PRECIO JUEGO]])</f>
        <v>60</v>
      </c>
      <c r="J733">
        <f>(salidas26[[#This Row],[CANT BARRAS]]*salidas26[[#This Row],[PRECIO BARRA]])</f>
        <v>0</v>
      </c>
      <c r="K733">
        <v>48</v>
      </c>
      <c r="L733" t="s">
        <v>465</v>
      </c>
      <c r="M733" t="s">
        <v>497</v>
      </c>
    </row>
    <row r="734" spans="1:13">
      <c r="A734">
        <v>502</v>
      </c>
      <c r="B734">
        <v>1036</v>
      </c>
      <c r="C7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734" s="32">
        <v>46092</v>
      </c>
      <c r="E7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734">
        <v>1</v>
      </c>
      <c r="I734">
        <f>(salidas26[[#This Row],[CANT JUEGOS ]]*salidas26[[#This Row],[PRECIO JUEGO]])</f>
        <v>180</v>
      </c>
      <c r="J734">
        <f>(salidas26[[#This Row],[CANT BARRAS]]*salidas26[[#This Row],[PRECIO BARRA]])</f>
        <v>0</v>
      </c>
      <c r="K734">
        <v>144</v>
      </c>
      <c r="L734" t="s">
        <v>465</v>
      </c>
      <c r="M734" t="s">
        <v>497</v>
      </c>
    </row>
    <row r="735" spans="1:13">
      <c r="A735">
        <v>503</v>
      </c>
      <c r="B735">
        <v>1042</v>
      </c>
      <c r="C7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42LS3450/10B</v>
      </c>
      <c r="D735" s="32">
        <v>46092</v>
      </c>
      <c r="E7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7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735">
        <v>1</v>
      </c>
      <c r="I735">
        <f>(salidas26[[#This Row],[CANT JUEGOS ]]*salidas26[[#This Row],[PRECIO JUEGO]])</f>
        <v>250</v>
      </c>
      <c r="J735">
        <f>(salidas26[[#This Row],[CANT BARRAS]]*salidas26[[#This Row],[PRECIO BARRA]])</f>
        <v>0</v>
      </c>
      <c r="K735">
        <v>200</v>
      </c>
      <c r="L735" t="s">
        <v>465</v>
      </c>
      <c r="M735" t="s">
        <v>497</v>
      </c>
    </row>
    <row r="736" spans="1:13">
      <c r="A736">
        <v>504</v>
      </c>
      <c r="B736">
        <v>1087</v>
      </c>
      <c r="C7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49LK5400 /8B</v>
      </c>
      <c r="D736" s="32">
        <v>46092</v>
      </c>
      <c r="E7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7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736">
        <v>1</v>
      </c>
      <c r="I736">
        <f>(salidas26[[#This Row],[CANT JUEGOS ]]*salidas26[[#This Row],[PRECIO JUEGO]])</f>
        <v>220</v>
      </c>
      <c r="J736">
        <f>(salidas26[[#This Row],[CANT BARRAS]]*salidas26[[#This Row],[PRECIO BARRA]])</f>
        <v>0</v>
      </c>
      <c r="K736">
        <v>176</v>
      </c>
      <c r="L736" t="s">
        <v>465</v>
      </c>
      <c r="M736" t="s">
        <v>497</v>
      </c>
    </row>
    <row r="737" spans="1:13">
      <c r="B737">
        <v>6131</v>
      </c>
      <c r="C7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737" s="32">
        <v>46064</v>
      </c>
      <c r="E7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7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737">
        <v>52</v>
      </c>
      <c r="I737">
        <f>(salidas26[[#This Row],[CANT JUEGOS ]]*salidas26[[#This Row],[PRECIO JUEGO]])</f>
        <v>0</v>
      </c>
      <c r="J737">
        <f>(salidas26[[#This Row],[CANT BARRAS]]*salidas26[[#This Row],[PRECIO BARRA]])</f>
        <v>1733.3333333333335</v>
      </c>
      <c r="M737" t="s">
        <v>719</v>
      </c>
    </row>
    <row r="738" spans="1:13">
      <c r="A738">
        <v>505</v>
      </c>
      <c r="B738">
        <v>6001</v>
      </c>
      <c r="C7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D738" s="32">
        <v>46064</v>
      </c>
      <c r="E7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738">
        <v>1</v>
      </c>
      <c r="I738">
        <f>(salidas26[[#This Row],[CANT JUEGOS ]]*salidas26[[#This Row],[PRECIO JUEGO]])</f>
        <v>80</v>
      </c>
      <c r="J738">
        <f>(salidas26[[#This Row],[CANT BARRAS]]*salidas26[[#This Row],[PRECIO BARRA]])</f>
        <v>0</v>
      </c>
      <c r="K738">
        <v>60</v>
      </c>
      <c r="L738" t="s">
        <v>496</v>
      </c>
      <c r="M738" t="s">
        <v>720</v>
      </c>
    </row>
    <row r="739" spans="1:13">
      <c r="A739">
        <v>506</v>
      </c>
      <c r="B739">
        <v>7002</v>
      </c>
      <c r="C7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739" s="32">
        <v>46064</v>
      </c>
      <c r="E7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39">
        <v>1</v>
      </c>
      <c r="I739">
        <f>(salidas26[[#This Row],[CANT JUEGOS ]]*salidas26[[#This Row],[PRECIO JUEGO]])</f>
        <v>70</v>
      </c>
      <c r="J739">
        <f>(salidas26[[#This Row],[CANT BARRAS]]*salidas26[[#This Row],[PRECIO BARRA]])</f>
        <v>0</v>
      </c>
      <c r="K739">
        <v>70</v>
      </c>
      <c r="L739" t="s">
        <v>465</v>
      </c>
      <c r="M739" t="s">
        <v>677</v>
      </c>
    </row>
    <row r="740" spans="1:13">
      <c r="A740">
        <v>507</v>
      </c>
      <c r="B740">
        <v>8095</v>
      </c>
      <c r="C7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740" s="32">
        <v>46064</v>
      </c>
      <c r="E7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40">
        <v>1</v>
      </c>
      <c r="I740">
        <f>(salidas26[[#This Row],[CANT JUEGOS ]]*salidas26[[#This Row],[PRECIO JUEGO]])</f>
        <v>300</v>
      </c>
      <c r="J740">
        <f>(salidas26[[#This Row],[CANT BARRAS]]*salidas26[[#This Row],[PRECIO BARRA]])</f>
        <v>0</v>
      </c>
      <c r="K740">
        <v>250</v>
      </c>
      <c r="L740" t="s">
        <v>496</v>
      </c>
      <c r="M740" t="s">
        <v>720</v>
      </c>
    </row>
    <row r="741" spans="1:13">
      <c r="A741">
        <v>508</v>
      </c>
      <c r="B741">
        <v>5010</v>
      </c>
      <c r="C7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741" s="32">
        <v>46064</v>
      </c>
      <c r="E7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741">
        <v>1</v>
      </c>
      <c r="I741">
        <f>(salidas26[[#This Row],[CANT JUEGOS ]]*salidas26[[#This Row],[PRECIO JUEGO]])</f>
        <v>180</v>
      </c>
      <c r="J741">
        <f>(salidas26[[#This Row],[CANT BARRAS]]*salidas26[[#This Row],[PRECIO BARRA]])</f>
        <v>0</v>
      </c>
      <c r="K741">
        <v>150</v>
      </c>
      <c r="L741" t="s">
        <v>496</v>
      </c>
      <c r="M741" t="s">
        <v>471</v>
      </c>
    </row>
    <row r="742" spans="1:13">
      <c r="A742">
        <v>509</v>
      </c>
      <c r="B742">
        <v>1011</v>
      </c>
      <c r="C7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742" s="32">
        <v>46064</v>
      </c>
      <c r="E7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42">
        <v>1</v>
      </c>
      <c r="I742">
        <f>(salidas26[[#This Row],[CANT JUEGOS ]]*salidas26[[#This Row],[PRECIO JUEGO]])</f>
        <v>70</v>
      </c>
      <c r="J742">
        <f>(salidas26[[#This Row],[CANT BARRAS]]*salidas26[[#This Row],[PRECIO BARRA]])</f>
        <v>0</v>
      </c>
      <c r="K742">
        <v>60</v>
      </c>
      <c r="L742" t="s">
        <v>465</v>
      </c>
      <c r="M742" t="s">
        <v>536</v>
      </c>
    </row>
    <row r="743" spans="1:13">
      <c r="A743">
        <v>510</v>
      </c>
      <c r="B743">
        <v>8130</v>
      </c>
      <c r="C7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743" s="32">
        <v>46064</v>
      </c>
      <c r="E7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7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743">
        <v>8</v>
      </c>
      <c r="I743">
        <f>(salidas26[[#This Row],[CANT JUEGOS ]]*salidas26[[#This Row],[PRECIO JUEGO]])</f>
        <v>0</v>
      </c>
      <c r="J743">
        <f>(salidas26[[#This Row],[CANT BARRAS]]*salidas26[[#This Row],[PRECIO BARRA]])</f>
        <v>28</v>
      </c>
      <c r="K743">
        <v>28</v>
      </c>
      <c r="L743" t="s">
        <v>465</v>
      </c>
      <c r="M743" t="s">
        <v>470</v>
      </c>
    </row>
    <row r="744" spans="1:13">
      <c r="A744">
        <v>511</v>
      </c>
      <c r="B744">
        <v>1011</v>
      </c>
      <c r="C7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744" s="32">
        <v>46064</v>
      </c>
      <c r="E7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44">
        <v>1</v>
      </c>
      <c r="I744">
        <f>(salidas26[[#This Row],[CANT JUEGOS ]]*salidas26[[#This Row],[PRECIO JUEGO]])</f>
        <v>70</v>
      </c>
      <c r="J744">
        <f>(salidas26[[#This Row],[CANT BARRAS]]*salidas26[[#This Row],[PRECIO BARRA]])</f>
        <v>0</v>
      </c>
      <c r="K744">
        <v>60</v>
      </c>
      <c r="L744" t="s">
        <v>496</v>
      </c>
      <c r="M744" t="s">
        <v>658</v>
      </c>
    </row>
    <row r="745" spans="1:13">
      <c r="A745">
        <v>512</v>
      </c>
      <c r="B745">
        <v>6025</v>
      </c>
      <c r="C7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M550KB TOSHIBA 5B/14L</v>
      </c>
      <c r="D745" s="32">
        <v>46093</v>
      </c>
      <c r="E7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7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64</v>
      </c>
      <c r="G745">
        <v>1</v>
      </c>
      <c r="I745">
        <f>(salidas26[[#This Row],[CANT JUEGOS ]]*salidas26[[#This Row],[PRECIO JUEGO]])</f>
        <v>320</v>
      </c>
      <c r="J745">
        <f>(salidas26[[#This Row],[CANT BARRAS]]*salidas26[[#This Row],[PRECIO BARRA]])</f>
        <v>0</v>
      </c>
      <c r="K745">
        <v>300</v>
      </c>
      <c r="L745" t="s">
        <v>465</v>
      </c>
      <c r="M745" t="s">
        <v>487</v>
      </c>
    </row>
    <row r="746" spans="1:13">
      <c r="A746">
        <v>513</v>
      </c>
      <c r="B746">
        <v>4018</v>
      </c>
      <c r="C7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746" s="32">
        <v>46093</v>
      </c>
      <c r="E7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7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746">
        <v>1</v>
      </c>
      <c r="H746">
        <v>1</v>
      </c>
      <c r="I746">
        <f>(salidas26[[#This Row],[CANT JUEGOS ]]*salidas26[[#This Row],[PRECIO JUEGO]])</f>
        <v>200</v>
      </c>
      <c r="J746">
        <f>(salidas26[[#This Row],[CANT BARRAS]]*salidas26[[#This Row],[PRECIO BARRA]])</f>
        <v>200</v>
      </c>
      <c r="K746">
        <v>230</v>
      </c>
      <c r="L746" t="s">
        <v>496</v>
      </c>
      <c r="M746" t="s">
        <v>668</v>
      </c>
    </row>
    <row r="747" spans="1:13">
      <c r="A747">
        <v>514</v>
      </c>
      <c r="B747">
        <v>1036</v>
      </c>
      <c r="C7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747" s="32">
        <v>46093</v>
      </c>
      <c r="E7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747">
        <v>1</v>
      </c>
      <c r="I747">
        <f>(salidas26[[#This Row],[CANT JUEGOS ]]*salidas26[[#This Row],[PRECIO JUEGO]])</f>
        <v>180</v>
      </c>
      <c r="J747">
        <f>(salidas26[[#This Row],[CANT BARRAS]]*salidas26[[#This Row],[PRECIO BARRA]])</f>
        <v>0</v>
      </c>
      <c r="K747">
        <v>180</v>
      </c>
      <c r="L747" t="s">
        <v>465</v>
      </c>
      <c r="M747" t="s">
        <v>721</v>
      </c>
    </row>
    <row r="748" spans="1:13">
      <c r="A748">
        <v>515</v>
      </c>
      <c r="B748">
        <v>8021</v>
      </c>
      <c r="C7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748" s="32">
        <v>46093</v>
      </c>
      <c r="E7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48">
        <v>1</v>
      </c>
      <c r="H748">
        <v>1</v>
      </c>
      <c r="I748">
        <f>(salidas26[[#This Row],[CANT JUEGOS ]]*salidas26[[#This Row],[PRECIO JUEGO]])</f>
        <v>60</v>
      </c>
      <c r="J748">
        <f>(salidas26[[#This Row],[CANT BARRAS]]*salidas26[[#This Row],[PRECIO BARRA]])</f>
        <v>30</v>
      </c>
      <c r="K748">
        <v>30</v>
      </c>
      <c r="L748" t="s">
        <v>465</v>
      </c>
      <c r="M748" t="s">
        <v>610</v>
      </c>
    </row>
    <row r="749" spans="1:13">
      <c r="B749">
        <v>8021</v>
      </c>
      <c r="C7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749" s="32">
        <v>46093</v>
      </c>
      <c r="E7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49">
        <v>1</v>
      </c>
      <c r="I749">
        <f>(salidas26[[#This Row],[CANT JUEGOS ]]*salidas26[[#This Row],[PRECIO JUEGO]])</f>
        <v>60</v>
      </c>
      <c r="J749">
        <f>(salidas26[[#This Row],[CANT BARRAS]]*salidas26[[#This Row],[PRECIO BARRA]])</f>
        <v>0</v>
      </c>
      <c r="K749">
        <v>60</v>
      </c>
      <c r="L749" t="s">
        <v>465</v>
      </c>
      <c r="M749" t="s">
        <v>468</v>
      </c>
    </row>
    <row r="750" spans="1:13">
      <c r="A750">
        <v>516</v>
      </c>
      <c r="B750">
        <v>5038</v>
      </c>
      <c r="C7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KDL-65X725E 2B</v>
      </c>
      <c r="D750" s="32">
        <v>46093</v>
      </c>
      <c r="E7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750">
        <v>1</v>
      </c>
      <c r="I750">
        <f>(salidas26[[#This Row],[CANT JUEGOS ]]*salidas26[[#This Row],[PRECIO JUEGO]])</f>
        <v>300</v>
      </c>
      <c r="J750">
        <f>(salidas26[[#This Row],[CANT BARRAS]]*salidas26[[#This Row],[PRECIO BARRA]])</f>
        <v>0</v>
      </c>
      <c r="K750">
        <v>210</v>
      </c>
      <c r="L750" t="s">
        <v>465</v>
      </c>
      <c r="M750" t="s">
        <v>471</v>
      </c>
    </row>
    <row r="751" spans="1:13">
      <c r="A751">
        <v>517</v>
      </c>
      <c r="B751">
        <v>8068</v>
      </c>
      <c r="C7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751" s="32">
        <v>46093</v>
      </c>
      <c r="E7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7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751">
        <v>1</v>
      </c>
      <c r="I751">
        <f>(salidas26[[#This Row],[CANT JUEGOS ]]*salidas26[[#This Row],[PRECIO JUEGO]])</f>
        <v>220</v>
      </c>
      <c r="J751">
        <f>(salidas26[[#This Row],[CANT BARRAS]]*salidas26[[#This Row],[PRECIO BARRA]])</f>
        <v>0</v>
      </c>
      <c r="K751">
        <v>200</v>
      </c>
      <c r="L751" t="s">
        <v>465</v>
      </c>
      <c r="M751" t="s">
        <v>523</v>
      </c>
    </row>
    <row r="752" spans="1:13">
      <c r="A752">
        <v>518</v>
      </c>
      <c r="B752">
        <v>7004</v>
      </c>
      <c r="C7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752" s="32">
        <v>46093</v>
      </c>
      <c r="E7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52">
        <v>1</v>
      </c>
      <c r="I752">
        <f>(salidas26[[#This Row],[CANT JUEGOS ]]*salidas26[[#This Row],[PRECIO JUEGO]])</f>
        <v>150</v>
      </c>
      <c r="J752">
        <f>(salidas26[[#This Row],[CANT BARRAS]]*salidas26[[#This Row],[PRECIO BARRA]])</f>
        <v>0</v>
      </c>
      <c r="K752">
        <v>140</v>
      </c>
      <c r="L752" t="s">
        <v>465</v>
      </c>
      <c r="M752" t="s">
        <v>722</v>
      </c>
    </row>
    <row r="753" spans="1:13">
      <c r="A753">
        <v>519</v>
      </c>
      <c r="B753">
        <v>2075</v>
      </c>
      <c r="C7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753" s="32">
        <v>46093</v>
      </c>
      <c r="E7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7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753">
        <v>1</v>
      </c>
      <c r="I753">
        <f>(salidas26[[#This Row],[CANT JUEGOS ]]*salidas26[[#This Row],[PRECIO JUEGO]])</f>
        <v>200</v>
      </c>
      <c r="J753">
        <f>(salidas26[[#This Row],[CANT BARRAS]]*salidas26[[#This Row],[PRECIO BARRA]])</f>
        <v>0</v>
      </c>
      <c r="K753">
        <v>200</v>
      </c>
      <c r="L753" t="s">
        <v>465</v>
      </c>
      <c r="M753" t="s">
        <v>481</v>
      </c>
    </row>
    <row r="754" spans="1:13">
      <c r="A754">
        <v>520</v>
      </c>
      <c r="B754">
        <v>1075</v>
      </c>
      <c r="C7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754" s="32">
        <v>46093</v>
      </c>
      <c r="E7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7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54">
        <v>1</v>
      </c>
      <c r="I754">
        <f>(salidas26[[#This Row],[CANT JUEGOS ]]*salidas26[[#This Row],[PRECIO JUEGO]])</f>
        <v>240</v>
      </c>
      <c r="J754">
        <f>(salidas26[[#This Row],[CANT BARRAS]]*salidas26[[#This Row],[PRECIO BARRA]])</f>
        <v>0</v>
      </c>
      <c r="K754">
        <v>225</v>
      </c>
      <c r="L754" t="s">
        <v>496</v>
      </c>
      <c r="M754" t="s">
        <v>509</v>
      </c>
    </row>
    <row r="755" spans="1:13">
      <c r="A755">
        <v>521</v>
      </c>
      <c r="B755">
        <v>2087</v>
      </c>
      <c r="C7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755" s="32">
        <v>46093</v>
      </c>
      <c r="E7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7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755">
        <v>1</v>
      </c>
      <c r="I755">
        <f>(salidas26[[#This Row],[CANT JUEGOS ]]*salidas26[[#This Row],[PRECIO JUEGO]])</f>
        <v>240</v>
      </c>
      <c r="J755">
        <f>(salidas26[[#This Row],[CANT BARRAS]]*salidas26[[#This Row],[PRECIO BARRA]])</f>
        <v>0</v>
      </c>
      <c r="K755">
        <v>220</v>
      </c>
      <c r="L755" t="s">
        <v>465</v>
      </c>
      <c r="M755" t="s">
        <v>628</v>
      </c>
    </row>
    <row r="756" spans="1:13">
      <c r="A756">
        <v>522</v>
      </c>
      <c r="B756">
        <v>1000</v>
      </c>
      <c r="C7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756" s="32">
        <v>46093</v>
      </c>
      <c r="E7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756">
        <v>1</v>
      </c>
      <c r="I756">
        <f>(salidas26[[#This Row],[CANT JUEGOS ]]*salidas26[[#This Row],[PRECIO JUEGO]])</f>
        <v>80</v>
      </c>
      <c r="J756">
        <f>(salidas26[[#This Row],[CANT BARRAS]]*salidas26[[#This Row],[PRECIO BARRA]])</f>
        <v>0</v>
      </c>
      <c r="K756">
        <v>80</v>
      </c>
      <c r="L756" t="s">
        <v>465</v>
      </c>
      <c r="M756" t="s">
        <v>481</v>
      </c>
    </row>
    <row r="757" spans="1:13">
      <c r="A757">
        <v>525</v>
      </c>
      <c r="B757">
        <v>2107</v>
      </c>
      <c r="C7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AU8000-/4B</v>
      </c>
      <c r="D757" s="32">
        <v>46093</v>
      </c>
      <c r="E7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7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757">
        <v>1</v>
      </c>
      <c r="I757">
        <f>(salidas26[[#This Row],[CANT JUEGOS ]]*salidas26[[#This Row],[PRECIO JUEGO]])</f>
        <v>400</v>
      </c>
      <c r="J757">
        <f>(salidas26[[#This Row],[CANT BARRAS]]*salidas26[[#This Row],[PRECIO BARRA]])</f>
        <v>0</v>
      </c>
      <c r="K757">
        <v>300</v>
      </c>
      <c r="L757" t="s">
        <v>496</v>
      </c>
      <c r="M757" t="s">
        <v>723</v>
      </c>
    </row>
    <row r="758" spans="1:13">
      <c r="A758">
        <v>526</v>
      </c>
      <c r="B758">
        <v>8021</v>
      </c>
      <c r="C7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758" s="32">
        <v>46093</v>
      </c>
      <c r="E7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58">
        <v>2</v>
      </c>
      <c r="I758">
        <f>(salidas26[[#This Row],[CANT JUEGOS ]]*salidas26[[#This Row],[PRECIO JUEGO]])</f>
        <v>120</v>
      </c>
      <c r="J758">
        <f>(salidas26[[#This Row],[CANT BARRAS]]*salidas26[[#This Row],[PRECIO BARRA]])</f>
        <v>0</v>
      </c>
      <c r="K758">
        <v>96</v>
      </c>
      <c r="L758" t="s">
        <v>496</v>
      </c>
      <c r="M758" t="s">
        <v>497</v>
      </c>
    </row>
    <row r="759" spans="1:13">
      <c r="A759">
        <v>527</v>
      </c>
      <c r="B759">
        <v>1011</v>
      </c>
      <c r="C7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759" s="32">
        <v>46093</v>
      </c>
      <c r="E7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59">
        <v>1</v>
      </c>
      <c r="I759">
        <f>(salidas26[[#This Row],[CANT JUEGOS ]]*salidas26[[#This Row],[PRECIO JUEGO]])</f>
        <v>70</v>
      </c>
      <c r="J759">
        <f>(salidas26[[#This Row],[CANT BARRAS]]*salidas26[[#This Row],[PRECIO BARRA]])</f>
        <v>0</v>
      </c>
      <c r="K759">
        <v>48</v>
      </c>
      <c r="L759" t="s">
        <v>496</v>
      </c>
      <c r="M759" t="s">
        <v>497</v>
      </c>
    </row>
    <row r="760" spans="1:13">
      <c r="A760">
        <v>528</v>
      </c>
      <c r="B760">
        <v>7004</v>
      </c>
      <c r="C7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760" s="32">
        <v>46093</v>
      </c>
      <c r="E7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60">
        <v>1</v>
      </c>
      <c r="I760">
        <f>(salidas26[[#This Row],[CANT JUEGOS ]]*salidas26[[#This Row],[PRECIO JUEGO]])</f>
        <v>150</v>
      </c>
      <c r="J760">
        <f>(salidas26[[#This Row],[CANT BARRAS]]*salidas26[[#This Row],[PRECIO BARRA]])</f>
        <v>0</v>
      </c>
      <c r="K760">
        <v>120</v>
      </c>
      <c r="L760" t="s">
        <v>496</v>
      </c>
      <c r="M760" t="s">
        <v>497</v>
      </c>
    </row>
    <row r="761" spans="1:13">
      <c r="A761">
        <v>529</v>
      </c>
      <c r="B761">
        <v>1087</v>
      </c>
      <c r="C7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49LK5400 /8B</v>
      </c>
      <c r="D761" s="32">
        <v>46093</v>
      </c>
      <c r="E7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7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761">
        <v>1</v>
      </c>
      <c r="I761">
        <f>(salidas26[[#This Row],[CANT JUEGOS ]]*salidas26[[#This Row],[PRECIO JUEGO]])</f>
        <v>220</v>
      </c>
      <c r="J761">
        <f>(salidas26[[#This Row],[CANT BARRAS]]*salidas26[[#This Row],[PRECIO BARRA]])</f>
        <v>0</v>
      </c>
      <c r="K761">
        <v>176</v>
      </c>
      <c r="L761" t="s">
        <v>496</v>
      </c>
      <c r="M761" t="s">
        <v>497</v>
      </c>
    </row>
    <row r="762" spans="1:13">
      <c r="A762">
        <v>523</v>
      </c>
      <c r="B762">
        <v>2075</v>
      </c>
      <c r="C7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762" s="32">
        <v>46094</v>
      </c>
      <c r="E7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7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762">
        <v>1</v>
      </c>
      <c r="I762">
        <f>(salidas26[[#This Row],[CANT JUEGOS ]]*salidas26[[#This Row],[PRECIO JUEGO]])</f>
        <v>200</v>
      </c>
      <c r="J762">
        <f>(salidas26[[#This Row],[CANT BARRAS]]*salidas26[[#This Row],[PRECIO BARRA]])</f>
        <v>0</v>
      </c>
      <c r="K762">
        <v>200</v>
      </c>
      <c r="L762" t="s">
        <v>496</v>
      </c>
      <c r="M762" t="s">
        <v>546</v>
      </c>
    </row>
    <row r="763" spans="1:13">
      <c r="A763">
        <v>524</v>
      </c>
      <c r="B763">
        <v>8021</v>
      </c>
      <c r="C7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763" s="32">
        <v>46094</v>
      </c>
      <c r="E7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63">
        <v>1</v>
      </c>
      <c r="I763">
        <f>(salidas26[[#This Row],[CANT JUEGOS ]]*salidas26[[#This Row],[PRECIO JUEGO]])</f>
        <v>60</v>
      </c>
      <c r="J763">
        <f>(salidas26[[#This Row],[CANT BARRAS]]*salidas26[[#This Row],[PRECIO BARRA]])</f>
        <v>0</v>
      </c>
      <c r="K763">
        <v>60</v>
      </c>
      <c r="L763" t="s">
        <v>496</v>
      </c>
      <c r="M763" t="s">
        <v>482</v>
      </c>
    </row>
    <row r="764" spans="1:13">
      <c r="A764">
        <v>531</v>
      </c>
      <c r="B764">
        <v>2051</v>
      </c>
      <c r="C7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764" s="32">
        <v>46094</v>
      </c>
      <c r="E7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7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764">
        <v>1</v>
      </c>
      <c r="I764">
        <f>(salidas26[[#This Row],[CANT JUEGOS ]]*salidas26[[#This Row],[PRECIO JUEGO]])</f>
        <v>260</v>
      </c>
      <c r="J764">
        <f>(salidas26[[#This Row],[CANT BARRAS]]*salidas26[[#This Row],[PRECIO BARRA]])</f>
        <v>0</v>
      </c>
      <c r="K764">
        <v>250</v>
      </c>
      <c r="L764" t="s">
        <v>465</v>
      </c>
      <c r="M764" t="s">
        <v>466</v>
      </c>
    </row>
    <row r="765" spans="1:13">
      <c r="A765">
        <v>532</v>
      </c>
      <c r="B765">
        <v>8098</v>
      </c>
      <c r="C7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765" s="32">
        <v>46094</v>
      </c>
      <c r="E7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7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65">
        <v>1</v>
      </c>
      <c r="I765">
        <f>(salidas26[[#This Row],[CANT JUEGOS ]]*salidas26[[#This Row],[PRECIO JUEGO]])</f>
        <v>420</v>
      </c>
      <c r="J765">
        <f>(salidas26[[#This Row],[CANT BARRAS]]*salidas26[[#This Row],[PRECIO BARRA]])</f>
        <v>0</v>
      </c>
      <c r="K765">
        <v>400</v>
      </c>
      <c r="L765" t="s">
        <v>465</v>
      </c>
      <c r="M765" t="s">
        <v>726</v>
      </c>
    </row>
    <row r="766" spans="1:13">
      <c r="A766">
        <v>533</v>
      </c>
      <c r="B766">
        <v>2078</v>
      </c>
      <c r="C7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766" s="32">
        <v>46094</v>
      </c>
      <c r="E7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7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766">
        <v>1</v>
      </c>
      <c r="I766">
        <f>(salidas26[[#This Row],[CANT JUEGOS ]]*salidas26[[#This Row],[PRECIO JUEGO]])</f>
        <v>250</v>
      </c>
      <c r="J766">
        <f>(salidas26[[#This Row],[CANT BARRAS]]*salidas26[[#This Row],[PRECIO BARRA]])</f>
        <v>0</v>
      </c>
      <c r="K766">
        <v>260</v>
      </c>
      <c r="L766" t="s">
        <v>465</v>
      </c>
      <c r="M766" t="s">
        <v>481</v>
      </c>
    </row>
    <row r="767" spans="1:13">
      <c r="A767">
        <v>534</v>
      </c>
      <c r="B767">
        <v>8124</v>
      </c>
      <c r="C7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767" s="32">
        <v>46094</v>
      </c>
      <c r="E7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7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767">
        <v>24</v>
      </c>
      <c r="I767">
        <f>(salidas26[[#This Row],[CANT JUEGOS ]]*salidas26[[#This Row],[PRECIO JUEGO]])</f>
        <v>0</v>
      </c>
      <c r="J767">
        <f>(salidas26[[#This Row],[CANT BARRAS]]*salidas26[[#This Row],[PRECIO BARRA]])</f>
        <v>84</v>
      </c>
      <c r="K767">
        <v>80</v>
      </c>
      <c r="L767" t="s">
        <v>465</v>
      </c>
      <c r="M767" t="s">
        <v>481</v>
      </c>
    </row>
    <row r="768" spans="1:13">
      <c r="A768">
        <v>535</v>
      </c>
      <c r="B768">
        <v>2102</v>
      </c>
      <c r="C7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UN75F400/36B</v>
      </c>
      <c r="D768" s="32">
        <v>46094</v>
      </c>
      <c r="E7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1300</v>
      </c>
      <c r="F7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36.111111111111114</v>
      </c>
      <c r="G768">
        <v>1</v>
      </c>
      <c r="I768">
        <f>(salidas26[[#This Row],[CANT JUEGOS ]]*salidas26[[#This Row],[PRECIO JUEGO]])</f>
        <v>1300</v>
      </c>
      <c r="J768">
        <f>(salidas26[[#This Row],[CANT BARRAS]]*salidas26[[#This Row],[PRECIO BARRA]])</f>
        <v>0</v>
      </c>
      <c r="K768">
        <v>1040</v>
      </c>
      <c r="L768" t="s">
        <v>496</v>
      </c>
      <c r="M768" t="s">
        <v>497</v>
      </c>
    </row>
    <row r="769" spans="1:13">
      <c r="A769">
        <v>536</v>
      </c>
      <c r="B769">
        <v>8033</v>
      </c>
      <c r="C7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769" s="32">
        <v>46094</v>
      </c>
      <c r="E7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69">
        <v>1</v>
      </c>
      <c r="I769">
        <f>(salidas26[[#This Row],[CANT JUEGOS ]]*salidas26[[#This Row],[PRECIO JUEGO]])</f>
        <v>150</v>
      </c>
      <c r="J769">
        <f>(salidas26[[#This Row],[CANT BARRAS]]*salidas26[[#This Row],[PRECIO BARRA]])</f>
        <v>0</v>
      </c>
      <c r="K769">
        <v>120</v>
      </c>
      <c r="L769" t="s">
        <v>465</v>
      </c>
      <c r="M769" t="s">
        <v>471</v>
      </c>
    </row>
    <row r="770" spans="1:13">
      <c r="A770">
        <v>537</v>
      </c>
      <c r="B770">
        <v>6131</v>
      </c>
      <c r="C7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770" s="32">
        <v>46094</v>
      </c>
      <c r="E7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7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770">
        <v>12</v>
      </c>
      <c r="I770">
        <f>(salidas26[[#This Row],[CANT JUEGOS ]]*salidas26[[#This Row],[PRECIO JUEGO]])</f>
        <v>0</v>
      </c>
      <c r="J770">
        <f>(salidas26[[#This Row],[CANT BARRAS]]*salidas26[[#This Row],[PRECIO BARRA]])</f>
        <v>400</v>
      </c>
      <c r="K770">
        <v>420</v>
      </c>
      <c r="L770" t="s">
        <v>496</v>
      </c>
      <c r="M770" t="s">
        <v>658</v>
      </c>
    </row>
    <row r="771" spans="1:13">
      <c r="A771">
        <v>538</v>
      </c>
      <c r="B771">
        <v>2039</v>
      </c>
      <c r="C7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UN48H4200/8B</v>
      </c>
      <c r="D771" s="32">
        <v>46094</v>
      </c>
      <c r="E7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7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71">
        <v>1</v>
      </c>
      <c r="I771">
        <f>(salidas26[[#This Row],[CANT JUEGOS ]]*salidas26[[#This Row],[PRECIO JUEGO]])</f>
        <v>280</v>
      </c>
      <c r="J771">
        <f>(salidas26[[#This Row],[CANT BARRAS]]*salidas26[[#This Row],[PRECIO BARRA]])</f>
        <v>0</v>
      </c>
      <c r="K771">
        <v>250</v>
      </c>
      <c r="L771" t="s">
        <v>465</v>
      </c>
      <c r="M771" t="s">
        <v>658</v>
      </c>
    </row>
    <row r="772" spans="1:13">
      <c r="A772">
        <v>539</v>
      </c>
      <c r="B772">
        <v>1033</v>
      </c>
      <c r="C7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772" s="32">
        <v>46094</v>
      </c>
      <c r="E7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772">
        <v>1</v>
      </c>
      <c r="I772">
        <f>(salidas26[[#This Row],[CANT JUEGOS ]]*salidas26[[#This Row],[PRECIO JUEGO]])</f>
        <v>180</v>
      </c>
      <c r="J772">
        <f>(salidas26[[#This Row],[CANT BARRAS]]*salidas26[[#This Row],[PRECIO BARRA]])</f>
        <v>0</v>
      </c>
      <c r="K772">
        <v>180</v>
      </c>
      <c r="L772" t="s">
        <v>465</v>
      </c>
      <c r="M772" t="s">
        <v>523</v>
      </c>
    </row>
    <row r="773" spans="1:13">
      <c r="A773">
        <v>540</v>
      </c>
      <c r="B773">
        <v>6022</v>
      </c>
      <c r="C7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773" s="32">
        <v>46094</v>
      </c>
      <c r="E7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7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773">
        <v>1</v>
      </c>
      <c r="I773">
        <f>(salidas26[[#This Row],[CANT JUEGOS ]]*salidas26[[#This Row],[PRECIO JUEGO]])</f>
        <v>350</v>
      </c>
      <c r="J773">
        <f>(salidas26[[#This Row],[CANT BARRAS]]*salidas26[[#This Row],[PRECIO BARRA]])</f>
        <v>0</v>
      </c>
      <c r="K773">
        <v>300</v>
      </c>
      <c r="L773" t="s">
        <v>496</v>
      </c>
      <c r="M773" t="s">
        <v>635</v>
      </c>
    </row>
    <row r="774" spans="1:13">
      <c r="A774">
        <v>541</v>
      </c>
      <c r="B774">
        <v>8033</v>
      </c>
      <c r="C7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774" s="32">
        <v>46094</v>
      </c>
      <c r="E7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74">
        <v>1</v>
      </c>
      <c r="I774">
        <f>(salidas26[[#This Row],[CANT JUEGOS ]]*salidas26[[#This Row],[PRECIO JUEGO]])</f>
        <v>150</v>
      </c>
      <c r="J774">
        <f>(salidas26[[#This Row],[CANT BARRAS]]*salidas26[[#This Row],[PRECIO BARRA]])</f>
        <v>0</v>
      </c>
      <c r="K774">
        <v>150</v>
      </c>
      <c r="L774" t="s">
        <v>465</v>
      </c>
      <c r="M774" t="s">
        <v>536</v>
      </c>
    </row>
    <row r="775" spans="1:13">
      <c r="A775">
        <v>542</v>
      </c>
      <c r="B775">
        <v>8033</v>
      </c>
      <c r="C7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775" s="32">
        <v>46095</v>
      </c>
      <c r="E7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75">
        <v>1</v>
      </c>
      <c r="I775">
        <f>(salidas26[[#This Row],[CANT JUEGOS ]]*salidas26[[#This Row],[PRECIO JUEGO]])</f>
        <v>150</v>
      </c>
      <c r="J775">
        <f>(salidas26[[#This Row],[CANT BARRAS]]*salidas26[[#This Row],[PRECIO BARRA]])</f>
        <v>0</v>
      </c>
      <c r="K775">
        <v>130</v>
      </c>
      <c r="L775" t="s">
        <v>465</v>
      </c>
      <c r="M775" t="s">
        <v>724</v>
      </c>
    </row>
    <row r="776" spans="1:13">
      <c r="A776">
        <v>543</v>
      </c>
      <c r="B776">
        <v>2000</v>
      </c>
      <c r="C7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776" s="32">
        <v>46095</v>
      </c>
      <c r="E7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776">
        <v>1</v>
      </c>
      <c r="I776">
        <f>(salidas26[[#This Row],[CANT JUEGOS ]]*salidas26[[#This Row],[PRECIO JUEGO]])</f>
        <v>80</v>
      </c>
      <c r="J776">
        <f>(salidas26[[#This Row],[CANT BARRAS]]*salidas26[[#This Row],[PRECIO BARRA]])</f>
        <v>0</v>
      </c>
      <c r="K776">
        <v>70</v>
      </c>
      <c r="L776" t="s">
        <v>465</v>
      </c>
      <c r="M776" t="s">
        <v>724</v>
      </c>
    </row>
    <row r="777" spans="1:13">
      <c r="A777">
        <v>544</v>
      </c>
      <c r="B777">
        <v>6000</v>
      </c>
      <c r="C7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777" s="32">
        <v>46095</v>
      </c>
      <c r="E7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77">
        <v>1</v>
      </c>
      <c r="I777">
        <f>(salidas26[[#This Row],[CANT JUEGOS ]]*salidas26[[#This Row],[PRECIO JUEGO]])</f>
        <v>60</v>
      </c>
      <c r="J777">
        <f>(salidas26[[#This Row],[CANT BARRAS]]*salidas26[[#This Row],[PRECIO BARRA]])</f>
        <v>0</v>
      </c>
      <c r="K777">
        <v>60</v>
      </c>
      <c r="L777" t="s">
        <v>465</v>
      </c>
      <c r="M777" t="s">
        <v>481</v>
      </c>
    </row>
    <row r="778" spans="1:13">
      <c r="A778">
        <v>545</v>
      </c>
      <c r="B778">
        <v>2039</v>
      </c>
      <c r="C7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UN48H4200/8B</v>
      </c>
      <c r="D778" s="32">
        <v>46095</v>
      </c>
      <c r="E7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7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78">
        <v>1</v>
      </c>
      <c r="I778">
        <f>(salidas26[[#This Row],[CANT JUEGOS ]]*salidas26[[#This Row],[PRECIO JUEGO]])</f>
        <v>280</v>
      </c>
      <c r="J778">
        <f>(salidas26[[#This Row],[CANT BARRAS]]*salidas26[[#This Row],[PRECIO BARRA]])</f>
        <v>0</v>
      </c>
      <c r="K778">
        <v>230</v>
      </c>
      <c r="L778" t="s">
        <v>496</v>
      </c>
      <c r="M778" t="s">
        <v>474</v>
      </c>
    </row>
    <row r="779" spans="1:13">
      <c r="A779">
        <v>546</v>
      </c>
      <c r="B779">
        <v>8015</v>
      </c>
      <c r="C7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779" s="32">
        <v>46095</v>
      </c>
      <c r="E7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79">
        <v>2</v>
      </c>
      <c r="I779">
        <f>(salidas26[[#This Row],[CANT JUEGOS ]]*salidas26[[#This Row],[PRECIO JUEGO]])</f>
        <v>120</v>
      </c>
      <c r="J779">
        <f>(salidas26[[#This Row],[CANT BARRAS]]*salidas26[[#This Row],[PRECIO BARRA]])</f>
        <v>0</v>
      </c>
      <c r="K779">
        <v>120</v>
      </c>
      <c r="L779" t="s">
        <v>496</v>
      </c>
      <c r="M779" t="s">
        <v>474</v>
      </c>
    </row>
    <row r="780" spans="1:13">
      <c r="A780">
        <v>547</v>
      </c>
      <c r="B780">
        <v>7002</v>
      </c>
      <c r="C7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780" s="32">
        <v>46097</v>
      </c>
      <c r="E7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80">
        <v>1</v>
      </c>
      <c r="I780">
        <f>(salidas26[[#This Row],[CANT JUEGOS ]]*salidas26[[#This Row],[PRECIO JUEGO]])</f>
        <v>70</v>
      </c>
      <c r="J780">
        <f>(salidas26[[#This Row],[CANT BARRAS]]*salidas26[[#This Row],[PRECIO BARRA]])</f>
        <v>0</v>
      </c>
      <c r="K780">
        <v>50</v>
      </c>
      <c r="L780" t="s">
        <v>465</v>
      </c>
      <c r="M780" t="s">
        <v>470</v>
      </c>
    </row>
    <row r="781" spans="1:13">
      <c r="A781">
        <v>548</v>
      </c>
      <c r="B781">
        <v>1011</v>
      </c>
      <c r="C7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781" s="32">
        <v>46097</v>
      </c>
      <c r="E7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81">
        <v>1</v>
      </c>
      <c r="I781">
        <f>(salidas26[[#This Row],[CANT JUEGOS ]]*salidas26[[#This Row],[PRECIO JUEGO]])</f>
        <v>70</v>
      </c>
      <c r="J781">
        <f>(salidas26[[#This Row],[CANT BARRAS]]*salidas26[[#This Row],[PRECIO BARRA]])</f>
        <v>0</v>
      </c>
      <c r="K781">
        <v>50</v>
      </c>
      <c r="L781" t="s">
        <v>465</v>
      </c>
      <c r="M781" t="s">
        <v>470</v>
      </c>
    </row>
    <row r="782" spans="1:13">
      <c r="A782">
        <v>549</v>
      </c>
      <c r="B782">
        <v>8100</v>
      </c>
      <c r="C7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782" s="32">
        <v>46097</v>
      </c>
      <c r="E7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782">
        <v>1</v>
      </c>
      <c r="I782">
        <f>(salidas26[[#This Row],[CANT JUEGOS ]]*salidas26[[#This Row],[PRECIO JUEGO]])</f>
        <v>300</v>
      </c>
      <c r="J782">
        <f>(salidas26[[#This Row],[CANT BARRAS]]*salidas26[[#This Row],[PRECIO BARRA]])</f>
        <v>0</v>
      </c>
      <c r="K782">
        <v>300</v>
      </c>
      <c r="L782" t="s">
        <v>465</v>
      </c>
      <c r="M782" t="s">
        <v>466</v>
      </c>
    </row>
    <row r="783" spans="1:13">
      <c r="A783">
        <v>550</v>
      </c>
      <c r="B783">
        <v>8081</v>
      </c>
      <c r="C7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55CHINO12L/3B-MG4S55X-TC-55GX500P PANASONIC 4B</v>
      </c>
      <c r="D783" s="32">
        <v>46097</v>
      </c>
      <c r="E7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783">
        <v>1</v>
      </c>
      <c r="I783">
        <f>(salidas26[[#This Row],[CANT JUEGOS ]]*salidas26[[#This Row],[PRECIO JUEGO]])</f>
        <v>300</v>
      </c>
      <c r="J783">
        <f>(salidas26[[#This Row],[CANT BARRAS]]*salidas26[[#This Row],[PRECIO BARRA]])</f>
        <v>0</v>
      </c>
      <c r="K783">
        <v>300</v>
      </c>
      <c r="L783" t="s">
        <v>465</v>
      </c>
      <c r="M783" t="s">
        <v>658</v>
      </c>
    </row>
    <row r="784" spans="1:13">
      <c r="A784">
        <v>551</v>
      </c>
      <c r="B784">
        <v>1015</v>
      </c>
      <c r="C7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784" s="32">
        <v>46095</v>
      </c>
      <c r="E7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784">
        <v>1</v>
      </c>
      <c r="I784">
        <f>(salidas26[[#This Row],[CANT JUEGOS ]]*salidas26[[#This Row],[PRECIO JUEGO]])</f>
        <v>80</v>
      </c>
      <c r="J784">
        <f>(salidas26[[#This Row],[CANT BARRAS]]*salidas26[[#This Row],[PRECIO BARRA]])</f>
        <v>0</v>
      </c>
      <c r="K784">
        <v>90</v>
      </c>
      <c r="L784" t="s">
        <v>496</v>
      </c>
      <c r="M784" t="s">
        <v>474</v>
      </c>
    </row>
    <row r="785" spans="1:13">
      <c r="A785">
        <v>552</v>
      </c>
      <c r="B785">
        <v>1117</v>
      </c>
      <c r="C7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785" s="32">
        <v>46095</v>
      </c>
      <c r="E7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7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85">
        <v>1</v>
      </c>
      <c r="I785">
        <f>(salidas26[[#This Row],[CANT JUEGOS ]]*salidas26[[#This Row],[PRECIO JUEGO]])</f>
        <v>350</v>
      </c>
      <c r="J785">
        <f>(salidas26[[#This Row],[CANT BARRAS]]*salidas26[[#This Row],[PRECIO BARRA]])</f>
        <v>0</v>
      </c>
      <c r="K785">
        <v>350</v>
      </c>
      <c r="L785" t="s">
        <v>496</v>
      </c>
      <c r="M785" t="s">
        <v>474</v>
      </c>
    </row>
    <row r="786" spans="1:13">
      <c r="A786">
        <v>553</v>
      </c>
      <c r="B786">
        <v>5002</v>
      </c>
      <c r="C7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786" s="32">
        <v>46097</v>
      </c>
      <c r="E7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7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86">
        <v>1</v>
      </c>
      <c r="I786">
        <f>(salidas26[[#This Row],[CANT JUEGOS ]]*salidas26[[#This Row],[PRECIO JUEGO]])</f>
        <v>90</v>
      </c>
      <c r="J786">
        <f>(salidas26[[#This Row],[CANT BARRAS]]*salidas26[[#This Row],[PRECIO BARRA]])</f>
        <v>0</v>
      </c>
      <c r="K786">
        <v>90</v>
      </c>
      <c r="L786" t="s">
        <v>465</v>
      </c>
      <c r="M786" t="s">
        <v>523</v>
      </c>
    </row>
    <row r="787" spans="1:13">
      <c r="A787">
        <v>554</v>
      </c>
      <c r="B787">
        <v>8055</v>
      </c>
      <c r="C7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787" s="32">
        <v>46097</v>
      </c>
      <c r="E7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7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787">
        <v>1</v>
      </c>
      <c r="I787">
        <f>(salidas26[[#This Row],[CANT JUEGOS ]]*salidas26[[#This Row],[PRECIO JUEGO]])</f>
        <v>180</v>
      </c>
      <c r="J787">
        <f>(salidas26[[#This Row],[CANT BARRAS]]*salidas26[[#This Row],[PRECIO BARRA]])</f>
        <v>0</v>
      </c>
      <c r="K787">
        <v>180</v>
      </c>
      <c r="L787" t="s">
        <v>465</v>
      </c>
      <c r="M787" t="s">
        <v>481</v>
      </c>
    </row>
    <row r="788" spans="1:13">
      <c r="A788">
        <v>555</v>
      </c>
      <c r="B788">
        <v>8095</v>
      </c>
      <c r="C7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788" s="32">
        <v>46097</v>
      </c>
      <c r="E7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88">
        <v>1</v>
      </c>
      <c r="I788">
        <f>(salidas26[[#This Row],[CANT JUEGOS ]]*salidas26[[#This Row],[PRECIO JUEGO]])</f>
        <v>300</v>
      </c>
      <c r="J788">
        <f>(salidas26[[#This Row],[CANT BARRAS]]*salidas26[[#This Row],[PRECIO BARRA]])</f>
        <v>0</v>
      </c>
      <c r="K788">
        <v>280</v>
      </c>
      <c r="L788" t="s">
        <v>465</v>
      </c>
      <c r="M788" t="s">
        <v>575</v>
      </c>
    </row>
    <row r="789" spans="1:13">
      <c r="A789">
        <v>556</v>
      </c>
      <c r="B789">
        <v>8094</v>
      </c>
      <c r="C7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AIWA CHIQ CROWN 15L/3V/6B DIF180º</v>
      </c>
      <c r="D789" s="32">
        <v>46097</v>
      </c>
      <c r="E7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78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789">
        <v>1</v>
      </c>
      <c r="I789">
        <f>(salidas26[[#This Row],[CANT JUEGOS ]]*salidas26[[#This Row],[PRECIO JUEGO]])</f>
        <v>320</v>
      </c>
      <c r="J789" t="e">
        <f>(salidas26[[#This Row],[CANT BARRAS]]*salidas26[[#This Row],[PRECIO BARRA]])</f>
        <v>#VALUE!</v>
      </c>
      <c r="K789">
        <v>300</v>
      </c>
      <c r="L789" t="s">
        <v>465</v>
      </c>
      <c r="M789" t="s">
        <v>542</v>
      </c>
    </row>
    <row r="790" spans="1:13">
      <c r="A790">
        <v>557</v>
      </c>
      <c r="B790">
        <v>8003</v>
      </c>
      <c r="C7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790" s="32">
        <v>46097</v>
      </c>
      <c r="E7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7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90">
        <v>1</v>
      </c>
      <c r="I790">
        <f>(salidas26[[#This Row],[CANT JUEGOS ]]*salidas26[[#This Row],[PRECIO JUEGO]])</f>
        <v>70</v>
      </c>
      <c r="J790">
        <f>(salidas26[[#This Row],[CANT BARRAS]]*salidas26[[#This Row],[PRECIO BARRA]])</f>
        <v>0</v>
      </c>
      <c r="K790">
        <v>70</v>
      </c>
      <c r="L790" t="s">
        <v>465</v>
      </c>
      <c r="M790" t="s">
        <v>542</v>
      </c>
    </row>
    <row r="791" spans="1:13">
      <c r="A791">
        <v>558</v>
      </c>
      <c r="B791">
        <v>1015</v>
      </c>
      <c r="C7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791" s="32">
        <v>46097</v>
      </c>
      <c r="E7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7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791">
        <v>1</v>
      </c>
      <c r="I791">
        <f>(salidas26[[#This Row],[CANT JUEGOS ]]*salidas26[[#This Row],[PRECIO JUEGO]])</f>
        <v>80</v>
      </c>
      <c r="J791">
        <f>(salidas26[[#This Row],[CANT BARRAS]]*salidas26[[#This Row],[PRECIO BARRA]])</f>
        <v>0</v>
      </c>
      <c r="K791">
        <v>90</v>
      </c>
      <c r="L791" t="s">
        <v>465</v>
      </c>
      <c r="M791" t="s">
        <v>677</v>
      </c>
    </row>
    <row r="792" spans="1:13">
      <c r="A792">
        <v>559</v>
      </c>
      <c r="B792">
        <v>1138</v>
      </c>
      <c r="C7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792" s="32">
        <v>46097</v>
      </c>
      <c r="E7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7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792">
        <v>1</v>
      </c>
      <c r="I792">
        <f>(salidas26[[#This Row],[CANT JUEGOS ]]*salidas26[[#This Row],[PRECIO JUEGO]])</f>
        <v>280</v>
      </c>
      <c r="J792">
        <f>(salidas26[[#This Row],[CANT BARRAS]]*salidas26[[#This Row],[PRECIO BARRA]])</f>
        <v>0</v>
      </c>
      <c r="K792">
        <v>280</v>
      </c>
      <c r="L792" t="s">
        <v>465</v>
      </c>
      <c r="M792" t="s">
        <v>628</v>
      </c>
    </row>
    <row r="793" spans="1:13">
      <c r="A793">
        <v>560</v>
      </c>
      <c r="B793">
        <v>4000</v>
      </c>
      <c r="C7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793" s="32">
        <v>46097</v>
      </c>
      <c r="E7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93">
        <v>1</v>
      </c>
      <c r="I793">
        <f>(salidas26[[#This Row],[CANT JUEGOS ]]*salidas26[[#This Row],[PRECIO JUEGO]])</f>
        <v>60</v>
      </c>
      <c r="J793">
        <f>(salidas26[[#This Row],[CANT BARRAS]]*salidas26[[#This Row],[PRECIO BARRA]])</f>
        <v>0</v>
      </c>
      <c r="K793">
        <v>60</v>
      </c>
      <c r="L793" t="s">
        <v>465</v>
      </c>
      <c r="M793" t="s">
        <v>470</v>
      </c>
    </row>
    <row r="794" spans="1:13">
      <c r="A794">
        <v>561</v>
      </c>
      <c r="B794">
        <v>2057</v>
      </c>
      <c r="C7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UN50F5000 -50F6400/ 18B</v>
      </c>
      <c r="D794" s="32">
        <v>46097</v>
      </c>
      <c r="E7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7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794">
        <v>1</v>
      </c>
      <c r="I794">
        <f>(salidas26[[#This Row],[CANT JUEGOS ]]*salidas26[[#This Row],[PRECIO JUEGO]])</f>
        <v>400</v>
      </c>
      <c r="J794">
        <f>(salidas26[[#This Row],[CANT BARRAS]]*salidas26[[#This Row],[PRECIO BARRA]])</f>
        <v>0</v>
      </c>
      <c r="K794">
        <v>320</v>
      </c>
      <c r="L794" t="s">
        <v>465</v>
      </c>
      <c r="M794" t="s">
        <v>497</v>
      </c>
    </row>
    <row r="795" spans="1:13">
      <c r="A795">
        <v>562</v>
      </c>
      <c r="B795">
        <v>8030</v>
      </c>
      <c r="C7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TCL 10L/6V/2B DIF 180º</v>
      </c>
      <c r="D795" s="32">
        <v>46097</v>
      </c>
      <c r="E7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7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795">
        <v>1</v>
      </c>
      <c r="I795">
        <f>(salidas26[[#This Row],[CANT JUEGOS ]]*salidas26[[#This Row],[PRECIO JUEGO]])</f>
        <v>150</v>
      </c>
      <c r="J795">
        <f>(salidas26[[#This Row],[CANT BARRAS]]*salidas26[[#This Row],[PRECIO BARRA]])</f>
        <v>0</v>
      </c>
      <c r="K795">
        <v>120</v>
      </c>
      <c r="L795" t="s">
        <v>465</v>
      </c>
      <c r="M795" t="s">
        <v>497</v>
      </c>
    </row>
    <row r="796" spans="1:13">
      <c r="A796">
        <v>563</v>
      </c>
      <c r="B796">
        <v>6024</v>
      </c>
      <c r="C7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796" s="32">
        <v>46097</v>
      </c>
      <c r="E7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796">
        <v>1</v>
      </c>
      <c r="I796">
        <f>(salidas26[[#This Row],[CANT JUEGOS ]]*salidas26[[#This Row],[PRECIO JUEGO]])</f>
        <v>300</v>
      </c>
      <c r="J796">
        <f>(salidas26[[#This Row],[CANT BARRAS]]*salidas26[[#This Row],[PRECIO BARRA]])</f>
        <v>0</v>
      </c>
      <c r="K796">
        <v>290</v>
      </c>
      <c r="L796" t="s">
        <v>465</v>
      </c>
      <c r="M796" t="s">
        <v>483</v>
      </c>
    </row>
    <row r="797" spans="1:13">
      <c r="A797">
        <v>564</v>
      </c>
      <c r="B797">
        <v>8015</v>
      </c>
      <c r="C7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797" s="32">
        <v>46097</v>
      </c>
      <c r="E7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7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97">
        <v>1</v>
      </c>
      <c r="I797">
        <f>(salidas26[[#This Row],[CANT JUEGOS ]]*salidas26[[#This Row],[PRECIO JUEGO]])</f>
        <v>60</v>
      </c>
      <c r="J797">
        <f>(salidas26[[#This Row],[CANT BARRAS]]*salidas26[[#This Row],[PRECIO BARRA]])</f>
        <v>0</v>
      </c>
      <c r="K797">
        <v>60</v>
      </c>
      <c r="L797" t="s">
        <v>465</v>
      </c>
      <c r="M797" t="s">
        <v>658</v>
      </c>
    </row>
    <row r="798" spans="1:13">
      <c r="A798">
        <v>565</v>
      </c>
      <c r="B798">
        <v>8098</v>
      </c>
      <c r="C7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798" s="32">
        <v>46098</v>
      </c>
      <c r="E7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7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798">
        <v>1</v>
      </c>
      <c r="I798">
        <f>(salidas26[[#This Row],[CANT JUEGOS ]]*salidas26[[#This Row],[PRECIO JUEGO]])</f>
        <v>420</v>
      </c>
      <c r="J798">
        <f>(salidas26[[#This Row],[CANT BARRAS]]*salidas26[[#This Row],[PRECIO BARRA]])</f>
        <v>0</v>
      </c>
      <c r="K798">
        <v>380</v>
      </c>
      <c r="L798" t="s">
        <v>496</v>
      </c>
      <c r="M798" t="s">
        <v>725</v>
      </c>
    </row>
    <row r="799" spans="1:13">
      <c r="A799">
        <v>566</v>
      </c>
      <c r="B799">
        <v>8096</v>
      </c>
      <c r="C7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5L/6V 10B/ TV-7327SF58SKWT</v>
      </c>
      <c r="D799" s="32">
        <v>46098</v>
      </c>
      <c r="E7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7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799">
        <v>1</v>
      </c>
      <c r="I799">
        <f>(salidas26[[#This Row],[CANT JUEGOS ]]*salidas26[[#This Row],[PRECIO JUEGO]])</f>
        <v>300</v>
      </c>
      <c r="J799">
        <f>(salidas26[[#This Row],[CANT BARRAS]]*salidas26[[#This Row],[PRECIO BARRA]])</f>
        <v>0</v>
      </c>
      <c r="K799">
        <v>300</v>
      </c>
      <c r="L799" t="s">
        <v>465</v>
      </c>
      <c r="M799" t="s">
        <v>658</v>
      </c>
    </row>
    <row r="800" spans="1:13">
      <c r="A800">
        <v>570</v>
      </c>
      <c r="B800">
        <v>1015</v>
      </c>
      <c r="C8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800" s="32">
        <v>46098</v>
      </c>
      <c r="E8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800">
        <v>1</v>
      </c>
      <c r="I800">
        <f>(salidas26[[#This Row],[CANT JUEGOS ]]*salidas26[[#This Row],[PRECIO JUEGO]])</f>
        <v>80</v>
      </c>
      <c r="J800">
        <f>(salidas26[[#This Row],[CANT BARRAS]]*salidas26[[#This Row],[PRECIO BARRA]])</f>
        <v>0</v>
      </c>
      <c r="K800">
        <v>70</v>
      </c>
      <c r="L800" t="s">
        <v>496</v>
      </c>
      <c r="M800" t="s">
        <v>469</v>
      </c>
    </row>
    <row r="801" spans="1:13">
      <c r="A801">
        <v>571</v>
      </c>
      <c r="B801">
        <v>8033</v>
      </c>
      <c r="C8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801" s="32">
        <v>46098</v>
      </c>
      <c r="E8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8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01">
        <v>1</v>
      </c>
      <c r="I801">
        <f>(salidas26[[#This Row],[CANT JUEGOS ]]*salidas26[[#This Row],[PRECIO JUEGO]])</f>
        <v>150</v>
      </c>
      <c r="J801">
        <f>(salidas26[[#This Row],[CANT BARRAS]]*salidas26[[#This Row],[PRECIO BARRA]])</f>
        <v>0</v>
      </c>
      <c r="K801">
        <v>140</v>
      </c>
      <c r="L801" t="s">
        <v>496</v>
      </c>
      <c r="M801" t="s">
        <v>469</v>
      </c>
    </row>
    <row r="802" spans="1:13">
      <c r="A802">
        <v>572</v>
      </c>
      <c r="B802">
        <v>1069</v>
      </c>
      <c r="C8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802" s="32">
        <v>46098</v>
      </c>
      <c r="E8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802">
        <v>1</v>
      </c>
      <c r="I802">
        <f>(salidas26[[#This Row],[CANT JUEGOS ]]*salidas26[[#This Row],[PRECIO JUEGO]])</f>
        <v>250</v>
      </c>
      <c r="J802">
        <f>(salidas26[[#This Row],[CANT BARRAS]]*salidas26[[#This Row],[PRECIO BARRA]])</f>
        <v>0</v>
      </c>
      <c r="K802">
        <v>250</v>
      </c>
      <c r="L802" t="s">
        <v>465</v>
      </c>
      <c r="M802" t="s">
        <v>536</v>
      </c>
    </row>
    <row r="803" spans="1:13">
      <c r="A803">
        <v>573</v>
      </c>
      <c r="B803">
        <v>8033</v>
      </c>
      <c r="C8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803" s="32">
        <v>46099</v>
      </c>
      <c r="E8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8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03">
        <v>1</v>
      </c>
      <c r="I803">
        <f>(salidas26[[#This Row],[CANT JUEGOS ]]*salidas26[[#This Row],[PRECIO JUEGO]])</f>
        <v>150</v>
      </c>
      <c r="J803">
        <f>(salidas26[[#This Row],[CANT BARRAS]]*salidas26[[#This Row],[PRECIO BARRA]])</f>
        <v>0</v>
      </c>
      <c r="K803">
        <v>140</v>
      </c>
      <c r="L803" t="s">
        <v>465</v>
      </c>
      <c r="M803" t="s">
        <v>523</v>
      </c>
    </row>
    <row r="804" spans="1:13">
      <c r="A804">
        <v>574</v>
      </c>
      <c r="B804">
        <v>3003</v>
      </c>
      <c r="C8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804" s="32">
        <v>46099</v>
      </c>
      <c r="E8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8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804">
        <v>1</v>
      </c>
      <c r="H804">
        <v>2</v>
      </c>
      <c r="I804">
        <f>(salidas26[[#This Row],[CANT JUEGOS ]]*salidas26[[#This Row],[PRECIO JUEGO]])</f>
        <v>160</v>
      </c>
      <c r="J804">
        <f>(salidas26[[#This Row],[CANT BARRAS]]*salidas26[[#This Row],[PRECIO BARRA]])</f>
        <v>80</v>
      </c>
      <c r="K804">
        <v>220</v>
      </c>
      <c r="L804" t="s">
        <v>465</v>
      </c>
      <c r="M804" t="s">
        <v>566</v>
      </c>
    </row>
    <row r="805" spans="1:13">
      <c r="A805">
        <v>575</v>
      </c>
      <c r="B805">
        <v>8003</v>
      </c>
      <c r="C8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805" s="32">
        <v>46099</v>
      </c>
      <c r="E8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8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805">
        <v>1</v>
      </c>
      <c r="I805">
        <f>(salidas26[[#This Row],[CANT JUEGOS ]]*salidas26[[#This Row],[PRECIO JUEGO]])</f>
        <v>70</v>
      </c>
      <c r="J805">
        <f>(salidas26[[#This Row],[CANT BARRAS]]*salidas26[[#This Row],[PRECIO BARRA]])</f>
        <v>0</v>
      </c>
      <c r="K805">
        <v>70</v>
      </c>
      <c r="L805" t="s">
        <v>465</v>
      </c>
      <c r="M805" t="s">
        <v>677</v>
      </c>
    </row>
    <row r="806" spans="1:13">
      <c r="B806">
        <v>5018</v>
      </c>
      <c r="C8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806" s="32">
        <v>46099</v>
      </c>
      <c r="E8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8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806">
        <v>1</v>
      </c>
      <c r="I806">
        <f>(salidas26[[#This Row],[CANT JUEGOS ]]*salidas26[[#This Row],[PRECIO JUEGO]])</f>
        <v>200</v>
      </c>
      <c r="J806">
        <f>(salidas26[[#This Row],[CANT BARRAS]]*salidas26[[#This Row],[PRECIO BARRA]])</f>
        <v>0</v>
      </c>
      <c r="K806">
        <v>180</v>
      </c>
      <c r="L806" t="s">
        <v>496</v>
      </c>
      <c r="M806" s="27" t="s">
        <v>480</v>
      </c>
    </row>
    <row r="807" spans="1:13">
      <c r="A807">
        <v>576</v>
      </c>
      <c r="B807">
        <v>8013</v>
      </c>
      <c r="C8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CD2000 6L/3V/3B</v>
      </c>
      <c r="D807" s="32">
        <v>46099</v>
      </c>
      <c r="E8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8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807">
        <v>1</v>
      </c>
      <c r="I807">
        <f>(salidas26[[#This Row],[CANT JUEGOS ]]*salidas26[[#This Row],[PRECIO JUEGO]])</f>
        <v>100</v>
      </c>
      <c r="J807">
        <f>(salidas26[[#This Row],[CANT BARRAS]]*salidas26[[#This Row],[PRECIO BARRA]])</f>
        <v>0</v>
      </c>
      <c r="K807">
        <v>120</v>
      </c>
      <c r="L807" t="s">
        <v>465</v>
      </c>
      <c r="M807" t="s">
        <v>677</v>
      </c>
    </row>
    <row r="808" spans="1:13">
      <c r="A808">
        <v>577</v>
      </c>
      <c r="B808">
        <v>8130</v>
      </c>
      <c r="C8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808" s="32">
        <v>46099</v>
      </c>
      <c r="E8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8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808">
        <v>8</v>
      </c>
      <c r="I808">
        <f>(salidas26[[#This Row],[CANT JUEGOS ]]*salidas26[[#This Row],[PRECIO JUEGO]])</f>
        <v>0</v>
      </c>
      <c r="J808">
        <f>(salidas26[[#This Row],[CANT BARRAS]]*salidas26[[#This Row],[PRECIO BARRA]])</f>
        <v>28</v>
      </c>
      <c r="K808">
        <v>28</v>
      </c>
      <c r="L808" t="s">
        <v>465</v>
      </c>
      <c r="M808" t="s">
        <v>542</v>
      </c>
    </row>
    <row r="809" spans="1:13">
      <c r="A809">
        <v>578</v>
      </c>
      <c r="B809">
        <v>1139</v>
      </c>
      <c r="C8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UM 8L 4B EL JUEGO</v>
      </c>
      <c r="D809" s="32">
        <v>46099</v>
      </c>
      <c r="E8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8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80</v>
      </c>
      <c r="G809">
        <v>1</v>
      </c>
      <c r="I809">
        <f>(salidas26[[#This Row],[CANT JUEGOS ]]*salidas26[[#This Row],[PRECIO JUEGO]])</f>
        <v>320</v>
      </c>
      <c r="J809">
        <f>(salidas26[[#This Row],[CANT BARRAS]]*salidas26[[#This Row],[PRECIO BARRA]])</f>
        <v>0</v>
      </c>
      <c r="K809">
        <v>350</v>
      </c>
      <c r="L809" t="s">
        <v>496</v>
      </c>
      <c r="M809" t="s">
        <v>509</v>
      </c>
    </row>
    <row r="810" spans="1:13">
      <c r="A810">
        <v>579</v>
      </c>
      <c r="B810">
        <v>1078</v>
      </c>
      <c r="C8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810" s="32">
        <v>46099</v>
      </c>
      <c r="E8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810">
        <v>1</v>
      </c>
      <c r="I810">
        <f>(salidas26[[#This Row],[CANT JUEGOS ]]*salidas26[[#This Row],[PRECIO JUEGO]])</f>
        <v>280</v>
      </c>
      <c r="J810">
        <f>(salidas26[[#This Row],[CANT BARRAS]]*salidas26[[#This Row],[PRECIO BARRA]])</f>
        <v>0</v>
      </c>
      <c r="K810">
        <v>280</v>
      </c>
      <c r="L810" t="s">
        <v>496</v>
      </c>
      <c r="M810" t="s">
        <v>509</v>
      </c>
    </row>
    <row r="811" spans="1:13">
      <c r="A811">
        <v>580</v>
      </c>
      <c r="B811">
        <v>2000</v>
      </c>
      <c r="C8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811" s="32">
        <v>46099</v>
      </c>
      <c r="E8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811">
        <v>1</v>
      </c>
      <c r="I811">
        <f>(salidas26[[#This Row],[CANT JUEGOS ]]*salidas26[[#This Row],[PRECIO JUEGO]])</f>
        <v>80</v>
      </c>
      <c r="J811">
        <f>(salidas26[[#This Row],[CANT BARRAS]]*salidas26[[#This Row],[PRECIO BARRA]])</f>
        <v>0</v>
      </c>
      <c r="K811">
        <v>90</v>
      </c>
      <c r="L811" t="s">
        <v>496</v>
      </c>
      <c r="M811" t="s">
        <v>509</v>
      </c>
    </row>
    <row r="812" spans="1:13">
      <c r="A812">
        <v>581</v>
      </c>
      <c r="B812">
        <v>6000</v>
      </c>
      <c r="C8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812" s="32">
        <v>46099</v>
      </c>
      <c r="E8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12">
        <v>1</v>
      </c>
      <c r="I812">
        <f>(salidas26[[#This Row],[CANT JUEGOS ]]*salidas26[[#This Row],[PRECIO JUEGO]])</f>
        <v>60</v>
      </c>
      <c r="J812">
        <f>(salidas26[[#This Row],[CANT BARRAS]]*salidas26[[#This Row],[PRECIO BARRA]])</f>
        <v>0</v>
      </c>
      <c r="K812">
        <v>70</v>
      </c>
      <c r="L812" t="s">
        <v>496</v>
      </c>
      <c r="M812" t="s">
        <v>509</v>
      </c>
    </row>
    <row r="813" spans="1:13">
      <c r="A813">
        <v>582</v>
      </c>
      <c r="B813">
        <v>8099</v>
      </c>
      <c r="C8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58KB858 4B/AIWA AW58B4K</v>
      </c>
      <c r="D813" s="32">
        <v>46100</v>
      </c>
      <c r="E8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8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87.5</v>
      </c>
      <c r="G813">
        <v>1</v>
      </c>
      <c r="I813">
        <f>(salidas26[[#This Row],[CANT JUEGOS ]]*salidas26[[#This Row],[PRECIO JUEGO]])</f>
        <v>350</v>
      </c>
      <c r="J813">
        <f>(salidas26[[#This Row],[CANT BARRAS]]*salidas26[[#This Row],[PRECIO BARRA]])</f>
        <v>0</v>
      </c>
      <c r="K813">
        <v>350</v>
      </c>
      <c r="L813" t="s">
        <v>465</v>
      </c>
      <c r="M813" t="s">
        <v>625</v>
      </c>
    </row>
    <row r="814" spans="1:13">
      <c r="A814">
        <v>583</v>
      </c>
      <c r="B814">
        <v>8015</v>
      </c>
      <c r="C8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14" s="32">
        <v>46100</v>
      </c>
      <c r="E8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14">
        <v>1</v>
      </c>
      <c r="I814">
        <f>(salidas26[[#This Row],[CANT JUEGOS ]]*salidas26[[#This Row],[PRECIO JUEGO]])</f>
        <v>60</v>
      </c>
      <c r="J814">
        <f>(salidas26[[#This Row],[CANT BARRAS]]*salidas26[[#This Row],[PRECIO BARRA]])</f>
        <v>0</v>
      </c>
      <c r="K814">
        <v>60</v>
      </c>
      <c r="L814" t="s">
        <v>465</v>
      </c>
      <c r="M814" t="s">
        <v>542</v>
      </c>
    </row>
    <row r="815" spans="1:13">
      <c r="A815">
        <v>584</v>
      </c>
      <c r="B815">
        <v>7004</v>
      </c>
      <c r="C8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815" s="32">
        <v>46100</v>
      </c>
      <c r="E8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8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15">
        <v>1</v>
      </c>
      <c r="I815">
        <f>(salidas26[[#This Row],[CANT JUEGOS ]]*salidas26[[#This Row],[PRECIO JUEGO]])</f>
        <v>150</v>
      </c>
      <c r="J815">
        <f>(salidas26[[#This Row],[CANT BARRAS]]*salidas26[[#This Row],[PRECIO BARRA]])</f>
        <v>0</v>
      </c>
      <c r="K815">
        <v>150</v>
      </c>
      <c r="L815" t="s">
        <v>465</v>
      </c>
      <c r="M815" t="s">
        <v>658</v>
      </c>
    </row>
    <row r="816" spans="1:13">
      <c r="A816">
        <v>585</v>
      </c>
      <c r="B816">
        <v>8015</v>
      </c>
      <c r="C8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16" s="32">
        <v>46100</v>
      </c>
      <c r="E8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16">
        <v>1</v>
      </c>
      <c r="I816">
        <f>(salidas26[[#This Row],[CANT JUEGOS ]]*salidas26[[#This Row],[PRECIO JUEGO]])</f>
        <v>60</v>
      </c>
      <c r="J816">
        <f>(salidas26[[#This Row],[CANT BARRAS]]*salidas26[[#This Row],[PRECIO BARRA]])</f>
        <v>0</v>
      </c>
      <c r="K816">
        <v>60</v>
      </c>
      <c r="L816" t="s">
        <v>465</v>
      </c>
      <c r="M816" t="s">
        <v>481</v>
      </c>
    </row>
    <row r="817" spans="1:13">
      <c r="A817">
        <v>586</v>
      </c>
      <c r="B817">
        <v>6000</v>
      </c>
      <c r="C8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817" s="32">
        <v>46100</v>
      </c>
      <c r="E8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17">
        <v>1</v>
      </c>
      <c r="I817">
        <f>(salidas26[[#This Row],[CANT JUEGOS ]]*salidas26[[#This Row],[PRECIO JUEGO]])</f>
        <v>60</v>
      </c>
      <c r="J817">
        <f>(salidas26[[#This Row],[CANT BARRAS]]*salidas26[[#This Row],[PRECIO BARRA]])</f>
        <v>0</v>
      </c>
      <c r="K817">
        <v>60</v>
      </c>
      <c r="L817" t="s">
        <v>465</v>
      </c>
      <c r="M817" t="s">
        <v>481</v>
      </c>
    </row>
    <row r="818" spans="1:13">
      <c r="A818">
        <v>587</v>
      </c>
      <c r="B818">
        <v>1024</v>
      </c>
      <c r="C8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818" s="32">
        <v>46100</v>
      </c>
      <c r="E8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8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818">
        <v>1</v>
      </c>
      <c r="I818">
        <f>(salidas26[[#This Row],[CANT JUEGOS ]]*salidas26[[#This Row],[PRECIO JUEGO]])</f>
        <v>100</v>
      </c>
      <c r="J818">
        <f>(salidas26[[#This Row],[CANT BARRAS]]*salidas26[[#This Row],[PRECIO BARRA]])</f>
        <v>0</v>
      </c>
      <c r="K818">
        <v>90</v>
      </c>
      <c r="L818" t="s">
        <v>465</v>
      </c>
      <c r="M818" t="s">
        <v>481</v>
      </c>
    </row>
    <row r="819" spans="1:13">
      <c r="A819">
        <v>588</v>
      </c>
      <c r="B819">
        <v>7004</v>
      </c>
      <c r="C8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819" s="32">
        <v>46100</v>
      </c>
      <c r="E8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8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19">
        <v>1</v>
      </c>
      <c r="I819">
        <f>(salidas26[[#This Row],[CANT JUEGOS ]]*salidas26[[#This Row],[PRECIO JUEGO]])</f>
        <v>150</v>
      </c>
      <c r="J819">
        <f>(salidas26[[#This Row],[CANT BARRAS]]*salidas26[[#This Row],[PRECIO BARRA]])</f>
        <v>0</v>
      </c>
      <c r="K819">
        <v>120</v>
      </c>
      <c r="L819" t="s">
        <v>465</v>
      </c>
      <c r="M819" t="s">
        <v>497</v>
      </c>
    </row>
    <row r="820" spans="1:13">
      <c r="A820">
        <v>589</v>
      </c>
      <c r="B820">
        <v>8021</v>
      </c>
      <c r="C8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820" s="32">
        <v>46100</v>
      </c>
      <c r="E8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20">
        <v>2</v>
      </c>
      <c r="I820">
        <f>(salidas26[[#This Row],[CANT JUEGOS ]]*salidas26[[#This Row],[PRECIO JUEGO]])</f>
        <v>120</v>
      </c>
      <c r="J820">
        <f>(salidas26[[#This Row],[CANT BARRAS]]*salidas26[[#This Row],[PRECIO BARRA]])</f>
        <v>0</v>
      </c>
      <c r="K820">
        <v>96</v>
      </c>
      <c r="L820" t="s">
        <v>465</v>
      </c>
      <c r="M820" t="s">
        <v>497</v>
      </c>
    </row>
    <row r="821" spans="1:13">
      <c r="A821">
        <v>590</v>
      </c>
      <c r="B821">
        <v>7002</v>
      </c>
      <c r="C8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821" s="32">
        <v>46100</v>
      </c>
      <c r="E8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8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821">
        <v>1</v>
      </c>
      <c r="I821">
        <f>(salidas26[[#This Row],[CANT JUEGOS ]]*salidas26[[#This Row],[PRECIO JUEGO]])</f>
        <v>70</v>
      </c>
      <c r="J821">
        <f>(salidas26[[#This Row],[CANT BARRAS]]*salidas26[[#This Row],[PRECIO BARRA]])</f>
        <v>0</v>
      </c>
      <c r="K821">
        <v>56</v>
      </c>
      <c r="L821" t="s">
        <v>465</v>
      </c>
      <c r="M821" t="s">
        <v>497</v>
      </c>
    </row>
    <row r="822" spans="1:13">
      <c r="A822">
        <v>591</v>
      </c>
      <c r="B822">
        <v>6021</v>
      </c>
      <c r="C8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822" s="32">
        <v>46101</v>
      </c>
      <c r="E8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822">
        <v>1</v>
      </c>
      <c r="I822">
        <f>(salidas26[[#This Row],[CANT JUEGOS ]]*salidas26[[#This Row],[PRECIO JUEGO]])</f>
        <v>300</v>
      </c>
      <c r="J822">
        <f>(salidas26[[#This Row],[CANT BARRAS]]*salidas26[[#This Row],[PRECIO BARRA]])</f>
        <v>0</v>
      </c>
      <c r="K822">
        <v>380</v>
      </c>
      <c r="L822" t="s">
        <v>496</v>
      </c>
      <c r="M822" t="s">
        <v>728</v>
      </c>
    </row>
    <row r="823" spans="1:13">
      <c r="A823">
        <v>592</v>
      </c>
      <c r="B823">
        <v>8130</v>
      </c>
      <c r="C8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823" s="32">
        <v>46101</v>
      </c>
      <c r="E8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8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823">
        <v>24</v>
      </c>
      <c r="I823">
        <f>(salidas26[[#This Row],[CANT JUEGOS ]]*salidas26[[#This Row],[PRECIO JUEGO]])</f>
        <v>0</v>
      </c>
      <c r="J823">
        <f>(salidas26[[#This Row],[CANT BARRAS]]*salidas26[[#This Row],[PRECIO BARRA]])</f>
        <v>84</v>
      </c>
      <c r="K823">
        <v>84</v>
      </c>
      <c r="L823" t="s">
        <v>465</v>
      </c>
      <c r="M823" t="s">
        <v>729</v>
      </c>
    </row>
    <row r="824" spans="1:13">
      <c r="A824">
        <v>593</v>
      </c>
      <c r="B824">
        <v>2000</v>
      </c>
      <c r="C8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824" s="32">
        <v>46101</v>
      </c>
      <c r="E8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824">
        <v>1</v>
      </c>
      <c r="I824">
        <f>(salidas26[[#This Row],[CANT JUEGOS ]]*salidas26[[#This Row],[PRECIO JUEGO]])</f>
        <v>80</v>
      </c>
      <c r="J824">
        <f>(salidas26[[#This Row],[CANT BARRAS]]*salidas26[[#This Row],[PRECIO BARRA]])</f>
        <v>0</v>
      </c>
      <c r="K824">
        <v>80</v>
      </c>
      <c r="L824" t="s">
        <v>496</v>
      </c>
      <c r="M824" t="s">
        <v>708</v>
      </c>
    </row>
    <row r="825" spans="1:13">
      <c r="A825">
        <v>594</v>
      </c>
      <c r="B825">
        <v>1069</v>
      </c>
      <c r="C8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825" s="32">
        <v>46101</v>
      </c>
      <c r="E8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825">
        <v>1</v>
      </c>
      <c r="I825">
        <f>(salidas26[[#This Row],[CANT JUEGOS ]]*salidas26[[#This Row],[PRECIO JUEGO]])</f>
        <v>250</v>
      </c>
      <c r="J825">
        <f>(salidas26[[#This Row],[CANT BARRAS]]*salidas26[[#This Row],[PRECIO BARRA]])</f>
        <v>0</v>
      </c>
      <c r="K825">
        <v>250</v>
      </c>
      <c r="L825" t="s">
        <v>465</v>
      </c>
      <c r="M825" t="s">
        <v>468</v>
      </c>
    </row>
    <row r="826" spans="1:13">
      <c r="A826">
        <v>595</v>
      </c>
      <c r="B826">
        <v>1066</v>
      </c>
      <c r="C8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47LA6130-12B/3V</v>
      </c>
      <c r="D826" s="32">
        <v>46101</v>
      </c>
      <c r="E8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8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826">
        <v>1</v>
      </c>
      <c r="I826">
        <f>(salidas26[[#This Row],[CANT JUEGOS ]]*salidas26[[#This Row],[PRECIO JUEGO]])</f>
        <v>240</v>
      </c>
      <c r="J826">
        <f>(salidas26[[#This Row],[CANT BARRAS]]*salidas26[[#This Row],[PRECIO BARRA]])</f>
        <v>0</v>
      </c>
      <c r="K826">
        <v>252</v>
      </c>
      <c r="L826" t="s">
        <v>496</v>
      </c>
      <c r="M826" t="s">
        <v>509</v>
      </c>
    </row>
    <row r="827" spans="1:13">
      <c r="A827">
        <v>596</v>
      </c>
      <c r="B827">
        <v>3000</v>
      </c>
      <c r="C8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827" s="32">
        <v>46101</v>
      </c>
      <c r="E8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27">
        <v>1</v>
      </c>
      <c r="I827">
        <f>(salidas26[[#This Row],[CANT JUEGOS ]]*salidas26[[#This Row],[PRECIO JUEGO]])</f>
        <v>90</v>
      </c>
      <c r="J827">
        <f>(salidas26[[#This Row],[CANT BARRAS]]*salidas26[[#This Row],[PRECIO BARRA]])</f>
        <v>0</v>
      </c>
      <c r="K827">
        <v>100</v>
      </c>
      <c r="L827" t="s">
        <v>465</v>
      </c>
      <c r="M827" t="s">
        <v>730</v>
      </c>
    </row>
    <row r="828" spans="1:13">
      <c r="A828">
        <v>597</v>
      </c>
      <c r="B828">
        <v>8124</v>
      </c>
      <c r="C8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828" s="32">
        <v>46101</v>
      </c>
      <c r="E8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8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828">
        <v>12</v>
      </c>
      <c r="I828">
        <f>(salidas26[[#This Row],[CANT JUEGOS ]]*salidas26[[#This Row],[PRECIO JUEGO]])</f>
        <v>0</v>
      </c>
      <c r="J828">
        <f>(salidas26[[#This Row],[CANT BARRAS]]*salidas26[[#This Row],[PRECIO BARRA]])</f>
        <v>42</v>
      </c>
      <c r="K828">
        <v>40</v>
      </c>
      <c r="L828" t="s">
        <v>465</v>
      </c>
      <c r="M828" t="s">
        <v>481</v>
      </c>
    </row>
    <row r="829" spans="1:13">
      <c r="A829">
        <v>598</v>
      </c>
      <c r="B829">
        <v>2104</v>
      </c>
      <c r="C8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UN82TU7000/18B/5L</v>
      </c>
      <c r="D829" s="32">
        <v>46101</v>
      </c>
      <c r="E8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8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829">
        <v>1</v>
      </c>
      <c r="I829">
        <f>(salidas26[[#This Row],[CANT JUEGOS ]]*salidas26[[#This Row],[PRECIO JUEGO]])</f>
        <v>600</v>
      </c>
      <c r="J829">
        <f>(salidas26[[#This Row],[CANT BARRAS]]*salidas26[[#This Row],[PRECIO BARRA]])</f>
        <v>0</v>
      </c>
      <c r="K829">
        <v>550</v>
      </c>
      <c r="L829" t="s">
        <v>465</v>
      </c>
      <c r="M829" t="s">
        <v>731</v>
      </c>
    </row>
    <row r="830" spans="1:13">
      <c r="A830">
        <v>599</v>
      </c>
      <c r="B830">
        <v>8015</v>
      </c>
      <c r="C8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30" s="32">
        <v>46101</v>
      </c>
      <c r="E8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30">
        <v>3</v>
      </c>
      <c r="I830">
        <f>(salidas26[[#This Row],[CANT JUEGOS ]]*salidas26[[#This Row],[PRECIO JUEGO]])</f>
        <v>180</v>
      </c>
      <c r="J830">
        <f>(salidas26[[#This Row],[CANT BARRAS]]*salidas26[[#This Row],[PRECIO BARRA]])</f>
        <v>0</v>
      </c>
      <c r="K830">
        <v>150</v>
      </c>
      <c r="L830" t="s">
        <v>465</v>
      </c>
      <c r="M830" t="s">
        <v>481</v>
      </c>
    </row>
    <row r="831" spans="1:13">
      <c r="A831">
        <v>600</v>
      </c>
      <c r="B831">
        <v>1078</v>
      </c>
      <c r="C8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831" s="32">
        <v>46101</v>
      </c>
      <c r="E8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831">
        <v>1</v>
      </c>
      <c r="I831">
        <f>(salidas26[[#This Row],[CANT JUEGOS ]]*salidas26[[#This Row],[PRECIO JUEGO]])</f>
        <v>280</v>
      </c>
      <c r="J831">
        <f>(salidas26[[#This Row],[CANT BARRAS]]*salidas26[[#This Row],[PRECIO BARRA]])</f>
        <v>0</v>
      </c>
      <c r="K831">
        <v>280</v>
      </c>
      <c r="L831" t="s">
        <v>496</v>
      </c>
      <c r="M831" t="s">
        <v>482</v>
      </c>
    </row>
    <row r="832" spans="1:13">
      <c r="A832">
        <v>601</v>
      </c>
      <c r="B832">
        <v>2064</v>
      </c>
      <c r="C8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832" s="32">
        <v>46102</v>
      </c>
      <c r="E8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832">
        <v>1</v>
      </c>
      <c r="I832">
        <f>(salidas26[[#This Row],[CANT JUEGOS ]]*salidas26[[#This Row],[PRECIO JUEGO]])</f>
        <v>250</v>
      </c>
      <c r="J832">
        <f>(salidas26[[#This Row],[CANT BARRAS]]*salidas26[[#This Row],[PRECIO BARRA]])</f>
        <v>0</v>
      </c>
      <c r="K832">
        <v>230</v>
      </c>
      <c r="L832" t="s">
        <v>564</v>
      </c>
      <c r="M832" t="s">
        <v>733</v>
      </c>
    </row>
    <row r="833" spans="1:13">
      <c r="A833">
        <v>602</v>
      </c>
      <c r="B833">
        <v>4003</v>
      </c>
      <c r="C8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833" s="32">
        <v>46102</v>
      </c>
      <c r="E8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33">
        <v>1</v>
      </c>
      <c r="I833">
        <f>(salidas26[[#This Row],[CANT JUEGOS ]]*salidas26[[#This Row],[PRECIO JUEGO]])</f>
        <v>90</v>
      </c>
      <c r="J833">
        <f>(salidas26[[#This Row],[CANT BARRAS]]*salidas26[[#This Row],[PRECIO BARRA]])</f>
        <v>0</v>
      </c>
      <c r="K833">
        <v>80</v>
      </c>
      <c r="L833" t="s">
        <v>564</v>
      </c>
      <c r="M833" t="s">
        <v>733</v>
      </c>
    </row>
    <row r="834" spans="1:13">
      <c r="A834">
        <v>603</v>
      </c>
      <c r="B834">
        <v>2095</v>
      </c>
      <c r="C8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834" s="32">
        <v>46102</v>
      </c>
      <c r="E8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834">
        <v>1</v>
      </c>
      <c r="I834">
        <f>(salidas26[[#This Row],[CANT JUEGOS ]]*salidas26[[#This Row],[PRECIO JUEGO]])</f>
        <v>250</v>
      </c>
      <c r="J834">
        <f>(salidas26[[#This Row],[CANT BARRAS]]*salidas26[[#This Row],[PRECIO BARRA]])</f>
        <v>0</v>
      </c>
      <c r="K834">
        <v>280</v>
      </c>
      <c r="L834" t="s">
        <v>496</v>
      </c>
      <c r="M834" t="s">
        <v>466</v>
      </c>
    </row>
    <row r="835" spans="1:13">
      <c r="A835">
        <v>604</v>
      </c>
      <c r="B835">
        <v>8068</v>
      </c>
      <c r="C8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835" s="32">
        <v>46102</v>
      </c>
      <c r="E8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8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835">
        <v>1</v>
      </c>
      <c r="I835">
        <f>(salidas26[[#This Row],[CANT JUEGOS ]]*salidas26[[#This Row],[PRECIO JUEGO]])</f>
        <v>220</v>
      </c>
      <c r="J835">
        <f>(salidas26[[#This Row],[CANT BARRAS]]*salidas26[[#This Row],[PRECIO BARRA]])</f>
        <v>0</v>
      </c>
      <c r="K835">
        <v>220</v>
      </c>
      <c r="L835" t="s">
        <v>465</v>
      </c>
      <c r="M835" t="s">
        <v>677</v>
      </c>
    </row>
    <row r="836" spans="1:13">
      <c r="A836">
        <v>605</v>
      </c>
      <c r="B836">
        <v>8070</v>
      </c>
      <c r="C8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JVC KB527</v>
      </c>
      <c r="D836" s="32">
        <v>46102</v>
      </c>
      <c r="E8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836">
        <v>1</v>
      </c>
      <c r="I836">
        <f>(salidas26[[#This Row],[CANT JUEGOS ]]*salidas26[[#This Row],[PRECIO JUEGO]])</f>
        <v>250</v>
      </c>
      <c r="J836">
        <f>(salidas26[[#This Row],[CANT BARRAS]]*salidas26[[#This Row],[PRECIO BARRA]])</f>
        <v>0</v>
      </c>
      <c r="K836">
        <v>230</v>
      </c>
      <c r="L836" t="s">
        <v>465</v>
      </c>
      <c r="M836" t="s">
        <v>487</v>
      </c>
    </row>
    <row r="837" spans="1:13">
      <c r="A837">
        <v>606</v>
      </c>
      <c r="B837">
        <v>8100</v>
      </c>
      <c r="C8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837" s="32">
        <v>46102</v>
      </c>
      <c r="E8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37">
        <v>1</v>
      </c>
      <c r="I837">
        <f>(salidas26[[#This Row],[CANT JUEGOS ]]*salidas26[[#This Row],[PRECIO JUEGO]])</f>
        <v>300</v>
      </c>
      <c r="J837">
        <f>(salidas26[[#This Row],[CANT BARRAS]]*salidas26[[#This Row],[PRECIO BARRA]])</f>
        <v>0</v>
      </c>
      <c r="K837">
        <v>300</v>
      </c>
      <c r="L837" t="s">
        <v>465</v>
      </c>
      <c r="M837" t="s">
        <v>481</v>
      </c>
    </row>
    <row r="838" spans="1:13">
      <c r="A838">
        <v>608</v>
      </c>
      <c r="B838">
        <v>1069</v>
      </c>
      <c r="C8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838" s="32">
        <v>46104</v>
      </c>
      <c r="E8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838">
        <v>1</v>
      </c>
      <c r="I838">
        <f>(salidas26[[#This Row],[CANT JUEGOS ]]*salidas26[[#This Row],[PRECIO JUEGO]])</f>
        <v>250</v>
      </c>
      <c r="J838">
        <f>(salidas26[[#This Row],[CANT BARRAS]]*salidas26[[#This Row],[PRECIO BARRA]])</f>
        <v>0</v>
      </c>
      <c r="K838">
        <v>250</v>
      </c>
      <c r="L838" t="s">
        <v>496</v>
      </c>
      <c r="M838" t="s">
        <v>508</v>
      </c>
    </row>
    <row r="839" spans="1:13">
      <c r="A839">
        <v>609</v>
      </c>
      <c r="B839">
        <v>2000</v>
      </c>
      <c r="C8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839" s="32">
        <v>46104</v>
      </c>
      <c r="E8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839">
        <v>1</v>
      </c>
      <c r="I839">
        <f>(salidas26[[#This Row],[CANT JUEGOS ]]*salidas26[[#This Row],[PRECIO JUEGO]])</f>
        <v>80</v>
      </c>
      <c r="J839">
        <f>(salidas26[[#This Row],[CANT BARRAS]]*salidas26[[#This Row],[PRECIO BARRA]])</f>
        <v>0</v>
      </c>
      <c r="K839">
        <v>70</v>
      </c>
      <c r="L839" t="s">
        <v>465</v>
      </c>
      <c r="M839" t="s">
        <v>542</v>
      </c>
    </row>
    <row r="840" spans="1:13">
      <c r="A840">
        <v>610</v>
      </c>
      <c r="B840">
        <v>8100</v>
      </c>
      <c r="C8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840" s="32">
        <v>46104</v>
      </c>
      <c r="E8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40">
        <v>1</v>
      </c>
      <c r="I840">
        <f>(salidas26[[#This Row],[CANT JUEGOS ]]*salidas26[[#This Row],[PRECIO JUEGO]])</f>
        <v>300</v>
      </c>
      <c r="J840">
        <f>(salidas26[[#This Row],[CANT BARRAS]]*salidas26[[#This Row],[PRECIO BARRA]])</f>
        <v>0</v>
      </c>
      <c r="K840">
        <v>300</v>
      </c>
      <c r="L840" t="s">
        <v>465</v>
      </c>
      <c r="M840" t="s">
        <v>468</v>
      </c>
    </row>
    <row r="841" spans="1:13">
      <c r="A841">
        <v>611</v>
      </c>
      <c r="B841">
        <v>8003</v>
      </c>
      <c r="C8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841" s="32">
        <v>46104</v>
      </c>
      <c r="E8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8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841">
        <v>1</v>
      </c>
      <c r="I841">
        <f>(salidas26[[#This Row],[CANT JUEGOS ]]*salidas26[[#This Row],[PRECIO JUEGO]])</f>
        <v>70</v>
      </c>
      <c r="J841">
        <f>(salidas26[[#This Row],[CANT BARRAS]]*salidas26[[#This Row],[PRECIO BARRA]])</f>
        <v>0</v>
      </c>
      <c r="K841">
        <v>60</v>
      </c>
      <c r="L841" t="s">
        <v>465</v>
      </c>
      <c r="M841" t="s">
        <v>468</v>
      </c>
    </row>
    <row r="842" spans="1:13">
      <c r="A842">
        <v>612</v>
      </c>
      <c r="B842">
        <v>3000</v>
      </c>
      <c r="C8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842" s="32">
        <v>46104</v>
      </c>
      <c r="E8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42">
        <v>1</v>
      </c>
      <c r="I842">
        <f>(salidas26[[#This Row],[CANT JUEGOS ]]*salidas26[[#This Row],[PRECIO JUEGO]])</f>
        <v>90</v>
      </c>
      <c r="J842">
        <f>(salidas26[[#This Row],[CANT BARRAS]]*salidas26[[#This Row],[PRECIO BARRA]])</f>
        <v>0</v>
      </c>
      <c r="K842">
        <v>90</v>
      </c>
      <c r="L842" t="s">
        <v>496</v>
      </c>
      <c r="M842" t="s">
        <v>469</v>
      </c>
    </row>
    <row r="843" spans="1:13">
      <c r="A843">
        <v>613</v>
      </c>
      <c r="B843">
        <v>2000</v>
      </c>
      <c r="C8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843" s="32">
        <v>46104</v>
      </c>
      <c r="E8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843">
        <v>1</v>
      </c>
      <c r="I843">
        <f>(salidas26[[#This Row],[CANT JUEGOS ]]*salidas26[[#This Row],[PRECIO JUEGO]])</f>
        <v>80</v>
      </c>
      <c r="J843">
        <f>(salidas26[[#This Row],[CANT BARRAS]]*salidas26[[#This Row],[PRECIO BARRA]])</f>
        <v>0</v>
      </c>
      <c r="K843">
        <v>80</v>
      </c>
      <c r="L843" t="s">
        <v>496</v>
      </c>
      <c r="M843" t="s">
        <v>469</v>
      </c>
    </row>
    <row r="844" spans="1:13">
      <c r="A844">
        <v>614</v>
      </c>
      <c r="B844">
        <v>2039</v>
      </c>
      <c r="C8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UN48H4200/8B</v>
      </c>
      <c r="D844" s="32">
        <v>46104</v>
      </c>
      <c r="E8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844">
        <v>1</v>
      </c>
      <c r="I844">
        <f>(salidas26[[#This Row],[CANT JUEGOS ]]*salidas26[[#This Row],[PRECIO JUEGO]])</f>
        <v>280</v>
      </c>
      <c r="J844">
        <f>(salidas26[[#This Row],[CANT BARRAS]]*salidas26[[#This Row],[PRECIO BARRA]])</f>
        <v>0</v>
      </c>
      <c r="K844">
        <v>250</v>
      </c>
      <c r="L844" t="s">
        <v>496</v>
      </c>
      <c r="M844" t="s">
        <v>566</v>
      </c>
    </row>
    <row r="845" spans="1:13">
      <c r="A845">
        <v>615</v>
      </c>
      <c r="B845">
        <v>1078</v>
      </c>
      <c r="C8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845" s="32">
        <v>46104</v>
      </c>
      <c r="E8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845">
        <v>1</v>
      </c>
      <c r="I845">
        <f>(salidas26[[#This Row],[CANT JUEGOS ]]*salidas26[[#This Row],[PRECIO JUEGO]])</f>
        <v>280</v>
      </c>
      <c r="J845">
        <f>(salidas26[[#This Row],[CANT BARRAS]]*salidas26[[#This Row],[PRECIO BARRA]])</f>
        <v>0</v>
      </c>
      <c r="K845">
        <v>216</v>
      </c>
      <c r="L845" t="s">
        <v>496</v>
      </c>
      <c r="M845" t="s">
        <v>509</v>
      </c>
    </row>
    <row r="846" spans="1:13">
      <c r="A846">
        <v>616</v>
      </c>
      <c r="B846">
        <v>3027</v>
      </c>
      <c r="C8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50U6600 5L/9B</v>
      </c>
      <c r="D846" s="32">
        <v>46104</v>
      </c>
      <c r="E8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846">
        <v>1</v>
      </c>
      <c r="I846">
        <f>(salidas26[[#This Row],[CANT JUEGOS ]]*salidas26[[#This Row],[PRECIO JUEGO]])</f>
        <v>280</v>
      </c>
      <c r="J846">
        <f>(salidas26[[#This Row],[CANT BARRAS]]*salidas26[[#This Row],[PRECIO BARRA]])</f>
        <v>0</v>
      </c>
      <c r="K846">
        <v>261</v>
      </c>
      <c r="L846" t="s">
        <v>496</v>
      </c>
      <c r="M846" t="s">
        <v>509</v>
      </c>
    </row>
    <row r="847" spans="1:13">
      <c r="A847">
        <v>617</v>
      </c>
      <c r="B847">
        <v>8123</v>
      </c>
      <c r="C8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847" s="32">
        <v>46105</v>
      </c>
      <c r="E8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8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847">
        <v>50</v>
      </c>
      <c r="I847">
        <f>(salidas26[[#This Row],[CANT JUEGOS ]]*salidas26[[#This Row],[PRECIO JUEGO]])</f>
        <v>0</v>
      </c>
      <c r="J847">
        <f>(salidas26[[#This Row],[CANT BARRAS]]*salidas26[[#This Row],[PRECIO BARRA]])</f>
        <v>175</v>
      </c>
      <c r="K847">
        <v>175</v>
      </c>
      <c r="L847" t="s">
        <v>496</v>
      </c>
      <c r="M847" t="s">
        <v>466</v>
      </c>
    </row>
    <row r="848" spans="1:13">
      <c r="A848">
        <v>618</v>
      </c>
      <c r="B848">
        <v>6027</v>
      </c>
      <c r="C8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848" s="32">
        <v>46105</v>
      </c>
      <c r="E8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848">
        <v>1</v>
      </c>
      <c r="I848">
        <f>(salidas26[[#This Row],[CANT JUEGOS ]]*salidas26[[#This Row],[PRECIO JUEGO]])</f>
        <v>280</v>
      </c>
      <c r="J848">
        <f>(salidas26[[#This Row],[CANT BARRAS]]*salidas26[[#This Row],[PRECIO BARRA]])</f>
        <v>0</v>
      </c>
      <c r="K848">
        <v>250</v>
      </c>
      <c r="L848" t="s">
        <v>465</v>
      </c>
      <c r="M848" t="s">
        <v>566</v>
      </c>
    </row>
    <row r="849" spans="1:13">
      <c r="A849">
        <v>619</v>
      </c>
      <c r="B849">
        <v>2075</v>
      </c>
      <c r="C8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849" s="32">
        <v>46105</v>
      </c>
      <c r="E8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8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849">
        <v>1</v>
      </c>
      <c r="I849">
        <f>(salidas26[[#This Row],[CANT JUEGOS ]]*salidas26[[#This Row],[PRECIO JUEGO]])</f>
        <v>200</v>
      </c>
      <c r="J849">
        <f>(salidas26[[#This Row],[CANT BARRAS]]*salidas26[[#This Row],[PRECIO BARRA]])</f>
        <v>0</v>
      </c>
      <c r="K849">
        <v>190</v>
      </c>
      <c r="L849" t="s">
        <v>465</v>
      </c>
      <c r="M849" t="s">
        <v>566</v>
      </c>
    </row>
    <row r="850" spans="1:13">
      <c r="A850">
        <v>620</v>
      </c>
      <c r="B850">
        <v>8124</v>
      </c>
      <c r="C8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850" s="32">
        <v>46105</v>
      </c>
      <c r="E8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8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850">
        <v>20</v>
      </c>
      <c r="I850">
        <f>(salidas26[[#This Row],[CANT JUEGOS ]]*salidas26[[#This Row],[PRECIO JUEGO]])</f>
        <v>0</v>
      </c>
      <c r="J850">
        <f>(salidas26[[#This Row],[CANT BARRAS]]*salidas26[[#This Row],[PRECIO BARRA]])</f>
        <v>70</v>
      </c>
      <c r="K850">
        <v>70</v>
      </c>
      <c r="L850" t="s">
        <v>465</v>
      </c>
      <c r="M850" t="s">
        <v>566</v>
      </c>
    </row>
    <row r="851" spans="1:13">
      <c r="A851">
        <v>621</v>
      </c>
      <c r="B851">
        <v>4009</v>
      </c>
      <c r="C8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851" s="32">
        <v>46105</v>
      </c>
      <c r="E8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8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851">
        <v>1</v>
      </c>
      <c r="I851">
        <f>(salidas26[[#This Row],[CANT JUEGOS ]]*salidas26[[#This Row],[PRECIO JUEGO]])</f>
        <v>160</v>
      </c>
      <c r="J851">
        <f>(salidas26[[#This Row],[CANT BARRAS]]*salidas26[[#This Row],[PRECIO BARRA]])</f>
        <v>0</v>
      </c>
      <c r="K851">
        <v>150</v>
      </c>
      <c r="L851" t="s">
        <v>465</v>
      </c>
      <c r="M851" t="s">
        <v>482</v>
      </c>
    </row>
    <row r="852" spans="1:13">
      <c r="A852">
        <v>622</v>
      </c>
      <c r="B852">
        <v>2024</v>
      </c>
      <c r="C8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852" s="32">
        <v>46105</v>
      </c>
      <c r="E8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52">
        <v>1</v>
      </c>
      <c r="I852">
        <f>(salidas26[[#This Row],[CANT JUEGOS ]]*salidas26[[#This Row],[PRECIO JUEGO]])</f>
        <v>180</v>
      </c>
      <c r="J852">
        <f>(salidas26[[#This Row],[CANT BARRAS]]*salidas26[[#This Row],[PRECIO BARRA]])</f>
        <v>0</v>
      </c>
      <c r="K852">
        <v>180</v>
      </c>
      <c r="L852" t="s">
        <v>465</v>
      </c>
      <c r="M852" t="s">
        <v>468</v>
      </c>
    </row>
    <row r="853" spans="1:13">
      <c r="A853">
        <v>623</v>
      </c>
      <c r="B853">
        <v>6000</v>
      </c>
      <c r="C8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853" s="32">
        <v>46105</v>
      </c>
      <c r="E8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53">
        <v>1</v>
      </c>
      <c r="I853">
        <f>(salidas26[[#This Row],[CANT JUEGOS ]]*salidas26[[#This Row],[PRECIO JUEGO]])</f>
        <v>60</v>
      </c>
      <c r="J853">
        <f>(salidas26[[#This Row],[CANT BARRAS]]*salidas26[[#This Row],[PRECIO BARRA]])</f>
        <v>0</v>
      </c>
      <c r="K853">
        <v>60</v>
      </c>
      <c r="L853" t="s">
        <v>465</v>
      </c>
      <c r="M853" t="s">
        <v>735</v>
      </c>
    </row>
    <row r="854" spans="1:13">
      <c r="A854">
        <v>624</v>
      </c>
      <c r="B854">
        <v>2075</v>
      </c>
      <c r="C8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854" s="32">
        <v>46105</v>
      </c>
      <c r="E8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8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854">
        <v>1</v>
      </c>
      <c r="I854">
        <f>(salidas26[[#This Row],[CANT JUEGOS ]]*salidas26[[#This Row],[PRECIO JUEGO]])</f>
        <v>200</v>
      </c>
      <c r="J854">
        <f>(salidas26[[#This Row],[CANT BARRAS]]*salidas26[[#This Row],[PRECIO BARRA]])</f>
        <v>0</v>
      </c>
      <c r="K854">
        <v>200</v>
      </c>
      <c r="L854" t="s">
        <v>496</v>
      </c>
      <c r="M854" t="s">
        <v>466</v>
      </c>
    </row>
    <row r="855" spans="1:13">
      <c r="A855">
        <v>626</v>
      </c>
      <c r="B855">
        <v>8015</v>
      </c>
      <c r="C8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55" s="32">
        <v>46105</v>
      </c>
      <c r="E8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55">
        <v>1</v>
      </c>
      <c r="I855">
        <f>(salidas26[[#This Row],[CANT JUEGOS ]]*salidas26[[#This Row],[PRECIO JUEGO]])</f>
        <v>60</v>
      </c>
      <c r="J855">
        <f>(salidas26[[#This Row],[CANT BARRAS]]*salidas26[[#This Row],[PRECIO BARRA]])</f>
        <v>0</v>
      </c>
      <c r="K855">
        <v>50</v>
      </c>
      <c r="L855" t="s">
        <v>465</v>
      </c>
      <c r="M855" t="s">
        <v>694</v>
      </c>
    </row>
    <row r="856" spans="1:13">
      <c r="A856">
        <v>627</v>
      </c>
      <c r="B856">
        <v>4021</v>
      </c>
      <c r="C8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856" s="32">
        <v>46105</v>
      </c>
      <c r="E8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8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H856">
        <v>6</v>
      </c>
      <c r="I856">
        <f>(salidas26[[#This Row],[CANT JUEGOS ]]*salidas26[[#This Row],[PRECIO JUEGO]])</f>
        <v>0</v>
      </c>
      <c r="J856">
        <f>(salidas26[[#This Row],[CANT BARRAS]]*salidas26[[#This Row],[PRECIO BARRA]])</f>
        <v>150</v>
      </c>
      <c r="K856">
        <v>150</v>
      </c>
      <c r="L856" t="s">
        <v>496</v>
      </c>
      <c r="M856" t="s">
        <v>725</v>
      </c>
    </row>
    <row r="857" spans="1:13">
      <c r="A857">
        <v>628</v>
      </c>
      <c r="B857">
        <v>2065</v>
      </c>
      <c r="C8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UN50AU/BU8000 2B EDGE</v>
      </c>
      <c r="D857" s="32">
        <v>46106</v>
      </c>
      <c r="E8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8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857">
        <v>1</v>
      </c>
      <c r="I857">
        <f>(salidas26[[#This Row],[CANT JUEGOS ]]*salidas26[[#This Row],[PRECIO JUEGO]])</f>
        <v>220</v>
      </c>
      <c r="J857">
        <f>(salidas26[[#This Row],[CANT BARRAS]]*salidas26[[#This Row],[PRECIO BARRA]])</f>
        <v>0</v>
      </c>
      <c r="K857">
        <v>200</v>
      </c>
      <c r="L857" t="s">
        <v>465</v>
      </c>
      <c r="M857" t="s">
        <v>471</v>
      </c>
    </row>
    <row r="858" spans="1:13">
      <c r="A858">
        <v>629</v>
      </c>
      <c r="B858">
        <v>2078</v>
      </c>
      <c r="C8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858" s="32">
        <v>46106</v>
      </c>
      <c r="E8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858">
        <v>1</v>
      </c>
      <c r="H858">
        <v>1</v>
      </c>
      <c r="I858">
        <f>(salidas26[[#This Row],[CANT JUEGOS ]]*salidas26[[#This Row],[PRECIO JUEGO]])</f>
        <v>250</v>
      </c>
      <c r="J858">
        <f>(salidas26[[#This Row],[CANT BARRAS]]*salidas26[[#This Row],[PRECIO BARRA]])</f>
        <v>62.5</v>
      </c>
      <c r="K858">
        <v>300</v>
      </c>
      <c r="L858" t="s">
        <v>465</v>
      </c>
      <c r="M858" t="s">
        <v>577</v>
      </c>
    </row>
    <row r="859" spans="1:13">
      <c r="A859">
        <v>630</v>
      </c>
      <c r="B859">
        <v>8015</v>
      </c>
      <c r="C8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59" s="32">
        <v>46107</v>
      </c>
      <c r="E8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59">
        <v>1</v>
      </c>
      <c r="I859">
        <f>(salidas26[[#This Row],[CANT JUEGOS ]]*salidas26[[#This Row],[PRECIO JUEGO]])</f>
        <v>60</v>
      </c>
      <c r="J859">
        <f>(salidas26[[#This Row],[CANT BARRAS]]*salidas26[[#This Row],[PRECIO BARRA]])</f>
        <v>0</v>
      </c>
      <c r="K859">
        <v>50</v>
      </c>
      <c r="L859" t="s">
        <v>465</v>
      </c>
      <c r="M859" t="s">
        <v>736</v>
      </c>
    </row>
    <row r="860" spans="1:13">
      <c r="A860">
        <v>631</v>
      </c>
      <c r="B860">
        <v>1015</v>
      </c>
      <c r="C8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860" s="32">
        <v>46107</v>
      </c>
      <c r="E8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860">
        <v>1</v>
      </c>
      <c r="I860">
        <f>(salidas26[[#This Row],[CANT JUEGOS ]]*salidas26[[#This Row],[PRECIO JUEGO]])</f>
        <v>80</v>
      </c>
      <c r="J860">
        <f>(salidas26[[#This Row],[CANT BARRAS]]*salidas26[[#This Row],[PRECIO BARRA]])</f>
        <v>0</v>
      </c>
      <c r="K860">
        <v>80</v>
      </c>
      <c r="L860" t="s">
        <v>465</v>
      </c>
      <c r="M860" t="s">
        <v>736</v>
      </c>
    </row>
    <row r="861" spans="1:13">
      <c r="A861">
        <v>632</v>
      </c>
      <c r="B861">
        <v>1036</v>
      </c>
      <c r="C8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861" s="32">
        <v>46107</v>
      </c>
      <c r="E8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861">
        <v>1</v>
      </c>
      <c r="I861">
        <f>(salidas26[[#This Row],[CANT JUEGOS ]]*salidas26[[#This Row],[PRECIO JUEGO]])</f>
        <v>180</v>
      </c>
      <c r="J861">
        <f>(salidas26[[#This Row],[CANT BARRAS]]*salidas26[[#This Row],[PRECIO BARRA]])</f>
        <v>0</v>
      </c>
      <c r="K861">
        <v>180</v>
      </c>
      <c r="L861" t="s">
        <v>496</v>
      </c>
      <c r="M861" t="s">
        <v>482</v>
      </c>
    </row>
    <row r="862" spans="1:13">
      <c r="A862">
        <v>633</v>
      </c>
      <c r="B862">
        <v>7004</v>
      </c>
      <c r="C8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862" s="32">
        <v>46107</v>
      </c>
      <c r="E8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8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62">
        <v>1</v>
      </c>
      <c r="I862">
        <f>(salidas26[[#This Row],[CANT JUEGOS ]]*salidas26[[#This Row],[PRECIO JUEGO]])</f>
        <v>150</v>
      </c>
      <c r="J862">
        <f>(salidas26[[#This Row],[CANT BARRAS]]*salidas26[[#This Row],[PRECIO BARRA]])</f>
        <v>0</v>
      </c>
      <c r="K862">
        <v>140</v>
      </c>
      <c r="L862" t="s">
        <v>465</v>
      </c>
      <c r="M862" t="s">
        <v>658</v>
      </c>
    </row>
    <row r="863" spans="1:13">
      <c r="A863">
        <v>634</v>
      </c>
      <c r="B863">
        <v>8015</v>
      </c>
      <c r="C8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63" s="32">
        <v>46107</v>
      </c>
      <c r="E8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63">
        <v>1</v>
      </c>
      <c r="I863">
        <f>(salidas26[[#This Row],[CANT JUEGOS ]]*salidas26[[#This Row],[PRECIO JUEGO]])</f>
        <v>60</v>
      </c>
      <c r="J863">
        <f>(salidas26[[#This Row],[CANT BARRAS]]*salidas26[[#This Row],[PRECIO BARRA]])</f>
        <v>0</v>
      </c>
      <c r="K863">
        <v>60</v>
      </c>
      <c r="L863" t="s">
        <v>465</v>
      </c>
      <c r="M863" t="s">
        <v>542</v>
      </c>
    </row>
    <row r="864" spans="1:13" s="27" customFormat="1">
      <c r="A864" s="27">
        <v>635</v>
      </c>
      <c r="B864" s="27">
        <v>2090</v>
      </c>
      <c r="C864" s="71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864" s="210">
        <v>46107</v>
      </c>
      <c r="E864" s="71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864" s="71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864" s="27">
        <v>1</v>
      </c>
      <c r="I864" s="27">
        <f>(salidas26[[#This Row],[CANT JUEGOS ]]*salidas26[[#This Row],[PRECIO JUEGO]])</f>
        <v>350</v>
      </c>
      <c r="J864" s="27">
        <f>(salidas26[[#This Row],[CANT BARRAS]]*salidas26[[#This Row],[PRECIO BARRA]])</f>
        <v>0</v>
      </c>
      <c r="M864" s="27" t="s">
        <v>737</v>
      </c>
    </row>
    <row r="865" spans="1:13">
      <c r="A865">
        <v>636</v>
      </c>
      <c r="B865">
        <v>8015</v>
      </c>
      <c r="C8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65" s="32">
        <v>46107</v>
      </c>
      <c r="E8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65">
        <v>1</v>
      </c>
      <c r="I865">
        <f>(salidas26[[#This Row],[CANT JUEGOS ]]*salidas26[[#This Row],[PRECIO JUEGO]])</f>
        <v>60</v>
      </c>
      <c r="J865">
        <f>(salidas26[[#This Row],[CANT BARRAS]]*salidas26[[#This Row],[PRECIO BARRA]])</f>
        <v>0</v>
      </c>
      <c r="K865">
        <v>60</v>
      </c>
      <c r="L865" t="s">
        <v>465</v>
      </c>
      <c r="M865" t="s">
        <v>470</v>
      </c>
    </row>
    <row r="866" spans="1:13">
      <c r="A866">
        <v>638</v>
      </c>
      <c r="B866">
        <v>1033</v>
      </c>
      <c r="C8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866" s="32">
        <v>46107</v>
      </c>
      <c r="E8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866">
        <v>1</v>
      </c>
      <c r="I866">
        <f>(salidas26[[#This Row],[CANT JUEGOS ]]*salidas26[[#This Row],[PRECIO JUEGO]])</f>
        <v>180</v>
      </c>
      <c r="J866">
        <f>(salidas26[[#This Row],[CANT BARRAS]]*salidas26[[#This Row],[PRECIO BARRA]])</f>
        <v>0</v>
      </c>
      <c r="K866">
        <v>170</v>
      </c>
      <c r="L866" t="s">
        <v>465</v>
      </c>
      <c r="M866" t="s">
        <v>470</v>
      </c>
    </row>
    <row r="867" spans="1:13">
      <c r="A867">
        <v>639</v>
      </c>
      <c r="B867">
        <v>8081</v>
      </c>
      <c r="C8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55CHINO12L/3B-MG4S55X-TC-55GX500P PANASONIC 4B</v>
      </c>
      <c r="D867" s="32">
        <v>46107</v>
      </c>
      <c r="E8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867">
        <v>1</v>
      </c>
      <c r="I867">
        <f>(salidas26[[#This Row],[CANT JUEGOS ]]*salidas26[[#This Row],[PRECIO JUEGO]])</f>
        <v>300</v>
      </c>
      <c r="J867">
        <f>(salidas26[[#This Row],[CANT BARRAS]]*salidas26[[#This Row],[PRECIO BARRA]])</f>
        <v>0</v>
      </c>
      <c r="K867">
        <v>280</v>
      </c>
      <c r="L867" t="s">
        <v>496</v>
      </c>
      <c r="M867" t="s">
        <v>738</v>
      </c>
    </row>
    <row r="868" spans="1:13">
      <c r="A868">
        <v>640</v>
      </c>
      <c r="B868">
        <v>6021</v>
      </c>
      <c r="C8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868" s="32">
        <v>46107</v>
      </c>
      <c r="E8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868">
        <v>1</v>
      </c>
      <c r="I868">
        <f>(salidas26[[#This Row],[CANT JUEGOS ]]*salidas26[[#This Row],[PRECIO JUEGO]])</f>
        <v>300</v>
      </c>
      <c r="J868">
        <f>(salidas26[[#This Row],[CANT BARRAS]]*salidas26[[#This Row],[PRECIO BARRA]])</f>
        <v>0</v>
      </c>
      <c r="K868">
        <v>280</v>
      </c>
      <c r="L868" t="s">
        <v>496</v>
      </c>
      <c r="M868" t="s">
        <v>738</v>
      </c>
    </row>
    <row r="869" spans="1:13">
      <c r="A869">
        <v>641</v>
      </c>
      <c r="B869">
        <v>5002</v>
      </c>
      <c r="C8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869" s="32">
        <v>46107</v>
      </c>
      <c r="E8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69">
        <v>1</v>
      </c>
      <c r="I869">
        <f>(salidas26[[#This Row],[CANT JUEGOS ]]*salidas26[[#This Row],[PRECIO JUEGO]])</f>
        <v>90</v>
      </c>
      <c r="J869">
        <f>(salidas26[[#This Row],[CANT BARRAS]]*salidas26[[#This Row],[PRECIO BARRA]])</f>
        <v>0</v>
      </c>
      <c r="K869">
        <v>90</v>
      </c>
      <c r="L869" t="s">
        <v>465</v>
      </c>
      <c r="M869" t="s">
        <v>481</v>
      </c>
    </row>
    <row r="870" spans="1:13">
      <c r="A870">
        <v>642</v>
      </c>
      <c r="B870">
        <v>1000</v>
      </c>
      <c r="C8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870" s="32">
        <v>46107</v>
      </c>
      <c r="E8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870">
        <v>1</v>
      </c>
      <c r="I870">
        <f>(salidas26[[#This Row],[CANT JUEGOS ]]*salidas26[[#This Row],[PRECIO JUEGO]])</f>
        <v>80</v>
      </c>
      <c r="J870">
        <f>(salidas26[[#This Row],[CANT BARRAS]]*salidas26[[#This Row],[PRECIO BARRA]])</f>
        <v>0</v>
      </c>
      <c r="K870">
        <v>80</v>
      </c>
      <c r="L870" t="s">
        <v>465</v>
      </c>
      <c r="M870" t="s">
        <v>698</v>
      </c>
    </row>
    <row r="871" spans="1:13">
      <c r="A871">
        <v>643</v>
      </c>
      <c r="B871">
        <v>1012</v>
      </c>
      <c r="C8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871" s="32">
        <v>46107</v>
      </c>
      <c r="E8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71">
        <v>1</v>
      </c>
      <c r="I871">
        <f>(salidas26[[#This Row],[CANT JUEGOS ]]*salidas26[[#This Row],[PRECIO JUEGO]])</f>
        <v>90</v>
      </c>
      <c r="J871">
        <f>(salidas26[[#This Row],[CANT BARRAS]]*salidas26[[#This Row],[PRECIO BARRA]])</f>
        <v>0</v>
      </c>
      <c r="K871">
        <v>90</v>
      </c>
      <c r="L871" t="s">
        <v>465</v>
      </c>
      <c r="M871" t="s">
        <v>526</v>
      </c>
    </row>
    <row r="872" spans="1:13">
      <c r="A872">
        <v>644</v>
      </c>
      <c r="B872">
        <v>8015</v>
      </c>
      <c r="C8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72" s="32">
        <v>46107</v>
      </c>
      <c r="E8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72">
        <v>1</v>
      </c>
      <c r="I872">
        <f>(salidas26[[#This Row],[CANT JUEGOS ]]*salidas26[[#This Row],[PRECIO JUEGO]])</f>
        <v>60</v>
      </c>
      <c r="J872">
        <f>(salidas26[[#This Row],[CANT BARRAS]]*salidas26[[#This Row],[PRECIO BARRA]])</f>
        <v>0</v>
      </c>
      <c r="K872">
        <v>60</v>
      </c>
      <c r="L872" t="s">
        <v>465</v>
      </c>
      <c r="M872" t="s">
        <v>536</v>
      </c>
    </row>
    <row r="873" spans="1:13">
      <c r="A873">
        <v>645</v>
      </c>
      <c r="B873">
        <v>4011</v>
      </c>
      <c r="C8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873" s="32">
        <v>46107</v>
      </c>
      <c r="E8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8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873">
        <v>1</v>
      </c>
      <c r="I873">
        <f>(salidas26[[#This Row],[CANT JUEGOS ]]*salidas26[[#This Row],[PRECIO JUEGO]])</f>
        <v>160</v>
      </c>
      <c r="J873">
        <f>(salidas26[[#This Row],[CANT BARRAS]]*salidas26[[#This Row],[PRECIO BARRA]])</f>
        <v>0</v>
      </c>
      <c r="K873">
        <v>150</v>
      </c>
      <c r="L873" t="s">
        <v>465</v>
      </c>
      <c r="M873" t="s">
        <v>481</v>
      </c>
    </row>
    <row r="874" spans="1:13">
      <c r="A874">
        <v>646</v>
      </c>
      <c r="B874">
        <v>4021</v>
      </c>
      <c r="C8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874" s="32">
        <v>46109</v>
      </c>
      <c r="E8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8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874">
        <v>1</v>
      </c>
      <c r="I874">
        <f>(salidas26[[#This Row],[CANT JUEGOS ]]*salidas26[[#This Row],[PRECIO JUEGO]])</f>
        <v>200</v>
      </c>
      <c r="J874">
        <f>(salidas26[[#This Row],[CANT BARRAS]]*salidas26[[#This Row],[PRECIO BARRA]])</f>
        <v>0</v>
      </c>
      <c r="K874">
        <v>200</v>
      </c>
      <c r="L874" t="s">
        <v>496</v>
      </c>
      <c r="M874" t="s">
        <v>566</v>
      </c>
    </row>
    <row r="875" spans="1:13">
      <c r="A875">
        <v>647</v>
      </c>
      <c r="B875">
        <v>1069</v>
      </c>
      <c r="C8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875" s="32">
        <v>46109</v>
      </c>
      <c r="E8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8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875">
        <v>1</v>
      </c>
      <c r="I875">
        <f>(salidas26[[#This Row],[CANT JUEGOS ]]*salidas26[[#This Row],[PRECIO JUEGO]])</f>
        <v>250</v>
      </c>
      <c r="J875">
        <f>(salidas26[[#This Row],[CANT BARRAS]]*salidas26[[#This Row],[PRECIO BARRA]])</f>
        <v>0</v>
      </c>
      <c r="K875">
        <v>250</v>
      </c>
      <c r="L875" t="s">
        <v>465</v>
      </c>
      <c r="M875" t="s">
        <v>481</v>
      </c>
    </row>
    <row r="876" spans="1:13">
      <c r="A876">
        <v>648</v>
      </c>
      <c r="B876">
        <v>1138</v>
      </c>
      <c r="C8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876" s="32">
        <v>46109</v>
      </c>
      <c r="E8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876">
        <v>1</v>
      </c>
      <c r="I876">
        <f>(salidas26[[#This Row],[CANT JUEGOS ]]*salidas26[[#This Row],[PRECIO JUEGO]])</f>
        <v>280</v>
      </c>
      <c r="J876">
        <f>(salidas26[[#This Row],[CANT BARRAS]]*salidas26[[#This Row],[PRECIO BARRA]])</f>
        <v>0</v>
      </c>
      <c r="K876">
        <v>280</v>
      </c>
      <c r="L876" t="s">
        <v>465</v>
      </c>
      <c r="M876" t="s">
        <v>739</v>
      </c>
    </row>
    <row r="877" spans="1:13">
      <c r="A877">
        <v>649</v>
      </c>
      <c r="B877">
        <v>8078</v>
      </c>
      <c r="C8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55/5LED/6V/8B</v>
      </c>
      <c r="D877" s="32">
        <v>46109</v>
      </c>
      <c r="E8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77">
        <v>1</v>
      </c>
      <c r="I877">
        <f>(salidas26[[#This Row],[CANT JUEGOS ]]*salidas26[[#This Row],[PRECIO JUEGO]])</f>
        <v>300</v>
      </c>
      <c r="J877">
        <f>(salidas26[[#This Row],[CANT BARRAS]]*salidas26[[#This Row],[PRECIO BARRA]])</f>
        <v>0</v>
      </c>
      <c r="K877">
        <v>250</v>
      </c>
      <c r="L877" t="s">
        <v>496</v>
      </c>
      <c r="M877" t="s">
        <v>466</v>
      </c>
    </row>
    <row r="878" spans="1:13">
      <c r="A878">
        <v>650</v>
      </c>
      <c r="B878">
        <v>6022</v>
      </c>
      <c r="C8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878" s="32">
        <v>46108</v>
      </c>
      <c r="E8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8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878">
        <v>1</v>
      </c>
      <c r="I878">
        <f>(salidas26[[#This Row],[CANT JUEGOS ]]*salidas26[[#This Row],[PRECIO JUEGO]])</f>
        <v>350</v>
      </c>
      <c r="J878">
        <f>(salidas26[[#This Row],[CANT BARRAS]]*salidas26[[#This Row],[PRECIO BARRA]])</f>
        <v>0</v>
      </c>
      <c r="K878">
        <v>350</v>
      </c>
      <c r="L878" t="s">
        <v>496</v>
      </c>
      <c r="M878" t="s">
        <v>740</v>
      </c>
    </row>
    <row r="879" spans="1:13">
      <c r="A879">
        <v>651</v>
      </c>
      <c r="B879">
        <v>3000</v>
      </c>
      <c r="C8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879" s="32">
        <v>46108</v>
      </c>
      <c r="E8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8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79">
        <v>1</v>
      </c>
      <c r="I879">
        <f>(salidas26[[#This Row],[CANT JUEGOS ]]*salidas26[[#This Row],[PRECIO JUEGO]])</f>
        <v>90</v>
      </c>
      <c r="J879">
        <f>(salidas26[[#This Row],[CANT BARRAS]]*salidas26[[#This Row],[PRECIO BARRA]])</f>
        <v>0</v>
      </c>
      <c r="K879">
        <v>72</v>
      </c>
      <c r="L879" t="s">
        <v>465</v>
      </c>
      <c r="M879" t="s">
        <v>497</v>
      </c>
    </row>
    <row r="880" spans="1:13">
      <c r="A880">
        <v>652</v>
      </c>
      <c r="B880">
        <v>8012</v>
      </c>
      <c r="C8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880" s="32">
        <v>46108</v>
      </c>
      <c r="E8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8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880">
        <v>1</v>
      </c>
      <c r="I880">
        <f>(salidas26[[#This Row],[CANT JUEGOS ]]*salidas26[[#This Row],[PRECIO JUEGO]])</f>
        <v>100</v>
      </c>
      <c r="J880">
        <f>(salidas26[[#This Row],[CANT BARRAS]]*salidas26[[#This Row],[PRECIO BARRA]])</f>
        <v>0</v>
      </c>
      <c r="K880">
        <v>80</v>
      </c>
      <c r="L880" t="s">
        <v>465</v>
      </c>
      <c r="M880" t="s">
        <v>497</v>
      </c>
    </row>
    <row r="881" spans="1:13">
      <c r="A881">
        <v>653</v>
      </c>
      <c r="B881">
        <v>1121</v>
      </c>
      <c r="C8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LM8600</v>
      </c>
      <c r="D881" s="32">
        <v>46108</v>
      </c>
      <c r="E8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881">
        <v>1</v>
      </c>
      <c r="I881">
        <f>(salidas26[[#This Row],[CANT JUEGOS ]]*salidas26[[#This Row],[PRECIO JUEGO]])</f>
        <v>300</v>
      </c>
      <c r="J881">
        <f>(salidas26[[#This Row],[CANT BARRAS]]*salidas26[[#This Row],[PRECIO BARRA]])</f>
        <v>0</v>
      </c>
      <c r="K881">
        <v>176</v>
      </c>
      <c r="L881" t="s">
        <v>465</v>
      </c>
      <c r="M881" t="s">
        <v>497</v>
      </c>
    </row>
    <row r="882" spans="1:13">
      <c r="A882">
        <v>654</v>
      </c>
      <c r="B882">
        <v>7018</v>
      </c>
      <c r="C8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IRT 5L/3V KONKA- CROWN-TV5577SD/9L/9B</v>
      </c>
      <c r="D882" s="32">
        <v>46108</v>
      </c>
      <c r="E8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882">
        <v>1</v>
      </c>
      <c r="I882">
        <f>(salidas26[[#This Row],[CANT JUEGOS ]]*salidas26[[#This Row],[PRECIO JUEGO]])</f>
        <v>280</v>
      </c>
      <c r="J882">
        <f>(salidas26[[#This Row],[CANT BARRAS]]*salidas26[[#This Row],[PRECIO BARRA]])</f>
        <v>0</v>
      </c>
      <c r="K882">
        <v>224</v>
      </c>
      <c r="L882" t="s">
        <v>465</v>
      </c>
      <c r="M882" t="s">
        <v>497</v>
      </c>
    </row>
    <row r="883" spans="1:13">
      <c r="A883">
        <v>655</v>
      </c>
      <c r="B883">
        <v>6007</v>
      </c>
      <c r="C8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TB70000 SKYWORTH 3B</v>
      </c>
      <c r="D883" s="32">
        <v>46108</v>
      </c>
      <c r="E8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83">
        <v>1</v>
      </c>
      <c r="I883">
        <f>(salidas26[[#This Row],[CANT JUEGOS ]]*salidas26[[#This Row],[PRECIO JUEGO]])</f>
        <v>180</v>
      </c>
      <c r="J883">
        <f>(salidas26[[#This Row],[CANT BARRAS]]*salidas26[[#This Row],[PRECIO BARRA]])</f>
        <v>0</v>
      </c>
      <c r="K883">
        <v>144</v>
      </c>
      <c r="L883" t="s">
        <v>496</v>
      </c>
      <c r="M883" t="s">
        <v>497</v>
      </c>
    </row>
    <row r="884" spans="1:13">
      <c r="A884">
        <v>656</v>
      </c>
      <c r="B884">
        <v>1036</v>
      </c>
      <c r="C8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884" s="32">
        <v>46106</v>
      </c>
      <c r="E8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884">
        <v>1</v>
      </c>
      <c r="I884">
        <f>(salidas26[[#This Row],[CANT JUEGOS ]]*salidas26[[#This Row],[PRECIO JUEGO]])</f>
        <v>180</v>
      </c>
      <c r="J884">
        <f>(salidas26[[#This Row],[CANT BARRAS]]*salidas26[[#This Row],[PRECIO BARRA]])</f>
        <v>0</v>
      </c>
      <c r="K884">
        <v>144</v>
      </c>
      <c r="L884" t="s">
        <v>465</v>
      </c>
      <c r="M884" t="s">
        <v>497</v>
      </c>
    </row>
    <row r="885" spans="1:13">
      <c r="A885">
        <v>657</v>
      </c>
      <c r="B885">
        <v>6007</v>
      </c>
      <c r="C8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TB70000 SKYWORTH 3B</v>
      </c>
      <c r="D885" s="32">
        <v>46106</v>
      </c>
      <c r="E8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8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885">
        <v>1</v>
      </c>
      <c r="I885">
        <f>(salidas26[[#This Row],[CANT JUEGOS ]]*salidas26[[#This Row],[PRECIO JUEGO]])</f>
        <v>180</v>
      </c>
      <c r="J885">
        <f>(salidas26[[#This Row],[CANT BARRAS]]*salidas26[[#This Row],[PRECIO BARRA]])</f>
        <v>0</v>
      </c>
      <c r="K885">
        <v>144</v>
      </c>
      <c r="L885" t="s">
        <v>465</v>
      </c>
      <c r="M885" t="s">
        <v>497</v>
      </c>
    </row>
    <row r="886" spans="1:13">
      <c r="A886">
        <v>658</v>
      </c>
      <c r="B886">
        <v>1015</v>
      </c>
      <c r="C8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886" s="32">
        <v>46106</v>
      </c>
      <c r="E8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8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886">
        <v>1</v>
      </c>
      <c r="I886">
        <f>(salidas26[[#This Row],[CANT JUEGOS ]]*salidas26[[#This Row],[PRECIO JUEGO]])</f>
        <v>80</v>
      </c>
      <c r="J886">
        <f>(salidas26[[#This Row],[CANT BARRAS]]*salidas26[[#This Row],[PRECIO BARRA]])</f>
        <v>0</v>
      </c>
      <c r="K886">
        <v>64</v>
      </c>
      <c r="L886" t="s">
        <v>465</v>
      </c>
      <c r="M886" t="s">
        <v>497</v>
      </c>
    </row>
    <row r="887" spans="1:13">
      <c r="A887">
        <v>659</v>
      </c>
      <c r="B887">
        <v>2087</v>
      </c>
      <c r="C8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887" s="32">
        <v>46108</v>
      </c>
      <c r="E8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8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887">
        <v>1</v>
      </c>
      <c r="I887">
        <f>(salidas26[[#This Row],[CANT JUEGOS ]]*salidas26[[#This Row],[PRECIO JUEGO]])</f>
        <v>240</v>
      </c>
      <c r="J887">
        <f>(salidas26[[#This Row],[CANT BARRAS]]*salidas26[[#This Row],[PRECIO BARRA]])</f>
        <v>0</v>
      </c>
      <c r="K887">
        <v>200</v>
      </c>
      <c r="L887" t="s">
        <v>496</v>
      </c>
      <c r="M887" t="s">
        <v>714</v>
      </c>
    </row>
    <row r="888" spans="1:13">
      <c r="A888">
        <v>660</v>
      </c>
      <c r="B888">
        <v>8015</v>
      </c>
      <c r="C8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888" s="32">
        <v>46109</v>
      </c>
      <c r="E8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88">
        <v>2</v>
      </c>
      <c r="I888">
        <f>(salidas26[[#This Row],[CANT JUEGOS ]]*salidas26[[#This Row],[PRECIO JUEGO]])</f>
        <v>120</v>
      </c>
      <c r="J888">
        <f>(salidas26[[#This Row],[CANT BARRAS]]*salidas26[[#This Row],[PRECIO BARRA]])</f>
        <v>0</v>
      </c>
      <c r="K888">
        <v>100</v>
      </c>
      <c r="L888" t="s">
        <v>496</v>
      </c>
      <c r="M888" t="s">
        <v>474</v>
      </c>
    </row>
    <row r="889" spans="1:13">
      <c r="A889">
        <v>661</v>
      </c>
      <c r="B889">
        <v>6027</v>
      </c>
      <c r="C8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889" s="32">
        <v>46109</v>
      </c>
      <c r="E8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889">
        <v>2</v>
      </c>
      <c r="I889">
        <f>(salidas26[[#This Row],[CANT JUEGOS ]]*salidas26[[#This Row],[PRECIO JUEGO]])</f>
        <v>0</v>
      </c>
      <c r="J889">
        <f>(salidas26[[#This Row],[CANT BARRAS]]*salidas26[[#This Row],[PRECIO BARRA]])</f>
        <v>56</v>
      </c>
      <c r="K889">
        <v>50</v>
      </c>
      <c r="L889" t="s">
        <v>496</v>
      </c>
      <c r="M889" t="s">
        <v>474</v>
      </c>
    </row>
    <row r="890" spans="1:13">
      <c r="A890">
        <v>662</v>
      </c>
      <c r="B890">
        <v>2087</v>
      </c>
      <c r="C8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890" s="32">
        <v>46109</v>
      </c>
      <c r="E8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8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890">
        <v>1</v>
      </c>
      <c r="I890">
        <f>(salidas26[[#This Row],[CANT JUEGOS ]]*salidas26[[#This Row],[PRECIO JUEGO]])</f>
        <v>240</v>
      </c>
      <c r="J890">
        <f>(salidas26[[#This Row],[CANT BARRAS]]*salidas26[[#This Row],[PRECIO BARRA]])</f>
        <v>0</v>
      </c>
      <c r="K890">
        <v>240</v>
      </c>
      <c r="L890" t="s">
        <v>496</v>
      </c>
      <c r="M890" t="s">
        <v>742</v>
      </c>
    </row>
    <row r="891" spans="1:13">
      <c r="A891">
        <v>663</v>
      </c>
      <c r="B891">
        <v>3033</v>
      </c>
      <c r="C8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55B8000 14B/2B DE 8L Y 12B DE 7L</v>
      </c>
      <c r="D891" s="32">
        <v>46111</v>
      </c>
      <c r="E8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8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22.857142857142858</v>
      </c>
      <c r="G891">
        <v>1</v>
      </c>
      <c r="I891">
        <f>(salidas26[[#This Row],[CANT JUEGOS ]]*salidas26[[#This Row],[PRECIO JUEGO]])</f>
        <v>320</v>
      </c>
      <c r="J891">
        <f>(salidas26[[#This Row],[CANT BARRAS]]*salidas26[[#This Row],[PRECIO BARRA]])</f>
        <v>0</v>
      </c>
      <c r="K891">
        <v>300</v>
      </c>
      <c r="L891" t="s">
        <v>465</v>
      </c>
      <c r="M891" t="s">
        <v>628</v>
      </c>
    </row>
    <row r="892" spans="1:13">
      <c r="A892">
        <v>664</v>
      </c>
      <c r="B892">
        <v>1138</v>
      </c>
      <c r="C8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892" s="32">
        <v>46111</v>
      </c>
      <c r="E8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892">
        <v>1</v>
      </c>
      <c r="I892">
        <f>(salidas26[[#This Row],[CANT JUEGOS ]]*salidas26[[#This Row],[PRECIO JUEGO]])</f>
        <v>280</v>
      </c>
      <c r="J892">
        <f>(salidas26[[#This Row],[CANT BARRAS]]*salidas26[[#This Row],[PRECIO BARRA]])</f>
        <v>0</v>
      </c>
      <c r="K892">
        <v>280</v>
      </c>
      <c r="L892" t="s">
        <v>465</v>
      </c>
      <c r="M892" t="s">
        <v>466</v>
      </c>
    </row>
    <row r="893" spans="1:13">
      <c r="A893">
        <v>665</v>
      </c>
      <c r="B893">
        <v>2021</v>
      </c>
      <c r="C8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893" s="32">
        <v>46111</v>
      </c>
      <c r="E8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8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893">
        <v>1</v>
      </c>
      <c r="I893">
        <f>(salidas26[[#This Row],[CANT JUEGOS ]]*salidas26[[#This Row],[PRECIO JUEGO]])</f>
        <v>260</v>
      </c>
      <c r="J893">
        <f>(salidas26[[#This Row],[CANT BARRAS]]*salidas26[[#This Row],[PRECIO BARRA]])</f>
        <v>0</v>
      </c>
      <c r="K893">
        <v>250</v>
      </c>
      <c r="L893" t="s">
        <v>465</v>
      </c>
      <c r="M893" t="s">
        <v>523</v>
      </c>
    </row>
    <row r="894" spans="1:13">
      <c r="A894">
        <v>666</v>
      </c>
      <c r="B894">
        <v>1102</v>
      </c>
      <c r="C8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894" s="32">
        <v>46111</v>
      </c>
      <c r="E8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8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894">
        <v>1</v>
      </c>
      <c r="I894">
        <f>(salidas26[[#This Row],[CANT JUEGOS ]]*salidas26[[#This Row],[PRECIO JUEGO]])</f>
        <v>280</v>
      </c>
      <c r="J894">
        <f>(salidas26[[#This Row],[CANT BARRAS]]*salidas26[[#This Row],[PRECIO BARRA]])</f>
        <v>0</v>
      </c>
      <c r="K894">
        <v>250</v>
      </c>
      <c r="L894" t="s">
        <v>465</v>
      </c>
      <c r="M894" t="s">
        <v>566</v>
      </c>
    </row>
    <row r="895" spans="1:13">
      <c r="A895">
        <v>667</v>
      </c>
      <c r="B895">
        <v>1121</v>
      </c>
      <c r="C8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LM8600</v>
      </c>
      <c r="D895" s="32">
        <v>46108</v>
      </c>
      <c r="E8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8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895">
        <v>1</v>
      </c>
      <c r="I895">
        <f>(salidas26[[#This Row],[CANT JUEGOS ]]*salidas26[[#This Row],[PRECIO JUEGO]])</f>
        <v>300</v>
      </c>
      <c r="J895">
        <f>(salidas26[[#This Row],[CANT BARRAS]]*salidas26[[#This Row],[PRECIO BARRA]])</f>
        <v>0</v>
      </c>
      <c r="M895" t="s">
        <v>758</v>
      </c>
    </row>
    <row r="896" spans="1:13">
      <c r="A896">
        <v>669</v>
      </c>
      <c r="B896">
        <v>6015</v>
      </c>
      <c r="C8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896" s="32">
        <v>46111</v>
      </c>
      <c r="E8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8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896">
        <v>1</v>
      </c>
      <c r="I896">
        <f>(salidas26[[#This Row],[CANT JUEGOS ]]*salidas26[[#This Row],[PRECIO JUEGO]])</f>
        <v>220</v>
      </c>
      <c r="J896">
        <f>(salidas26[[#This Row],[CANT BARRAS]]*salidas26[[#This Row],[PRECIO BARRA]])</f>
        <v>0</v>
      </c>
      <c r="K896">
        <v>220</v>
      </c>
      <c r="L896" t="s">
        <v>465</v>
      </c>
      <c r="M896" t="s">
        <v>466</v>
      </c>
    </row>
    <row r="897" spans="1:13">
      <c r="A897">
        <v>670</v>
      </c>
      <c r="B897">
        <v>6012</v>
      </c>
      <c r="C8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897" s="32">
        <v>46111</v>
      </c>
      <c r="E8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8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897">
        <v>1</v>
      </c>
      <c r="I897">
        <f>(salidas26[[#This Row],[CANT JUEGOS ]]*salidas26[[#This Row],[PRECIO JUEGO]])</f>
        <v>220</v>
      </c>
      <c r="J897">
        <f>(salidas26[[#This Row],[CANT BARRAS]]*salidas26[[#This Row],[PRECIO BARRA]])</f>
        <v>0</v>
      </c>
      <c r="K897">
        <v>210</v>
      </c>
      <c r="L897" t="s">
        <v>465</v>
      </c>
      <c r="M897" t="s">
        <v>542</v>
      </c>
    </row>
    <row r="898" spans="1:13">
      <c r="A898">
        <v>671</v>
      </c>
      <c r="B898">
        <v>4021</v>
      </c>
      <c r="C8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898" s="32">
        <v>46111</v>
      </c>
      <c r="E8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8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898">
        <v>1</v>
      </c>
      <c r="H898">
        <v>2</v>
      </c>
      <c r="I898">
        <f>(salidas26[[#This Row],[CANT JUEGOS ]]*salidas26[[#This Row],[PRECIO JUEGO]])</f>
        <v>200</v>
      </c>
      <c r="J898">
        <f>(salidas26[[#This Row],[CANT BARRAS]]*salidas26[[#This Row],[PRECIO BARRA]])</f>
        <v>50</v>
      </c>
      <c r="K898">
        <v>50</v>
      </c>
      <c r="L898" t="s">
        <v>465</v>
      </c>
      <c r="M898" t="s">
        <v>725</v>
      </c>
    </row>
    <row r="899" spans="1:13">
      <c r="A899">
        <v>672</v>
      </c>
      <c r="B899">
        <v>4001</v>
      </c>
      <c r="C8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D2900 TCL</v>
      </c>
      <c r="D899" s="32">
        <v>46111</v>
      </c>
      <c r="E8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8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899">
        <v>1</v>
      </c>
      <c r="I899">
        <f>(salidas26[[#This Row],[CANT JUEGOS ]]*salidas26[[#This Row],[PRECIO JUEGO]])</f>
        <v>60</v>
      </c>
      <c r="J899">
        <f>(salidas26[[#This Row],[CANT BARRAS]]*salidas26[[#This Row],[PRECIO BARRA]])</f>
        <v>0</v>
      </c>
      <c r="K899">
        <v>50</v>
      </c>
      <c r="L899" t="s">
        <v>465</v>
      </c>
      <c r="M899" t="s">
        <v>536</v>
      </c>
    </row>
    <row r="900" spans="1:13">
      <c r="A900">
        <v>673</v>
      </c>
      <c r="B900">
        <v>1011</v>
      </c>
      <c r="C9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32LK540 6L/3V /2B</v>
      </c>
      <c r="D900" s="32">
        <v>46111</v>
      </c>
      <c r="E9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9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900">
        <v>1</v>
      </c>
      <c r="I900">
        <f>(salidas26[[#This Row],[CANT JUEGOS ]]*salidas26[[#This Row],[PRECIO JUEGO]])</f>
        <v>70</v>
      </c>
      <c r="J900">
        <f>(salidas26[[#This Row],[CANT BARRAS]]*salidas26[[#This Row],[PRECIO BARRA]])</f>
        <v>0</v>
      </c>
      <c r="K900">
        <v>60</v>
      </c>
      <c r="L900" t="s">
        <v>465</v>
      </c>
      <c r="M900" t="s">
        <v>759</v>
      </c>
    </row>
    <row r="901" spans="1:13">
      <c r="A901">
        <v>674</v>
      </c>
      <c r="B901">
        <v>3015</v>
      </c>
      <c r="C9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48M600 10B/8 - 8 LEDS/3V</v>
      </c>
      <c r="D901" s="32">
        <v>46111</v>
      </c>
      <c r="E9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9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901">
        <v>1</v>
      </c>
      <c r="H901">
        <v>2</v>
      </c>
      <c r="I901">
        <f>(salidas26[[#This Row],[CANT JUEGOS ]]*salidas26[[#This Row],[PRECIO JUEGO]])</f>
        <v>260</v>
      </c>
      <c r="J901">
        <f>(salidas26[[#This Row],[CANT BARRAS]]*salidas26[[#This Row],[PRECIO BARRA]])</f>
        <v>52</v>
      </c>
      <c r="K901">
        <v>50</v>
      </c>
      <c r="L901" t="s">
        <v>465</v>
      </c>
      <c r="M901" t="s">
        <v>595</v>
      </c>
    </row>
    <row r="902" spans="1:13">
      <c r="A902">
        <v>675</v>
      </c>
      <c r="B902">
        <v>8068</v>
      </c>
      <c r="C9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902" s="32">
        <v>46111</v>
      </c>
      <c r="E9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9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902">
        <v>1</v>
      </c>
      <c r="I902">
        <f>(salidas26[[#This Row],[CANT JUEGOS ]]*salidas26[[#This Row],[PRECIO JUEGO]])</f>
        <v>220</v>
      </c>
      <c r="J902">
        <f>(salidas26[[#This Row],[CANT BARRAS]]*salidas26[[#This Row],[PRECIO BARRA]])</f>
        <v>0</v>
      </c>
      <c r="K902">
        <v>200</v>
      </c>
      <c r="L902" t="s">
        <v>465</v>
      </c>
      <c r="M902" t="s">
        <v>523</v>
      </c>
    </row>
    <row r="903" spans="1:13">
      <c r="B903">
        <v>7004</v>
      </c>
      <c r="C9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903" s="32">
        <v>46111</v>
      </c>
      <c r="E9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03">
        <v>3</v>
      </c>
      <c r="I903">
        <f>(salidas26[[#This Row],[CANT JUEGOS ]]*salidas26[[#This Row],[PRECIO JUEGO]])</f>
        <v>450</v>
      </c>
      <c r="J903">
        <f>(salidas26[[#This Row],[CANT BARRAS]]*salidas26[[#This Row],[PRECIO BARRA]])</f>
        <v>0</v>
      </c>
      <c r="M903" t="s">
        <v>719</v>
      </c>
    </row>
    <row r="904" spans="1:13">
      <c r="B904">
        <v>6000</v>
      </c>
      <c r="C9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904" s="32">
        <v>46111</v>
      </c>
      <c r="E9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04">
        <v>1</v>
      </c>
      <c r="I904">
        <f>(salidas26[[#This Row],[CANT JUEGOS ]]*salidas26[[#This Row],[PRECIO JUEGO]])</f>
        <v>60</v>
      </c>
      <c r="J904">
        <f>(salidas26[[#This Row],[CANT BARRAS]]*salidas26[[#This Row],[PRECIO BARRA]])</f>
        <v>0</v>
      </c>
      <c r="M904" t="s">
        <v>719</v>
      </c>
    </row>
    <row r="905" spans="1:13">
      <c r="B905">
        <v>8012</v>
      </c>
      <c r="C9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905" s="32">
        <v>46111</v>
      </c>
      <c r="E9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9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05">
        <v>3</v>
      </c>
      <c r="I905">
        <f>(salidas26[[#This Row],[CANT JUEGOS ]]*salidas26[[#This Row],[PRECIO JUEGO]])</f>
        <v>300</v>
      </c>
      <c r="J905">
        <f>(salidas26[[#This Row],[CANT BARRAS]]*salidas26[[#This Row],[PRECIO BARRA]])</f>
        <v>0</v>
      </c>
      <c r="M905" t="s">
        <v>765</v>
      </c>
    </row>
    <row r="906" spans="1:13">
      <c r="B906">
        <v>7002</v>
      </c>
      <c r="C9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906" s="32">
        <v>46111</v>
      </c>
      <c r="E9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9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906">
        <v>2</v>
      </c>
      <c r="I906">
        <f>(salidas26[[#This Row],[CANT JUEGOS ]]*salidas26[[#This Row],[PRECIO JUEGO]])</f>
        <v>140</v>
      </c>
      <c r="J906">
        <f>(salidas26[[#This Row],[CANT BARRAS]]*salidas26[[#This Row],[PRECIO BARRA]])</f>
        <v>0</v>
      </c>
      <c r="M906" t="s">
        <v>719</v>
      </c>
    </row>
    <row r="907" spans="1:13">
      <c r="A907">
        <v>676</v>
      </c>
      <c r="B907">
        <v>1081</v>
      </c>
      <c r="C9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49LF5400 2B EL JUEGO </v>
      </c>
      <c r="D907" s="32">
        <v>46111</v>
      </c>
      <c r="E9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9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907">
        <v>1</v>
      </c>
      <c r="I907">
        <f>(salidas26[[#This Row],[CANT JUEGOS ]]*salidas26[[#This Row],[PRECIO JUEGO]])</f>
        <v>200</v>
      </c>
      <c r="J907">
        <f>(salidas26[[#This Row],[CANT BARRAS]]*salidas26[[#This Row],[PRECIO BARRA]])</f>
        <v>0</v>
      </c>
      <c r="K907">
        <v>160</v>
      </c>
      <c r="L907" t="s">
        <v>465</v>
      </c>
      <c r="M907" t="s">
        <v>497</v>
      </c>
    </row>
    <row r="908" spans="1:13">
      <c r="A908">
        <v>677</v>
      </c>
      <c r="B908">
        <v>7002</v>
      </c>
      <c r="C9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908" s="32">
        <v>46111</v>
      </c>
      <c r="E9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9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908">
        <v>2</v>
      </c>
      <c r="I908">
        <f>(salidas26[[#This Row],[CANT JUEGOS ]]*salidas26[[#This Row],[PRECIO JUEGO]])</f>
        <v>140</v>
      </c>
      <c r="J908">
        <f>(salidas26[[#This Row],[CANT BARRAS]]*salidas26[[#This Row],[PRECIO BARRA]])</f>
        <v>0</v>
      </c>
      <c r="K908">
        <v>112</v>
      </c>
      <c r="L908" t="s">
        <v>465</v>
      </c>
      <c r="M908" t="s">
        <v>497</v>
      </c>
    </row>
    <row r="909" spans="1:13">
      <c r="A909">
        <v>678</v>
      </c>
      <c r="B909">
        <v>1120</v>
      </c>
      <c r="C9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55LM6200/2B</v>
      </c>
      <c r="D909" s="32">
        <v>46111</v>
      </c>
      <c r="E9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9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909">
        <v>1</v>
      </c>
      <c r="I909">
        <f>(salidas26[[#This Row],[CANT JUEGOS ]]*salidas26[[#This Row],[PRECIO JUEGO]])</f>
        <v>220</v>
      </c>
      <c r="J909">
        <f>(salidas26[[#This Row],[CANT BARRAS]]*salidas26[[#This Row],[PRECIO BARRA]])</f>
        <v>0</v>
      </c>
      <c r="K909">
        <v>176</v>
      </c>
      <c r="L909" t="s">
        <v>465</v>
      </c>
      <c r="M909" t="s">
        <v>497</v>
      </c>
    </row>
    <row r="910" spans="1:13">
      <c r="A910">
        <v>679</v>
      </c>
      <c r="B910">
        <v>8068</v>
      </c>
      <c r="C9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3V/10L/4B</v>
      </c>
      <c r="D910" s="32">
        <v>46112</v>
      </c>
      <c r="E9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9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910">
        <v>1</v>
      </c>
      <c r="I910">
        <f>(salidas26[[#This Row],[CANT JUEGOS ]]*salidas26[[#This Row],[PRECIO JUEGO]])</f>
        <v>220</v>
      </c>
      <c r="J910">
        <f>(salidas26[[#This Row],[CANT BARRAS]]*salidas26[[#This Row],[PRECIO BARRA]])</f>
        <v>0</v>
      </c>
      <c r="K910">
        <v>200</v>
      </c>
      <c r="L910" t="s">
        <v>465</v>
      </c>
      <c r="M910" t="s">
        <v>466</v>
      </c>
    </row>
    <row r="911" spans="1:13">
      <c r="B911">
        <v>2078</v>
      </c>
      <c r="C9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911" s="32">
        <v>46112</v>
      </c>
      <c r="E9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9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911">
        <v>1</v>
      </c>
      <c r="H911">
        <v>1</v>
      </c>
      <c r="I911">
        <f>(salidas26[[#This Row],[CANT JUEGOS ]]*salidas26[[#This Row],[PRECIO JUEGO]])</f>
        <v>250</v>
      </c>
      <c r="J911">
        <f>(salidas26[[#This Row],[CANT BARRAS]]*salidas26[[#This Row],[PRECIO BARRA]])</f>
        <v>62.5</v>
      </c>
      <c r="K911">
        <v>50</v>
      </c>
      <c r="L911" t="s">
        <v>496</v>
      </c>
      <c r="M911" t="s">
        <v>767</v>
      </c>
    </row>
    <row r="912" spans="1:13">
      <c r="A912">
        <v>680</v>
      </c>
      <c r="B912">
        <v>2078</v>
      </c>
      <c r="C9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912" s="32">
        <v>46112</v>
      </c>
      <c r="E9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9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912">
        <v>1</v>
      </c>
      <c r="I912">
        <f>(salidas26[[#This Row],[CANT JUEGOS ]]*salidas26[[#This Row],[PRECIO JUEGO]])</f>
        <v>250</v>
      </c>
      <c r="J912">
        <f>(salidas26[[#This Row],[CANT BARRAS]]*salidas26[[#This Row],[PRECIO BARRA]])</f>
        <v>0</v>
      </c>
      <c r="K912">
        <v>250</v>
      </c>
      <c r="L912" t="s">
        <v>496</v>
      </c>
      <c r="M912" t="s">
        <v>474</v>
      </c>
    </row>
    <row r="913" spans="1:13">
      <c r="A913">
        <v>681</v>
      </c>
      <c r="B913">
        <v>2039</v>
      </c>
      <c r="C9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UN48H4200/8B</v>
      </c>
      <c r="D913" s="32">
        <v>46112</v>
      </c>
      <c r="E9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9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913">
        <v>1</v>
      </c>
      <c r="I913">
        <f>(salidas26[[#This Row],[CANT JUEGOS ]]*salidas26[[#This Row],[PRECIO JUEGO]])</f>
        <v>280</v>
      </c>
      <c r="J913">
        <f>(salidas26[[#This Row],[CANT BARRAS]]*salidas26[[#This Row],[PRECIO BARRA]])</f>
        <v>0</v>
      </c>
      <c r="K913">
        <v>260</v>
      </c>
      <c r="L913" t="s">
        <v>496</v>
      </c>
      <c r="M913" t="s">
        <v>474</v>
      </c>
    </row>
    <row r="914" spans="1:13">
      <c r="A914">
        <v>682</v>
      </c>
      <c r="B914">
        <v>3001</v>
      </c>
      <c r="C9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914" s="32">
        <v>46112</v>
      </c>
      <c r="E9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9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914">
        <v>1</v>
      </c>
      <c r="I914">
        <f>(salidas26[[#This Row],[CANT JUEGOS ]]*salidas26[[#This Row],[PRECIO JUEGO]])</f>
        <v>100</v>
      </c>
      <c r="J914">
        <f>(salidas26[[#This Row],[CANT BARRAS]]*salidas26[[#This Row],[PRECIO BARRA]])</f>
        <v>0</v>
      </c>
      <c r="K914">
        <v>100</v>
      </c>
      <c r="L914" t="s">
        <v>465</v>
      </c>
      <c r="M914" t="s">
        <v>466</v>
      </c>
    </row>
    <row r="915" spans="1:13">
      <c r="A915">
        <v>683</v>
      </c>
      <c r="B915">
        <v>3003</v>
      </c>
      <c r="C9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915" s="32">
        <v>46112</v>
      </c>
      <c r="E9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9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915">
        <v>1</v>
      </c>
      <c r="I915">
        <f>(salidas26[[#This Row],[CANT JUEGOS ]]*salidas26[[#This Row],[PRECIO JUEGO]])</f>
        <v>160</v>
      </c>
      <c r="J915">
        <f>(salidas26[[#This Row],[CANT BARRAS]]*salidas26[[#This Row],[PRECIO BARRA]])</f>
        <v>0</v>
      </c>
      <c r="K915">
        <v>160</v>
      </c>
      <c r="L915" t="s">
        <v>496</v>
      </c>
      <c r="M915" t="s">
        <v>466</v>
      </c>
    </row>
    <row r="916" spans="1:13">
      <c r="A916">
        <v>684</v>
      </c>
      <c r="B916">
        <v>3015</v>
      </c>
      <c r="C9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48M600 10B/8 - 8 LEDS/3V</v>
      </c>
      <c r="D916" s="32">
        <v>46112</v>
      </c>
      <c r="E9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9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916">
        <v>1</v>
      </c>
      <c r="I916">
        <f>(salidas26[[#This Row],[CANT JUEGOS ]]*salidas26[[#This Row],[PRECIO JUEGO]])</f>
        <v>260</v>
      </c>
      <c r="J916">
        <f>(salidas26[[#This Row],[CANT BARRAS]]*salidas26[[#This Row],[PRECIO BARRA]])</f>
        <v>0</v>
      </c>
      <c r="K916">
        <v>250</v>
      </c>
      <c r="L916" t="s">
        <v>496</v>
      </c>
      <c r="M916" t="s">
        <v>466</v>
      </c>
    </row>
    <row r="917" spans="1:13">
      <c r="A917">
        <v>685</v>
      </c>
      <c r="B917">
        <v>8015</v>
      </c>
      <c r="C9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17" s="32">
        <v>46112</v>
      </c>
      <c r="E9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17">
        <v>2</v>
      </c>
      <c r="I917">
        <f>(salidas26[[#This Row],[CANT JUEGOS ]]*salidas26[[#This Row],[PRECIO JUEGO]])</f>
        <v>120</v>
      </c>
      <c r="J917">
        <f>(salidas26[[#This Row],[CANT BARRAS]]*salidas26[[#This Row],[PRECIO BARRA]])</f>
        <v>0</v>
      </c>
      <c r="K917">
        <v>96</v>
      </c>
      <c r="L917" t="s">
        <v>496</v>
      </c>
      <c r="M917" t="s">
        <v>497</v>
      </c>
    </row>
    <row r="918" spans="1:13">
      <c r="A918">
        <v>686</v>
      </c>
      <c r="B918">
        <v>8012</v>
      </c>
      <c r="C9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918" s="32">
        <v>46112</v>
      </c>
      <c r="E9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9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18">
        <v>2</v>
      </c>
      <c r="I918">
        <f>(salidas26[[#This Row],[CANT JUEGOS ]]*salidas26[[#This Row],[PRECIO JUEGO]])</f>
        <v>200</v>
      </c>
      <c r="J918">
        <f>(salidas26[[#This Row],[CANT BARRAS]]*salidas26[[#This Row],[PRECIO BARRA]])</f>
        <v>0</v>
      </c>
      <c r="K918">
        <v>160</v>
      </c>
      <c r="L918" t="s">
        <v>496</v>
      </c>
      <c r="M918" t="s">
        <v>497</v>
      </c>
    </row>
    <row r="919" spans="1:13">
      <c r="A919">
        <v>687</v>
      </c>
      <c r="B919">
        <v>6009</v>
      </c>
      <c r="C9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919" s="32">
        <v>46112</v>
      </c>
      <c r="E9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919">
        <v>6</v>
      </c>
      <c r="I919">
        <f>(salidas26[[#This Row],[CANT JUEGOS ]]*salidas26[[#This Row],[PRECIO JUEGO]])</f>
        <v>0</v>
      </c>
      <c r="J919">
        <f>(salidas26[[#This Row],[CANT BARRAS]]*salidas26[[#This Row],[PRECIO BARRA]])</f>
        <v>135</v>
      </c>
      <c r="K919">
        <v>144</v>
      </c>
      <c r="L919" t="s">
        <v>496</v>
      </c>
      <c r="M919" t="s">
        <v>497</v>
      </c>
    </row>
    <row r="920" spans="1:13">
      <c r="A920">
        <v>688</v>
      </c>
      <c r="B920">
        <v>7002</v>
      </c>
      <c r="C9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920" s="32">
        <v>46112</v>
      </c>
      <c r="E9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9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920">
        <v>1</v>
      </c>
      <c r="I920">
        <f>(salidas26[[#This Row],[CANT JUEGOS ]]*salidas26[[#This Row],[PRECIO JUEGO]])</f>
        <v>70</v>
      </c>
      <c r="J920">
        <f>(salidas26[[#This Row],[CANT BARRAS]]*salidas26[[#This Row],[PRECIO BARRA]])</f>
        <v>0</v>
      </c>
      <c r="K920">
        <v>56</v>
      </c>
      <c r="L920" t="s">
        <v>496</v>
      </c>
      <c r="M920" t="s">
        <v>497</v>
      </c>
    </row>
    <row r="921" spans="1:13">
      <c r="A921">
        <v>689</v>
      </c>
      <c r="B921">
        <v>2075</v>
      </c>
      <c r="C9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921" s="32">
        <v>46112</v>
      </c>
      <c r="E9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9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921">
        <v>1</v>
      </c>
      <c r="I921">
        <f>(salidas26[[#This Row],[CANT JUEGOS ]]*salidas26[[#This Row],[PRECIO JUEGO]])</f>
        <v>200</v>
      </c>
      <c r="J921">
        <f>(salidas26[[#This Row],[CANT BARRAS]]*salidas26[[#This Row],[PRECIO BARRA]])</f>
        <v>0</v>
      </c>
      <c r="K921">
        <v>200</v>
      </c>
      <c r="L921" t="s">
        <v>465</v>
      </c>
      <c r="M921" t="s">
        <v>628</v>
      </c>
    </row>
    <row r="922" spans="1:13">
      <c r="A922">
        <v>690</v>
      </c>
      <c r="B922">
        <v>2012</v>
      </c>
      <c r="C9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922" s="32">
        <v>46112</v>
      </c>
      <c r="E9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9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922">
        <v>1</v>
      </c>
      <c r="I922">
        <f>(salidas26[[#This Row],[CANT JUEGOS ]]*salidas26[[#This Row],[PRECIO JUEGO]])</f>
        <v>160</v>
      </c>
      <c r="J922">
        <f>(salidas26[[#This Row],[CANT BARRAS]]*salidas26[[#This Row],[PRECIO BARRA]])</f>
        <v>0</v>
      </c>
      <c r="K922">
        <v>162</v>
      </c>
      <c r="L922" t="s">
        <v>496</v>
      </c>
      <c r="M922" t="s">
        <v>509</v>
      </c>
    </row>
    <row r="923" spans="1:13">
      <c r="A923">
        <v>691</v>
      </c>
      <c r="B923">
        <v>1012</v>
      </c>
      <c r="C9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923" s="32">
        <v>46112</v>
      </c>
      <c r="E9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23">
        <v>1</v>
      </c>
      <c r="I923">
        <f>(salidas26[[#This Row],[CANT JUEGOS ]]*salidas26[[#This Row],[PRECIO JUEGO]])</f>
        <v>90</v>
      </c>
      <c r="J923">
        <f>(salidas26[[#This Row],[CANT BARRAS]]*salidas26[[#This Row],[PRECIO BARRA]])</f>
        <v>0</v>
      </c>
      <c r="K923">
        <v>90</v>
      </c>
      <c r="L923" t="s">
        <v>465</v>
      </c>
      <c r="M923" t="s">
        <v>470</v>
      </c>
    </row>
    <row r="924" spans="1:13">
      <c r="A924">
        <v>692</v>
      </c>
      <c r="B924">
        <v>2091</v>
      </c>
      <c r="C9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 H6400</v>
      </c>
      <c r="D924" s="32">
        <v>46112</v>
      </c>
      <c r="E9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700</v>
      </c>
      <c r="F92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924">
        <v>1</v>
      </c>
      <c r="I924">
        <f>(salidas26[[#This Row],[CANT JUEGOS ]]*salidas26[[#This Row],[PRECIO JUEGO]])</f>
        <v>700</v>
      </c>
      <c r="J924" t="e">
        <f>(salidas26[[#This Row],[CANT BARRAS]]*salidas26[[#This Row],[PRECIO BARRA]])</f>
        <v>#VALUE!</v>
      </c>
      <c r="K924">
        <v>650</v>
      </c>
      <c r="L924" t="s">
        <v>465</v>
      </c>
      <c r="M924" t="s">
        <v>768</v>
      </c>
    </row>
    <row r="925" spans="1:13">
      <c r="A925">
        <v>693</v>
      </c>
      <c r="B925">
        <v>8015</v>
      </c>
      <c r="C9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25" s="32">
        <v>46112</v>
      </c>
      <c r="E9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25">
        <v>1</v>
      </c>
      <c r="I925">
        <f>(salidas26[[#This Row],[CANT JUEGOS ]]*salidas26[[#This Row],[PRECIO JUEGO]])</f>
        <v>60</v>
      </c>
      <c r="J925">
        <f>(salidas26[[#This Row],[CANT BARRAS]]*salidas26[[#This Row],[PRECIO BARRA]])</f>
        <v>0</v>
      </c>
      <c r="K925">
        <v>60</v>
      </c>
      <c r="L925" t="s">
        <v>465</v>
      </c>
      <c r="M925" t="s">
        <v>481</v>
      </c>
    </row>
    <row r="926" spans="1:13">
      <c r="A926">
        <v>694</v>
      </c>
      <c r="B926">
        <v>5006</v>
      </c>
      <c r="C9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926" s="32">
        <v>46112</v>
      </c>
      <c r="E9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26">
        <v>1</v>
      </c>
      <c r="I926">
        <f>(salidas26[[#This Row],[CANT JUEGOS ]]*salidas26[[#This Row],[PRECIO JUEGO]])</f>
        <v>90</v>
      </c>
      <c r="J926">
        <f>(salidas26[[#This Row],[CANT BARRAS]]*salidas26[[#This Row],[PRECIO BARRA]])</f>
        <v>0</v>
      </c>
      <c r="K926">
        <v>90</v>
      </c>
      <c r="L926" t="s">
        <v>465</v>
      </c>
      <c r="M926" t="s">
        <v>759</v>
      </c>
    </row>
    <row r="927" spans="1:13">
      <c r="A927">
        <v>695</v>
      </c>
      <c r="B927">
        <v>6132</v>
      </c>
      <c r="C9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SKYWORTH-65 UB7500 10B</v>
      </c>
      <c r="D927" s="32">
        <v>46112</v>
      </c>
      <c r="E9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9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42</v>
      </c>
      <c r="G927">
        <v>1</v>
      </c>
      <c r="I927">
        <f>(salidas26[[#This Row],[CANT JUEGOS ]]*salidas26[[#This Row],[PRECIO JUEGO]])</f>
        <v>420</v>
      </c>
      <c r="J927">
        <f>(salidas26[[#This Row],[CANT BARRAS]]*salidas26[[#This Row],[PRECIO BARRA]])</f>
        <v>0</v>
      </c>
      <c r="K927">
        <v>294</v>
      </c>
      <c r="L927" t="s">
        <v>465</v>
      </c>
      <c r="M927" t="s">
        <v>471</v>
      </c>
    </row>
    <row r="928" spans="1:13">
      <c r="A928">
        <v>696</v>
      </c>
      <c r="B928">
        <v>2105</v>
      </c>
      <c r="C9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UN85AU8000G  4B EGDE</v>
      </c>
      <c r="D928" s="32">
        <v>46112</v>
      </c>
      <c r="E9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9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928">
        <v>1</v>
      </c>
      <c r="I928">
        <f>(salidas26[[#This Row],[CANT JUEGOS ]]*salidas26[[#This Row],[PRECIO JUEGO]])</f>
        <v>600</v>
      </c>
      <c r="J928">
        <f>(salidas26[[#This Row],[CANT BARRAS]]*salidas26[[#This Row],[PRECIO BARRA]])</f>
        <v>0</v>
      </c>
      <c r="K928">
        <v>480</v>
      </c>
      <c r="L928" t="s">
        <v>465</v>
      </c>
      <c r="M928" t="s">
        <v>497</v>
      </c>
    </row>
    <row r="929" spans="1:13">
      <c r="A929">
        <v>697</v>
      </c>
      <c r="B929">
        <v>8033</v>
      </c>
      <c r="C9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29" s="32">
        <v>46113</v>
      </c>
      <c r="E9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29">
        <v>1</v>
      </c>
      <c r="I929">
        <f>(salidas26[[#This Row],[CANT JUEGOS ]]*salidas26[[#This Row],[PRECIO JUEGO]])</f>
        <v>150</v>
      </c>
      <c r="J929">
        <f>(salidas26[[#This Row],[CANT BARRAS]]*salidas26[[#This Row],[PRECIO BARRA]])</f>
        <v>0</v>
      </c>
      <c r="K929">
        <v>150</v>
      </c>
      <c r="L929" t="s">
        <v>465</v>
      </c>
      <c r="M929" t="s">
        <v>792</v>
      </c>
    </row>
    <row r="930" spans="1:13">
      <c r="A930">
        <v>698</v>
      </c>
      <c r="B930">
        <v>1033</v>
      </c>
      <c r="C9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930" s="32">
        <v>46113</v>
      </c>
      <c r="E9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930">
        <v>2</v>
      </c>
      <c r="I930">
        <f>(salidas26[[#This Row],[CANT JUEGOS ]]*salidas26[[#This Row],[PRECIO JUEGO]])</f>
        <v>360</v>
      </c>
      <c r="J930">
        <f>(salidas26[[#This Row],[CANT BARRAS]]*salidas26[[#This Row],[PRECIO BARRA]])</f>
        <v>0</v>
      </c>
      <c r="K930">
        <v>396</v>
      </c>
      <c r="L930" t="s">
        <v>496</v>
      </c>
      <c r="M930" t="s">
        <v>509</v>
      </c>
    </row>
    <row r="931" spans="1:13">
      <c r="A931">
        <v>699</v>
      </c>
      <c r="B931">
        <v>8015</v>
      </c>
      <c r="C9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31" s="32">
        <v>46113</v>
      </c>
      <c r="E9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31">
        <v>1</v>
      </c>
      <c r="I931">
        <f>(salidas26[[#This Row],[CANT JUEGOS ]]*salidas26[[#This Row],[PRECIO JUEGO]])</f>
        <v>60</v>
      </c>
      <c r="J931">
        <f>(salidas26[[#This Row],[CANT BARRAS]]*salidas26[[#This Row],[PRECIO BARRA]])</f>
        <v>0</v>
      </c>
      <c r="K931">
        <v>40</v>
      </c>
      <c r="L931" t="s">
        <v>496</v>
      </c>
      <c r="M931" t="s">
        <v>480</v>
      </c>
    </row>
    <row r="932" spans="1:13">
      <c r="A932">
        <v>700</v>
      </c>
      <c r="B932">
        <v>6015</v>
      </c>
      <c r="C9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932" s="32">
        <v>46113</v>
      </c>
      <c r="E9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9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932">
        <v>1</v>
      </c>
      <c r="I932">
        <f>(salidas26[[#This Row],[CANT JUEGOS ]]*salidas26[[#This Row],[PRECIO JUEGO]])</f>
        <v>220</v>
      </c>
      <c r="J932">
        <f>(salidas26[[#This Row],[CANT BARRAS]]*salidas26[[#This Row],[PRECIO BARRA]])</f>
        <v>0</v>
      </c>
      <c r="K932">
        <v>120</v>
      </c>
      <c r="L932" t="s">
        <v>496</v>
      </c>
      <c r="M932" t="s">
        <v>480</v>
      </c>
    </row>
    <row r="933" spans="1:13">
      <c r="A933">
        <v>701</v>
      </c>
      <c r="B933">
        <v>1132</v>
      </c>
      <c r="C9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933" s="32">
        <v>46113</v>
      </c>
      <c r="E9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9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933">
        <v>1</v>
      </c>
      <c r="I933">
        <f>(salidas26[[#This Row],[CANT JUEGOS ]]*salidas26[[#This Row],[PRECIO JUEGO]])</f>
        <v>260</v>
      </c>
      <c r="J933">
        <f>(salidas26[[#This Row],[CANT BARRAS]]*salidas26[[#This Row],[PRECIO BARRA]])</f>
        <v>0</v>
      </c>
      <c r="K933">
        <v>260</v>
      </c>
      <c r="L933" t="s">
        <v>465</v>
      </c>
      <c r="M933" t="s">
        <v>793</v>
      </c>
    </row>
    <row r="934" spans="1:13">
      <c r="A934">
        <v>702</v>
      </c>
      <c r="B934">
        <v>5012</v>
      </c>
      <c r="C9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KDL-40R455 SONY/10B</v>
      </c>
      <c r="D934" s="32">
        <v>46113</v>
      </c>
      <c r="E9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9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934">
        <v>1</v>
      </c>
      <c r="I934">
        <f>(salidas26[[#This Row],[CANT JUEGOS ]]*salidas26[[#This Row],[PRECIO JUEGO]])</f>
        <v>200</v>
      </c>
      <c r="J934">
        <f>(salidas26[[#This Row],[CANT BARRAS]]*salidas26[[#This Row],[PRECIO BARRA]])</f>
        <v>0</v>
      </c>
      <c r="K934">
        <v>180</v>
      </c>
      <c r="L934" t="s">
        <v>465</v>
      </c>
      <c r="M934" t="s">
        <v>470</v>
      </c>
    </row>
    <row r="935" spans="1:13">
      <c r="A935">
        <v>703</v>
      </c>
      <c r="B935">
        <v>6008</v>
      </c>
      <c r="C9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SKYWORTH SUC9350 8L /3B</v>
      </c>
      <c r="D935" s="32">
        <v>46114</v>
      </c>
      <c r="E9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935">
        <v>1</v>
      </c>
      <c r="I935">
        <f>(salidas26[[#This Row],[CANT JUEGOS ]]*salidas26[[#This Row],[PRECIO JUEGO]])</f>
        <v>180</v>
      </c>
      <c r="J935">
        <f>(salidas26[[#This Row],[CANT BARRAS]]*salidas26[[#This Row],[PRECIO BARRA]])</f>
        <v>0</v>
      </c>
      <c r="K935">
        <v>180</v>
      </c>
      <c r="L935" t="s">
        <v>496</v>
      </c>
      <c r="M935" t="s">
        <v>469</v>
      </c>
    </row>
    <row r="936" spans="1:13">
      <c r="A936">
        <v>704</v>
      </c>
      <c r="B936">
        <v>8033</v>
      </c>
      <c r="C9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36" s="32">
        <v>46114</v>
      </c>
      <c r="E9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36">
        <v>1</v>
      </c>
      <c r="I936">
        <f>(salidas26[[#This Row],[CANT JUEGOS ]]*salidas26[[#This Row],[PRECIO JUEGO]])</f>
        <v>150</v>
      </c>
      <c r="J936">
        <f>(salidas26[[#This Row],[CANT BARRAS]]*salidas26[[#This Row],[PRECIO BARRA]])</f>
        <v>0</v>
      </c>
      <c r="K936">
        <v>140</v>
      </c>
      <c r="L936" t="s">
        <v>465</v>
      </c>
      <c r="M936" t="s">
        <v>523</v>
      </c>
    </row>
    <row r="937" spans="1:13">
      <c r="A937">
        <v>705</v>
      </c>
      <c r="B937">
        <v>7000</v>
      </c>
      <c r="C9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937" s="32">
        <v>46116</v>
      </c>
      <c r="E9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37">
        <v>2</v>
      </c>
      <c r="I937">
        <f>(salidas26[[#This Row],[CANT JUEGOS ]]*salidas26[[#This Row],[PRECIO JUEGO]])</f>
        <v>120</v>
      </c>
      <c r="J937">
        <f>(salidas26[[#This Row],[CANT BARRAS]]*salidas26[[#This Row],[PRECIO BARRA]])</f>
        <v>0</v>
      </c>
      <c r="K937">
        <v>96</v>
      </c>
      <c r="L937" t="s">
        <v>465</v>
      </c>
      <c r="M937" t="s">
        <v>497</v>
      </c>
    </row>
    <row r="938" spans="1:13">
      <c r="A938">
        <v>706</v>
      </c>
      <c r="B938">
        <v>1102</v>
      </c>
      <c r="C9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938" s="32">
        <v>46116</v>
      </c>
      <c r="E9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9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938">
        <v>1</v>
      </c>
      <c r="I938">
        <f>(salidas26[[#This Row],[CANT JUEGOS ]]*salidas26[[#This Row],[PRECIO JUEGO]])</f>
        <v>280</v>
      </c>
      <c r="J938">
        <f>(salidas26[[#This Row],[CANT BARRAS]]*salidas26[[#This Row],[PRECIO BARRA]])</f>
        <v>0</v>
      </c>
      <c r="K938">
        <v>224</v>
      </c>
      <c r="L938" t="s">
        <v>465</v>
      </c>
      <c r="M938" t="s">
        <v>497</v>
      </c>
    </row>
    <row r="939" spans="1:13">
      <c r="A939">
        <v>707</v>
      </c>
      <c r="B939">
        <v>1132</v>
      </c>
      <c r="C9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939" s="32">
        <v>46116</v>
      </c>
      <c r="E9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9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939">
        <v>1</v>
      </c>
      <c r="I939">
        <f>(salidas26[[#This Row],[CANT JUEGOS ]]*salidas26[[#This Row],[PRECIO JUEGO]])</f>
        <v>260</v>
      </c>
      <c r="J939">
        <f>(salidas26[[#This Row],[CANT BARRAS]]*salidas26[[#This Row],[PRECIO BARRA]])</f>
        <v>0</v>
      </c>
      <c r="K939">
        <v>208</v>
      </c>
      <c r="L939" t="s">
        <v>465</v>
      </c>
      <c r="M939" t="s">
        <v>497</v>
      </c>
    </row>
    <row r="940" spans="1:13">
      <c r="A940">
        <v>708</v>
      </c>
      <c r="B940">
        <v>8055</v>
      </c>
      <c r="C9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940" s="32">
        <v>46116</v>
      </c>
      <c r="E9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940">
        <v>1</v>
      </c>
      <c r="I940">
        <f>(salidas26[[#This Row],[CANT JUEGOS ]]*salidas26[[#This Row],[PRECIO JUEGO]])</f>
        <v>180</v>
      </c>
      <c r="J940">
        <f>(salidas26[[#This Row],[CANT BARRAS]]*salidas26[[#This Row],[PRECIO BARRA]])</f>
        <v>0</v>
      </c>
      <c r="K940">
        <v>170</v>
      </c>
      <c r="L940" t="s">
        <v>465</v>
      </c>
      <c r="M940" t="s">
        <v>482</v>
      </c>
    </row>
    <row r="941" spans="1:13">
      <c r="A941">
        <v>709</v>
      </c>
      <c r="B941">
        <v>7000</v>
      </c>
      <c r="C9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941" s="32">
        <v>46116</v>
      </c>
      <c r="E9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41">
        <v>1</v>
      </c>
      <c r="I941">
        <f>(salidas26[[#This Row],[CANT JUEGOS ]]*salidas26[[#This Row],[PRECIO JUEGO]])</f>
        <v>60</v>
      </c>
      <c r="J941">
        <f>(salidas26[[#This Row],[CANT BARRAS]]*salidas26[[#This Row],[PRECIO BARRA]])</f>
        <v>0</v>
      </c>
      <c r="K941">
        <v>60</v>
      </c>
      <c r="L941" t="s">
        <v>496</v>
      </c>
      <c r="M941" t="s">
        <v>481</v>
      </c>
    </row>
    <row r="942" spans="1:13">
      <c r="A942">
        <v>710</v>
      </c>
      <c r="B942">
        <v>8015</v>
      </c>
      <c r="C9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42" s="32">
        <v>46116</v>
      </c>
      <c r="E9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42">
        <v>2</v>
      </c>
      <c r="I942">
        <f>(salidas26[[#This Row],[CANT JUEGOS ]]*salidas26[[#This Row],[PRECIO JUEGO]])</f>
        <v>120</v>
      </c>
      <c r="J942">
        <f>(salidas26[[#This Row],[CANT BARRAS]]*salidas26[[#This Row],[PRECIO BARRA]])</f>
        <v>0</v>
      </c>
      <c r="K942">
        <v>100</v>
      </c>
      <c r="L942" t="s">
        <v>496</v>
      </c>
      <c r="M942" t="s">
        <v>474</v>
      </c>
    </row>
    <row r="943" spans="1:13">
      <c r="A943">
        <v>711</v>
      </c>
      <c r="B943">
        <v>8033</v>
      </c>
      <c r="C9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43" s="32">
        <v>46116</v>
      </c>
      <c r="E9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43">
        <v>2</v>
      </c>
      <c r="I943">
        <f>(salidas26[[#This Row],[CANT JUEGOS ]]*salidas26[[#This Row],[PRECIO JUEGO]])</f>
        <v>300</v>
      </c>
      <c r="J943">
        <f>(salidas26[[#This Row],[CANT BARRAS]]*salidas26[[#This Row],[PRECIO BARRA]])</f>
        <v>0</v>
      </c>
      <c r="K943">
        <v>260</v>
      </c>
      <c r="L943" t="s">
        <v>496</v>
      </c>
      <c r="M943" t="s">
        <v>474</v>
      </c>
    </row>
    <row r="944" spans="1:13">
      <c r="A944">
        <v>712</v>
      </c>
      <c r="B944">
        <v>1036</v>
      </c>
      <c r="C9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944" s="32">
        <v>46116</v>
      </c>
      <c r="E9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944">
        <v>1</v>
      </c>
      <c r="I944">
        <f>(salidas26[[#This Row],[CANT JUEGOS ]]*salidas26[[#This Row],[PRECIO JUEGO]])</f>
        <v>180</v>
      </c>
      <c r="J944">
        <f>(salidas26[[#This Row],[CANT BARRAS]]*salidas26[[#This Row],[PRECIO BARRA]])</f>
        <v>0</v>
      </c>
      <c r="K944">
        <v>180</v>
      </c>
      <c r="L944" t="s">
        <v>465</v>
      </c>
      <c r="M944" t="s">
        <v>481</v>
      </c>
    </row>
    <row r="945" spans="1:13">
      <c r="A945">
        <v>713</v>
      </c>
      <c r="B945">
        <v>1015</v>
      </c>
      <c r="C9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945" s="32">
        <v>46116</v>
      </c>
      <c r="E9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9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945">
        <v>1</v>
      </c>
      <c r="I945">
        <f>(salidas26[[#This Row],[CANT JUEGOS ]]*salidas26[[#This Row],[PRECIO JUEGO]])</f>
        <v>80</v>
      </c>
      <c r="J945">
        <f>(salidas26[[#This Row],[CANT BARRAS]]*salidas26[[#This Row],[PRECIO BARRA]])</f>
        <v>0</v>
      </c>
      <c r="K945">
        <v>80</v>
      </c>
      <c r="L945" t="s">
        <v>465</v>
      </c>
      <c r="M945" t="s">
        <v>795</v>
      </c>
    </row>
    <row r="946" spans="1:13">
      <c r="A946">
        <v>714</v>
      </c>
      <c r="B946">
        <v>7000</v>
      </c>
      <c r="C9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946" s="32">
        <v>46116</v>
      </c>
      <c r="E9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46">
        <v>1</v>
      </c>
      <c r="I946">
        <f>(salidas26[[#This Row],[CANT JUEGOS ]]*salidas26[[#This Row],[PRECIO JUEGO]])</f>
        <v>60</v>
      </c>
      <c r="J946">
        <f>(salidas26[[#This Row],[CANT BARRAS]]*salidas26[[#This Row],[PRECIO BARRA]])</f>
        <v>0</v>
      </c>
      <c r="K946">
        <v>60</v>
      </c>
      <c r="L946" t="s">
        <v>496</v>
      </c>
      <c r="M946" t="s">
        <v>796</v>
      </c>
    </row>
    <row r="947" spans="1:13">
      <c r="A947">
        <v>715</v>
      </c>
      <c r="B947">
        <v>4003</v>
      </c>
      <c r="C9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947" s="32">
        <v>46116</v>
      </c>
      <c r="E9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47">
        <v>1</v>
      </c>
      <c r="I947">
        <f>(salidas26[[#This Row],[CANT JUEGOS ]]*salidas26[[#This Row],[PRECIO JUEGO]])</f>
        <v>90</v>
      </c>
      <c r="J947">
        <f>(salidas26[[#This Row],[CANT BARRAS]]*salidas26[[#This Row],[PRECIO BARRA]])</f>
        <v>0</v>
      </c>
      <c r="K947">
        <v>80</v>
      </c>
      <c r="L947" t="s">
        <v>465</v>
      </c>
      <c r="M947" t="s">
        <v>471</v>
      </c>
    </row>
    <row r="948" spans="1:13">
      <c r="A948">
        <v>716</v>
      </c>
      <c r="B948">
        <v>1012</v>
      </c>
      <c r="C9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948" s="32">
        <v>46116</v>
      </c>
      <c r="E9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48">
        <v>1</v>
      </c>
      <c r="I948">
        <f>(salidas26[[#This Row],[CANT JUEGOS ]]*salidas26[[#This Row],[PRECIO JUEGO]])</f>
        <v>90</v>
      </c>
      <c r="J948">
        <f>(salidas26[[#This Row],[CANT BARRAS]]*salidas26[[#This Row],[PRECIO BARRA]])</f>
        <v>0</v>
      </c>
      <c r="K948">
        <v>90</v>
      </c>
      <c r="L948" t="s">
        <v>465</v>
      </c>
      <c r="M948" t="s">
        <v>474</v>
      </c>
    </row>
    <row r="949" spans="1:13">
      <c r="A949">
        <v>717</v>
      </c>
      <c r="B949">
        <v>2087</v>
      </c>
      <c r="C9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949" s="32">
        <v>46116</v>
      </c>
      <c r="E9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9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949">
        <v>1</v>
      </c>
      <c r="I949">
        <f>(salidas26[[#This Row],[CANT JUEGOS ]]*salidas26[[#This Row],[PRECIO JUEGO]])</f>
        <v>240</v>
      </c>
      <c r="J949">
        <f>(salidas26[[#This Row],[CANT BARRAS]]*salidas26[[#This Row],[PRECIO BARRA]])</f>
        <v>0</v>
      </c>
      <c r="K949">
        <v>200</v>
      </c>
      <c r="L949" t="s">
        <v>496</v>
      </c>
      <c r="M949" t="s">
        <v>794</v>
      </c>
    </row>
    <row r="950" spans="1:13">
      <c r="A950">
        <v>719</v>
      </c>
      <c r="B950">
        <v>1141</v>
      </c>
      <c r="C9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60LB6500/12B/6V</v>
      </c>
      <c r="D950" s="32">
        <v>46118</v>
      </c>
      <c r="E9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9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950">
        <v>1</v>
      </c>
      <c r="I950">
        <f>(salidas26[[#This Row],[CANT JUEGOS ]]*salidas26[[#This Row],[PRECIO JUEGO]])</f>
        <v>450</v>
      </c>
      <c r="J950">
        <f>(salidas26[[#This Row],[CANT BARRAS]]*salidas26[[#This Row],[PRECIO BARRA]])</f>
        <v>0</v>
      </c>
      <c r="K950">
        <v>400</v>
      </c>
      <c r="L950" t="s">
        <v>496</v>
      </c>
      <c r="M950" t="s">
        <v>480</v>
      </c>
    </row>
    <row r="951" spans="1:13">
      <c r="A951">
        <v>720</v>
      </c>
      <c r="B951">
        <v>8099</v>
      </c>
      <c r="C9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58KB858 4B/AIWA AW58B4K</v>
      </c>
      <c r="D951" s="32">
        <v>46118</v>
      </c>
      <c r="E9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9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87.5</v>
      </c>
      <c r="G951">
        <v>1</v>
      </c>
      <c r="I951">
        <f>(salidas26[[#This Row],[CANT JUEGOS ]]*salidas26[[#This Row],[PRECIO JUEGO]])</f>
        <v>350</v>
      </c>
      <c r="J951">
        <f>(salidas26[[#This Row],[CANT BARRAS]]*salidas26[[#This Row],[PRECIO BARRA]])</f>
        <v>0</v>
      </c>
      <c r="K951">
        <v>280</v>
      </c>
      <c r="L951" t="s">
        <v>465</v>
      </c>
      <c r="M951" t="s">
        <v>497</v>
      </c>
    </row>
    <row r="952" spans="1:13">
      <c r="A952">
        <v>721</v>
      </c>
      <c r="B952">
        <v>6022</v>
      </c>
      <c r="C9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952" s="32">
        <v>46118</v>
      </c>
      <c r="E9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9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952">
        <v>1</v>
      </c>
      <c r="I952">
        <f>(salidas26[[#This Row],[CANT JUEGOS ]]*salidas26[[#This Row],[PRECIO JUEGO]])</f>
        <v>350</v>
      </c>
      <c r="J952">
        <f>(salidas26[[#This Row],[CANT BARRAS]]*salidas26[[#This Row],[PRECIO BARRA]])</f>
        <v>0</v>
      </c>
      <c r="K952">
        <v>280</v>
      </c>
      <c r="L952" t="s">
        <v>465</v>
      </c>
      <c r="M952" t="s">
        <v>497</v>
      </c>
    </row>
    <row r="953" spans="1:13">
      <c r="A953">
        <v>722</v>
      </c>
      <c r="B953">
        <v>7004</v>
      </c>
      <c r="C9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953" s="32">
        <v>46118</v>
      </c>
      <c r="E9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53">
        <v>1</v>
      </c>
      <c r="I953">
        <f>(salidas26[[#This Row],[CANT JUEGOS ]]*salidas26[[#This Row],[PRECIO JUEGO]])</f>
        <v>150</v>
      </c>
      <c r="J953">
        <f>(salidas26[[#This Row],[CANT BARRAS]]*salidas26[[#This Row],[PRECIO BARRA]])</f>
        <v>0</v>
      </c>
      <c r="K953">
        <v>120</v>
      </c>
      <c r="L953" t="s">
        <v>465</v>
      </c>
      <c r="M953" t="s">
        <v>497</v>
      </c>
    </row>
    <row r="954" spans="1:13">
      <c r="A954">
        <v>723</v>
      </c>
      <c r="B954">
        <v>5039</v>
      </c>
      <c r="C9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KDL-65W855C 8L/3V/16B</v>
      </c>
      <c r="D954" s="32">
        <v>46118</v>
      </c>
      <c r="E9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9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28.125</v>
      </c>
      <c r="G954">
        <v>1</v>
      </c>
      <c r="I954">
        <f>(salidas26[[#This Row],[CANT JUEGOS ]]*salidas26[[#This Row],[PRECIO JUEGO]])</f>
        <v>450</v>
      </c>
      <c r="J954">
        <f>(salidas26[[#This Row],[CANT BARRAS]]*salidas26[[#This Row],[PRECIO BARRA]])</f>
        <v>0</v>
      </c>
      <c r="K954">
        <v>450</v>
      </c>
      <c r="L954" t="s">
        <v>496</v>
      </c>
      <c r="M954" t="s">
        <v>509</v>
      </c>
    </row>
    <row r="955" spans="1:13">
      <c r="A955">
        <v>724</v>
      </c>
      <c r="B955">
        <v>6027</v>
      </c>
      <c r="C9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955" s="32">
        <v>46118</v>
      </c>
      <c r="E9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9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955">
        <v>2</v>
      </c>
      <c r="I955">
        <f>(salidas26[[#This Row],[CANT JUEGOS ]]*salidas26[[#This Row],[PRECIO JUEGO]])</f>
        <v>0</v>
      </c>
      <c r="J955">
        <f>(salidas26[[#This Row],[CANT BARRAS]]*salidas26[[#This Row],[PRECIO BARRA]])</f>
        <v>56</v>
      </c>
      <c r="K955">
        <v>35</v>
      </c>
      <c r="L955" t="s">
        <v>465</v>
      </c>
      <c r="M955" t="s">
        <v>471</v>
      </c>
    </row>
    <row r="956" spans="1:13">
      <c r="A956">
        <v>725</v>
      </c>
      <c r="B956">
        <v>1012</v>
      </c>
      <c r="C9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956" s="32">
        <v>46118</v>
      </c>
      <c r="E9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56">
        <v>1</v>
      </c>
      <c r="I956">
        <f>(salidas26[[#This Row],[CANT JUEGOS ]]*salidas26[[#This Row],[PRECIO JUEGO]])</f>
        <v>90</v>
      </c>
      <c r="J956">
        <f>(salidas26[[#This Row],[CANT BARRAS]]*salidas26[[#This Row],[PRECIO BARRA]])</f>
        <v>0</v>
      </c>
      <c r="K956">
        <v>90</v>
      </c>
      <c r="L956" t="s">
        <v>496</v>
      </c>
      <c r="M956" t="s">
        <v>711</v>
      </c>
    </row>
    <row r="957" spans="1:13">
      <c r="A957">
        <v>726</v>
      </c>
      <c r="B957">
        <v>4003</v>
      </c>
      <c r="C9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957" s="32">
        <v>46118</v>
      </c>
      <c r="E9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57">
        <v>1</v>
      </c>
      <c r="I957">
        <f>(salidas26[[#This Row],[CANT JUEGOS ]]*salidas26[[#This Row],[PRECIO JUEGO]])</f>
        <v>90</v>
      </c>
      <c r="J957">
        <f>(salidas26[[#This Row],[CANT BARRAS]]*salidas26[[#This Row],[PRECIO BARRA]])</f>
        <v>0</v>
      </c>
      <c r="K957">
        <v>80</v>
      </c>
      <c r="L957" t="s">
        <v>465</v>
      </c>
      <c r="M957" t="s">
        <v>797</v>
      </c>
    </row>
    <row r="958" spans="1:13">
      <c r="A958">
        <v>727</v>
      </c>
      <c r="B958">
        <v>8081</v>
      </c>
      <c r="C9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55CHINO12L/3B-MG4S55X-TC-55GX500P PANASONIC 4B</v>
      </c>
      <c r="D958" s="32">
        <v>46118</v>
      </c>
      <c r="E9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9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958">
        <v>1</v>
      </c>
      <c r="I958">
        <f>(salidas26[[#This Row],[CANT JUEGOS ]]*salidas26[[#This Row],[PRECIO JUEGO]])</f>
        <v>300</v>
      </c>
      <c r="J958">
        <f>(salidas26[[#This Row],[CANT BARRAS]]*salidas26[[#This Row],[PRECIO BARRA]])</f>
        <v>0</v>
      </c>
      <c r="K958">
        <v>250</v>
      </c>
      <c r="L958" t="s">
        <v>465</v>
      </c>
      <c r="M958" t="s">
        <v>471</v>
      </c>
    </row>
    <row r="959" spans="1:13">
      <c r="A959">
        <v>728</v>
      </c>
      <c r="B959">
        <v>8015</v>
      </c>
      <c r="C9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59" s="32">
        <v>46118</v>
      </c>
      <c r="E9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59">
        <v>1</v>
      </c>
      <c r="I959">
        <f>(salidas26[[#This Row],[CANT JUEGOS ]]*salidas26[[#This Row],[PRECIO JUEGO]])</f>
        <v>60</v>
      </c>
      <c r="J959">
        <f>(salidas26[[#This Row],[CANT BARRAS]]*salidas26[[#This Row],[PRECIO BARRA]])</f>
        <v>0</v>
      </c>
      <c r="K959">
        <v>50</v>
      </c>
      <c r="L959" t="s">
        <v>465</v>
      </c>
      <c r="M959" t="s">
        <v>523</v>
      </c>
    </row>
    <row r="960" spans="1:13">
      <c r="A960">
        <v>729</v>
      </c>
      <c r="B960">
        <v>5006</v>
      </c>
      <c r="C9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960" s="32">
        <v>46118</v>
      </c>
      <c r="E9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60">
        <v>1</v>
      </c>
      <c r="I960">
        <f>(salidas26[[#This Row],[CANT JUEGOS ]]*salidas26[[#This Row],[PRECIO JUEGO]])</f>
        <v>90</v>
      </c>
      <c r="J960">
        <f>(salidas26[[#This Row],[CANT BARRAS]]*salidas26[[#This Row],[PRECIO BARRA]])</f>
        <v>0</v>
      </c>
      <c r="K960">
        <v>90</v>
      </c>
      <c r="L960" t="s">
        <v>465</v>
      </c>
      <c r="M960" t="s">
        <v>677</v>
      </c>
    </row>
    <row r="961" spans="1:13">
      <c r="A961">
        <v>730</v>
      </c>
      <c r="B961">
        <v>6022</v>
      </c>
      <c r="C9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961" s="32">
        <v>46118</v>
      </c>
      <c r="E9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9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961">
        <v>1</v>
      </c>
      <c r="I961">
        <f>(salidas26[[#This Row],[CANT JUEGOS ]]*salidas26[[#This Row],[PRECIO JUEGO]])</f>
        <v>350</v>
      </c>
      <c r="J961">
        <f>(salidas26[[#This Row],[CANT BARRAS]]*salidas26[[#This Row],[PRECIO BARRA]])</f>
        <v>0</v>
      </c>
      <c r="K961">
        <v>300</v>
      </c>
      <c r="L961" t="s">
        <v>465</v>
      </c>
      <c r="M961" t="s">
        <v>466</v>
      </c>
    </row>
    <row r="962" spans="1:13">
      <c r="A962">
        <v>731</v>
      </c>
      <c r="B962">
        <v>8067</v>
      </c>
      <c r="C9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962" s="32">
        <v>46118</v>
      </c>
      <c r="E9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9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962">
        <v>1</v>
      </c>
      <c r="I962">
        <f>(salidas26[[#This Row],[CANT JUEGOS ]]*salidas26[[#This Row],[PRECIO JUEGO]])</f>
        <v>220</v>
      </c>
      <c r="J962">
        <f>(salidas26[[#This Row],[CANT BARRAS]]*salidas26[[#This Row],[PRECIO BARRA]])</f>
        <v>0</v>
      </c>
      <c r="K962">
        <v>200</v>
      </c>
      <c r="L962" t="s">
        <v>465</v>
      </c>
      <c r="M962" t="s">
        <v>471</v>
      </c>
    </row>
    <row r="963" spans="1:13">
      <c r="A963">
        <v>732</v>
      </c>
      <c r="B963">
        <v>8015</v>
      </c>
      <c r="C9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63" s="32">
        <v>46119</v>
      </c>
      <c r="E9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63">
        <v>1</v>
      </c>
      <c r="I963">
        <f>(salidas26[[#This Row],[CANT JUEGOS ]]*salidas26[[#This Row],[PRECIO JUEGO]])</f>
        <v>60</v>
      </c>
      <c r="J963">
        <f>(salidas26[[#This Row],[CANT BARRAS]]*salidas26[[#This Row],[PRECIO BARRA]])</f>
        <v>0</v>
      </c>
      <c r="K963">
        <v>60</v>
      </c>
      <c r="L963" t="s">
        <v>465</v>
      </c>
      <c r="M963" t="s">
        <v>482</v>
      </c>
    </row>
    <row r="964" spans="1:13">
      <c r="A964">
        <v>733</v>
      </c>
      <c r="B964">
        <v>8130</v>
      </c>
      <c r="C9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964" s="32">
        <v>46118</v>
      </c>
      <c r="E9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9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964">
        <v>8</v>
      </c>
      <c r="I964">
        <f>(salidas26[[#This Row],[CANT JUEGOS ]]*salidas26[[#This Row],[PRECIO JUEGO]])</f>
        <v>0</v>
      </c>
      <c r="J964">
        <f>(salidas26[[#This Row],[CANT BARRAS]]*salidas26[[#This Row],[PRECIO BARRA]])</f>
        <v>28</v>
      </c>
      <c r="K964">
        <v>28</v>
      </c>
      <c r="L964" t="s">
        <v>496</v>
      </c>
      <c r="M964" t="s">
        <v>706</v>
      </c>
    </row>
    <row r="965" spans="1:13">
      <c r="A965">
        <v>734</v>
      </c>
      <c r="B965">
        <v>8033</v>
      </c>
      <c r="C9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65" s="32">
        <v>46119</v>
      </c>
      <c r="E9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65">
        <v>3</v>
      </c>
      <c r="I965">
        <f>(salidas26[[#This Row],[CANT JUEGOS ]]*salidas26[[#This Row],[PRECIO JUEGO]])</f>
        <v>450</v>
      </c>
      <c r="J965">
        <f>(salidas26[[#This Row],[CANT BARRAS]]*salidas26[[#This Row],[PRECIO BARRA]])</f>
        <v>0</v>
      </c>
      <c r="K965">
        <v>360</v>
      </c>
      <c r="L965" t="s">
        <v>465</v>
      </c>
      <c r="M965" t="s">
        <v>797</v>
      </c>
    </row>
    <row r="966" spans="1:13">
      <c r="A966">
        <v>735</v>
      </c>
      <c r="B966">
        <v>8123</v>
      </c>
      <c r="C9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966" s="32">
        <v>46119</v>
      </c>
      <c r="E9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9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966">
        <v>22</v>
      </c>
      <c r="I966">
        <f>(salidas26[[#This Row],[CANT JUEGOS ]]*salidas26[[#This Row],[PRECIO JUEGO]])</f>
        <v>0</v>
      </c>
      <c r="J966">
        <f>(salidas26[[#This Row],[CANT BARRAS]]*salidas26[[#This Row],[PRECIO BARRA]])</f>
        <v>77</v>
      </c>
      <c r="K966">
        <v>75</v>
      </c>
      <c r="L966" t="s">
        <v>465</v>
      </c>
      <c r="M966" t="s">
        <v>523</v>
      </c>
    </row>
    <row r="967" spans="1:13">
      <c r="A967">
        <v>736</v>
      </c>
      <c r="B967">
        <v>2093</v>
      </c>
      <c r="C9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UN60FH6003/12B</v>
      </c>
      <c r="D967" s="32">
        <v>46119</v>
      </c>
      <c r="E9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9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967">
        <v>1</v>
      </c>
      <c r="I967">
        <f>(salidas26[[#This Row],[CANT JUEGOS ]]*salidas26[[#This Row],[PRECIO JUEGO]])</f>
        <v>400</v>
      </c>
      <c r="J967">
        <f>(salidas26[[#This Row],[CANT BARRAS]]*salidas26[[#This Row],[PRECIO BARRA]])</f>
        <v>0</v>
      </c>
      <c r="K967">
        <v>400</v>
      </c>
      <c r="L967" t="s">
        <v>496</v>
      </c>
      <c r="M967" t="s">
        <v>469</v>
      </c>
    </row>
    <row r="968" spans="1:13">
      <c r="A968">
        <v>737</v>
      </c>
      <c r="B968">
        <v>8130</v>
      </c>
      <c r="C9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968" s="32">
        <v>46119</v>
      </c>
      <c r="E9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9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968">
        <v>20</v>
      </c>
      <c r="I968">
        <f>(salidas26[[#This Row],[CANT JUEGOS ]]*salidas26[[#This Row],[PRECIO JUEGO]])</f>
        <v>0</v>
      </c>
      <c r="J968">
        <f>(salidas26[[#This Row],[CANT BARRAS]]*salidas26[[#This Row],[PRECIO BARRA]])</f>
        <v>70</v>
      </c>
      <c r="K968">
        <v>70</v>
      </c>
      <c r="L968" t="s">
        <v>465</v>
      </c>
      <c r="M968" t="s">
        <v>483</v>
      </c>
    </row>
    <row r="969" spans="1:13">
      <c r="A969">
        <v>738</v>
      </c>
      <c r="B969">
        <v>6006</v>
      </c>
      <c r="C9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969" s="32">
        <v>46119</v>
      </c>
      <c r="E9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9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969">
        <v>1</v>
      </c>
      <c r="I969">
        <f>(salidas26[[#This Row],[CANT JUEGOS ]]*salidas26[[#This Row],[PRECIO JUEGO]])</f>
        <v>140</v>
      </c>
      <c r="J969">
        <f>(salidas26[[#This Row],[CANT BARRAS]]*salidas26[[#This Row],[PRECIO BARRA]])</f>
        <v>0</v>
      </c>
      <c r="K969">
        <v>140</v>
      </c>
      <c r="L969" t="s">
        <v>465</v>
      </c>
      <c r="M969" t="s">
        <v>470</v>
      </c>
    </row>
    <row r="970" spans="1:13">
      <c r="A970">
        <v>739</v>
      </c>
      <c r="B970">
        <v>8015</v>
      </c>
      <c r="C9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70" s="32">
        <v>46119</v>
      </c>
      <c r="E9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70">
        <v>1</v>
      </c>
      <c r="I970">
        <f>(salidas26[[#This Row],[CANT JUEGOS ]]*salidas26[[#This Row],[PRECIO JUEGO]])</f>
        <v>60</v>
      </c>
      <c r="J970">
        <f>(salidas26[[#This Row],[CANT BARRAS]]*salidas26[[#This Row],[PRECIO BARRA]])</f>
        <v>0</v>
      </c>
      <c r="K970">
        <v>60</v>
      </c>
      <c r="L970" t="s">
        <v>465</v>
      </c>
      <c r="M970" t="s">
        <v>470</v>
      </c>
    </row>
    <row r="971" spans="1:13">
      <c r="A971">
        <v>740</v>
      </c>
      <c r="B971">
        <v>2024</v>
      </c>
      <c r="C9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971" s="32">
        <v>46119</v>
      </c>
      <c r="E9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971">
        <v>1</v>
      </c>
      <c r="I971">
        <f>(salidas26[[#This Row],[CANT JUEGOS ]]*salidas26[[#This Row],[PRECIO JUEGO]])</f>
        <v>180</v>
      </c>
      <c r="J971">
        <f>(salidas26[[#This Row],[CANT BARRAS]]*salidas26[[#This Row],[PRECIO BARRA]])</f>
        <v>0</v>
      </c>
      <c r="K971">
        <v>180</v>
      </c>
      <c r="L971" t="s">
        <v>465</v>
      </c>
      <c r="M971" t="s">
        <v>481</v>
      </c>
    </row>
    <row r="972" spans="1:13">
      <c r="A972">
        <v>742</v>
      </c>
      <c r="B972">
        <v>8098</v>
      </c>
      <c r="C9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972" s="32">
        <v>46119</v>
      </c>
      <c r="E9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9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972">
        <v>1</v>
      </c>
      <c r="I972">
        <f>(salidas26[[#This Row],[CANT JUEGOS ]]*salidas26[[#This Row],[PRECIO JUEGO]])</f>
        <v>420</v>
      </c>
      <c r="J972">
        <f>(salidas26[[#This Row],[CANT BARRAS]]*salidas26[[#This Row],[PRECIO BARRA]])</f>
        <v>0</v>
      </c>
      <c r="K972">
        <v>300</v>
      </c>
      <c r="L972" t="s">
        <v>465</v>
      </c>
      <c r="M972" t="s">
        <v>471</v>
      </c>
    </row>
    <row r="973" spans="1:13">
      <c r="A973">
        <v>743</v>
      </c>
      <c r="B973">
        <v>4010</v>
      </c>
      <c r="C9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973" s="32">
        <v>46119</v>
      </c>
      <c r="E9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9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H973">
        <v>1</v>
      </c>
      <c r="I973">
        <f>(salidas26[[#This Row],[CANT JUEGOS ]]*salidas26[[#This Row],[PRECIO JUEGO]])</f>
        <v>0</v>
      </c>
      <c r="J973">
        <f>(salidas26[[#This Row],[CANT BARRAS]]*salidas26[[#This Row],[PRECIO BARRA]])</f>
        <v>53.333333333333336</v>
      </c>
      <c r="M973" t="s">
        <v>798</v>
      </c>
    </row>
    <row r="974" spans="1:13">
      <c r="A974">
        <v>744</v>
      </c>
      <c r="B974">
        <v>8015</v>
      </c>
      <c r="C9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74" s="32">
        <v>46120</v>
      </c>
      <c r="E9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74">
        <v>1</v>
      </c>
      <c r="I974">
        <f>(salidas26[[#This Row],[CANT JUEGOS ]]*salidas26[[#This Row],[PRECIO JUEGO]])</f>
        <v>60</v>
      </c>
      <c r="J974">
        <f>(salidas26[[#This Row],[CANT BARRAS]]*salidas26[[#This Row],[PRECIO BARRA]])</f>
        <v>0</v>
      </c>
      <c r="K974">
        <v>60</v>
      </c>
      <c r="L974" t="s">
        <v>465</v>
      </c>
      <c r="M974" t="s">
        <v>677</v>
      </c>
    </row>
    <row r="975" spans="1:13">
      <c r="A975">
        <v>745</v>
      </c>
      <c r="B975">
        <v>2108</v>
      </c>
      <c r="C9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TU8500</v>
      </c>
      <c r="D975" s="32">
        <v>46120</v>
      </c>
      <c r="E9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97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975">
        <v>1</v>
      </c>
      <c r="I975">
        <f>(salidas26[[#This Row],[CANT JUEGOS ]]*salidas26[[#This Row],[PRECIO JUEGO]])</f>
        <v>320</v>
      </c>
      <c r="J975" t="e">
        <f>(salidas26[[#This Row],[CANT BARRAS]]*salidas26[[#This Row],[PRECIO BARRA]])</f>
        <v>#VALUE!</v>
      </c>
      <c r="K975">
        <v>320</v>
      </c>
      <c r="L975" t="s">
        <v>496</v>
      </c>
      <c r="M975" t="s">
        <v>473</v>
      </c>
    </row>
    <row r="976" spans="1:13">
      <c r="A976">
        <v>746</v>
      </c>
      <c r="B976">
        <v>2021</v>
      </c>
      <c r="C9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976" s="32">
        <v>46120</v>
      </c>
      <c r="E9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9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976">
        <v>1</v>
      </c>
      <c r="I976">
        <f>(salidas26[[#This Row],[CANT JUEGOS ]]*salidas26[[#This Row],[PRECIO JUEGO]])</f>
        <v>260</v>
      </c>
      <c r="J976">
        <f>(salidas26[[#This Row],[CANT BARRAS]]*salidas26[[#This Row],[PRECIO BARRA]])</f>
        <v>0</v>
      </c>
      <c r="K976">
        <v>220</v>
      </c>
      <c r="L976" t="s">
        <v>496</v>
      </c>
      <c r="M976" t="s">
        <v>480</v>
      </c>
    </row>
    <row r="977" spans="1:13">
      <c r="A977">
        <v>747</v>
      </c>
      <c r="B977">
        <v>2105</v>
      </c>
      <c r="C9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UN85AU8000G  4B EGDE</v>
      </c>
      <c r="D977" s="32">
        <v>46120</v>
      </c>
      <c r="E9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9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977">
        <v>1</v>
      </c>
      <c r="I977">
        <f>(salidas26[[#This Row],[CANT JUEGOS ]]*salidas26[[#This Row],[PRECIO JUEGO]])</f>
        <v>600</v>
      </c>
      <c r="J977">
        <f>(salidas26[[#This Row],[CANT BARRAS]]*salidas26[[#This Row],[PRECIO BARRA]])</f>
        <v>0</v>
      </c>
      <c r="K977">
        <v>600</v>
      </c>
      <c r="L977" t="s">
        <v>496</v>
      </c>
      <c r="M977" t="s">
        <v>466</v>
      </c>
    </row>
    <row r="978" spans="1:13">
      <c r="A978">
        <v>748</v>
      </c>
      <c r="B978">
        <v>8021</v>
      </c>
      <c r="C9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978" s="32">
        <v>46120</v>
      </c>
      <c r="E9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78">
        <v>1</v>
      </c>
      <c r="I978">
        <f>(salidas26[[#This Row],[CANT JUEGOS ]]*salidas26[[#This Row],[PRECIO JUEGO]])</f>
        <v>60</v>
      </c>
      <c r="J978">
        <f>(salidas26[[#This Row],[CANT BARRAS]]*salidas26[[#This Row],[PRECIO BARRA]])</f>
        <v>0</v>
      </c>
      <c r="K978">
        <v>60</v>
      </c>
      <c r="L978" t="s">
        <v>465</v>
      </c>
      <c r="M978" t="s">
        <v>730</v>
      </c>
    </row>
    <row r="979" spans="1:13">
      <c r="A979">
        <v>749</v>
      </c>
      <c r="B979">
        <v>3003</v>
      </c>
      <c r="C9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979" s="32">
        <v>46120</v>
      </c>
      <c r="E9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9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979">
        <v>1</v>
      </c>
      <c r="I979">
        <f>(salidas26[[#This Row],[CANT JUEGOS ]]*salidas26[[#This Row],[PRECIO JUEGO]])</f>
        <v>160</v>
      </c>
      <c r="J979">
        <f>(salidas26[[#This Row],[CANT BARRAS]]*salidas26[[#This Row],[PRECIO BARRA]])</f>
        <v>0</v>
      </c>
      <c r="K979">
        <v>160</v>
      </c>
      <c r="L979" t="s">
        <v>496</v>
      </c>
      <c r="M979" t="s">
        <v>542</v>
      </c>
    </row>
    <row r="980" spans="1:13">
      <c r="A980">
        <v>750</v>
      </c>
      <c r="B980">
        <v>1078</v>
      </c>
      <c r="C9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980" s="32">
        <v>46120</v>
      </c>
      <c r="E9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9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980">
        <v>1</v>
      </c>
      <c r="I980">
        <f>(salidas26[[#This Row],[CANT JUEGOS ]]*salidas26[[#This Row],[PRECIO JUEGO]])</f>
        <v>280</v>
      </c>
      <c r="J980">
        <f>(salidas26[[#This Row],[CANT BARRAS]]*salidas26[[#This Row],[PRECIO BARRA]])</f>
        <v>0</v>
      </c>
      <c r="K980">
        <v>270</v>
      </c>
      <c r="L980" t="s">
        <v>465</v>
      </c>
      <c r="M980" t="s">
        <v>481</v>
      </c>
    </row>
    <row r="981" spans="1:13">
      <c r="A981">
        <v>751</v>
      </c>
      <c r="B981">
        <v>7000</v>
      </c>
      <c r="C9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981" s="32">
        <v>46120</v>
      </c>
      <c r="E9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81">
        <v>1</v>
      </c>
      <c r="I981">
        <f>(salidas26[[#This Row],[CANT JUEGOS ]]*salidas26[[#This Row],[PRECIO JUEGO]])</f>
        <v>60</v>
      </c>
      <c r="J981">
        <f>(salidas26[[#This Row],[CANT BARRAS]]*salidas26[[#This Row],[PRECIO BARRA]])</f>
        <v>0</v>
      </c>
      <c r="K981">
        <v>50</v>
      </c>
      <c r="L981" t="s">
        <v>496</v>
      </c>
      <c r="M981" t="s">
        <v>468</v>
      </c>
    </row>
    <row r="982" spans="1:13">
      <c r="A982">
        <v>752</v>
      </c>
      <c r="B982">
        <v>7004</v>
      </c>
      <c r="C9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982" s="32">
        <v>46120</v>
      </c>
      <c r="E9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82">
        <v>1</v>
      </c>
      <c r="I982">
        <f>(salidas26[[#This Row],[CANT JUEGOS ]]*salidas26[[#This Row],[PRECIO JUEGO]])</f>
        <v>150</v>
      </c>
      <c r="J982">
        <f>(salidas26[[#This Row],[CANT BARRAS]]*salidas26[[#This Row],[PRECIO BARRA]])</f>
        <v>0</v>
      </c>
      <c r="K982">
        <v>150</v>
      </c>
      <c r="L982" t="s">
        <v>496</v>
      </c>
      <c r="M982" t="s">
        <v>468</v>
      </c>
    </row>
    <row r="983" spans="1:13">
      <c r="A983">
        <v>753</v>
      </c>
      <c r="B983">
        <v>4000</v>
      </c>
      <c r="C9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983" s="32">
        <v>46120</v>
      </c>
      <c r="E9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83">
        <v>1</v>
      </c>
      <c r="I983">
        <f>(salidas26[[#This Row],[CANT JUEGOS ]]*salidas26[[#This Row],[PRECIO JUEGO]])</f>
        <v>60</v>
      </c>
      <c r="J983">
        <f>(salidas26[[#This Row],[CANT BARRAS]]*salidas26[[#This Row],[PRECIO BARRA]])</f>
        <v>0</v>
      </c>
      <c r="K983">
        <v>60</v>
      </c>
      <c r="L983" t="s">
        <v>465</v>
      </c>
      <c r="M983" t="s">
        <v>731</v>
      </c>
    </row>
    <row r="984" spans="1:13">
      <c r="A984">
        <v>755</v>
      </c>
      <c r="B984">
        <v>4000</v>
      </c>
      <c r="C9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984" s="32">
        <v>46120</v>
      </c>
      <c r="E9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84">
        <v>1</v>
      </c>
      <c r="I984">
        <f>(salidas26[[#This Row],[CANT JUEGOS ]]*salidas26[[#This Row],[PRECIO JUEGO]])</f>
        <v>60</v>
      </c>
      <c r="J984">
        <f>(salidas26[[#This Row],[CANT BARRAS]]*salidas26[[#This Row],[PRECIO BARRA]])</f>
        <v>0</v>
      </c>
      <c r="K984">
        <v>60</v>
      </c>
      <c r="L984" t="s">
        <v>496</v>
      </c>
      <c r="M984" t="s">
        <v>481</v>
      </c>
    </row>
    <row r="985" spans="1:13">
      <c r="A985">
        <v>756</v>
      </c>
      <c r="B985">
        <v>2000</v>
      </c>
      <c r="C9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985" s="32">
        <v>46121</v>
      </c>
      <c r="E9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9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985">
        <v>1</v>
      </c>
      <c r="I985">
        <f>(salidas26[[#This Row],[CANT JUEGOS ]]*salidas26[[#This Row],[PRECIO JUEGO]])</f>
        <v>80</v>
      </c>
      <c r="J985">
        <f>(salidas26[[#This Row],[CANT BARRAS]]*salidas26[[#This Row],[PRECIO BARRA]])</f>
        <v>0</v>
      </c>
      <c r="K985">
        <v>70</v>
      </c>
      <c r="L985" t="s">
        <v>496</v>
      </c>
      <c r="M985" t="s">
        <v>466</v>
      </c>
    </row>
    <row r="986" spans="1:13">
      <c r="A986">
        <v>757</v>
      </c>
      <c r="B986">
        <v>8015</v>
      </c>
      <c r="C9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986" s="32">
        <v>46121</v>
      </c>
      <c r="E9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9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86">
        <v>1</v>
      </c>
      <c r="I986">
        <f>(salidas26[[#This Row],[CANT JUEGOS ]]*salidas26[[#This Row],[PRECIO JUEGO]])</f>
        <v>60</v>
      </c>
      <c r="J986">
        <f>(salidas26[[#This Row],[CANT BARRAS]]*salidas26[[#This Row],[PRECIO BARRA]])</f>
        <v>0</v>
      </c>
      <c r="K986">
        <v>50</v>
      </c>
      <c r="L986" t="s">
        <v>496</v>
      </c>
      <c r="M986" t="s">
        <v>466</v>
      </c>
    </row>
    <row r="987" spans="1:13">
      <c r="A987">
        <v>758</v>
      </c>
      <c r="B987">
        <v>1036</v>
      </c>
      <c r="C9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987" s="32">
        <v>46121</v>
      </c>
      <c r="E9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987">
        <v>1</v>
      </c>
      <c r="I987">
        <f>(salidas26[[#This Row],[CANT JUEGOS ]]*salidas26[[#This Row],[PRECIO JUEGO]])</f>
        <v>180</v>
      </c>
      <c r="J987">
        <f>(salidas26[[#This Row],[CANT BARRAS]]*salidas26[[#This Row],[PRECIO BARRA]])</f>
        <v>0</v>
      </c>
      <c r="K987">
        <v>180</v>
      </c>
      <c r="L987" t="s">
        <v>496</v>
      </c>
      <c r="M987" t="s">
        <v>466</v>
      </c>
    </row>
    <row r="988" spans="1:13">
      <c r="A988">
        <v>759</v>
      </c>
      <c r="B988">
        <v>8095</v>
      </c>
      <c r="C9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988" s="32">
        <v>46121</v>
      </c>
      <c r="E9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9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88">
        <v>1</v>
      </c>
      <c r="I988">
        <f>(salidas26[[#This Row],[CANT JUEGOS ]]*salidas26[[#This Row],[PRECIO JUEGO]])</f>
        <v>300</v>
      </c>
      <c r="J988">
        <f>(salidas26[[#This Row],[CANT BARRAS]]*salidas26[[#This Row],[PRECIO BARRA]])</f>
        <v>0</v>
      </c>
      <c r="K988">
        <v>240</v>
      </c>
      <c r="M988" t="s">
        <v>497</v>
      </c>
    </row>
    <row r="989" spans="1:13">
      <c r="A989">
        <v>760</v>
      </c>
      <c r="B989">
        <v>8033</v>
      </c>
      <c r="C9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989" s="32">
        <v>46121</v>
      </c>
      <c r="E9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9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989">
        <v>1</v>
      </c>
      <c r="I989">
        <f>(salidas26[[#This Row],[CANT JUEGOS ]]*salidas26[[#This Row],[PRECIO JUEGO]])</f>
        <v>150</v>
      </c>
      <c r="J989">
        <f>(salidas26[[#This Row],[CANT BARRAS]]*salidas26[[#This Row],[PRECIO BARRA]])</f>
        <v>0</v>
      </c>
      <c r="K989">
        <v>120</v>
      </c>
      <c r="M989" t="s">
        <v>497</v>
      </c>
    </row>
    <row r="990" spans="1:13">
      <c r="A990">
        <v>761</v>
      </c>
      <c r="B990">
        <v>1036</v>
      </c>
      <c r="C9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990" s="32">
        <v>46121</v>
      </c>
      <c r="E9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990">
        <v>1</v>
      </c>
      <c r="I990">
        <f>(salidas26[[#This Row],[CANT JUEGOS ]]*salidas26[[#This Row],[PRECIO JUEGO]])</f>
        <v>180</v>
      </c>
      <c r="J990">
        <f>(salidas26[[#This Row],[CANT BARRAS]]*salidas26[[#This Row],[PRECIO BARRA]])</f>
        <v>0</v>
      </c>
      <c r="K990">
        <v>144</v>
      </c>
      <c r="M990" t="s">
        <v>497</v>
      </c>
    </row>
    <row r="991" spans="1:13">
      <c r="A991">
        <v>762</v>
      </c>
      <c r="B991">
        <v>1015</v>
      </c>
      <c r="C9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991" s="32">
        <v>46121</v>
      </c>
      <c r="E9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9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991">
        <v>1</v>
      </c>
      <c r="I991">
        <f>(salidas26[[#This Row],[CANT JUEGOS ]]*salidas26[[#This Row],[PRECIO JUEGO]])</f>
        <v>80</v>
      </c>
      <c r="J991">
        <f>(salidas26[[#This Row],[CANT BARRAS]]*salidas26[[#This Row],[PRECIO BARRA]])</f>
        <v>0</v>
      </c>
      <c r="K991">
        <v>64</v>
      </c>
      <c r="M991" t="s">
        <v>497</v>
      </c>
    </row>
    <row r="992" spans="1:13">
      <c r="A992">
        <v>763</v>
      </c>
      <c r="B992">
        <v>5006</v>
      </c>
      <c r="C9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992" s="32">
        <v>46121</v>
      </c>
      <c r="E9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9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992">
        <v>1</v>
      </c>
      <c r="I992">
        <f>(salidas26[[#This Row],[CANT JUEGOS ]]*salidas26[[#This Row],[PRECIO JUEGO]])</f>
        <v>90</v>
      </c>
      <c r="J992">
        <f>(salidas26[[#This Row],[CANT BARRAS]]*salidas26[[#This Row],[PRECIO BARRA]])</f>
        <v>0</v>
      </c>
      <c r="K992">
        <v>72</v>
      </c>
      <c r="M992" t="s">
        <v>497</v>
      </c>
    </row>
    <row r="993" spans="1:13">
      <c r="A993">
        <v>764</v>
      </c>
      <c r="B993">
        <v>4015</v>
      </c>
      <c r="C9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49-DAeWO/ 9B EL JUEGO 1 PIN</v>
      </c>
      <c r="D993" s="32">
        <v>46121</v>
      </c>
      <c r="E9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9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993">
        <v>1</v>
      </c>
      <c r="I993">
        <f>(salidas26[[#This Row],[CANT JUEGOS ]]*salidas26[[#This Row],[PRECIO JUEGO]])</f>
        <v>200</v>
      </c>
      <c r="J993">
        <f>(salidas26[[#This Row],[CANT BARRAS]]*salidas26[[#This Row],[PRECIO BARRA]])</f>
        <v>0</v>
      </c>
      <c r="K993">
        <v>140</v>
      </c>
      <c r="L993" t="s">
        <v>465</v>
      </c>
      <c r="M993" t="s">
        <v>471</v>
      </c>
    </row>
    <row r="994" spans="1:13">
      <c r="A994">
        <v>765</v>
      </c>
      <c r="B994">
        <v>8124</v>
      </c>
      <c r="C9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994" s="32">
        <v>46121</v>
      </c>
      <c r="E9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9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994">
        <v>12</v>
      </c>
      <c r="I994">
        <f>(salidas26[[#This Row],[CANT JUEGOS ]]*salidas26[[#This Row],[PRECIO JUEGO]])</f>
        <v>0</v>
      </c>
      <c r="J994">
        <f>(salidas26[[#This Row],[CANT BARRAS]]*salidas26[[#This Row],[PRECIO BARRA]])</f>
        <v>42</v>
      </c>
      <c r="K994">
        <v>42</v>
      </c>
      <c r="L994" t="s">
        <v>465</v>
      </c>
      <c r="M994" t="s">
        <v>481</v>
      </c>
    </row>
    <row r="995" spans="1:13">
      <c r="A995">
        <v>766</v>
      </c>
      <c r="B995">
        <v>6006</v>
      </c>
      <c r="C9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995" s="32">
        <v>46121</v>
      </c>
      <c r="E9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9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995">
        <v>1</v>
      </c>
      <c r="I995">
        <f>(salidas26[[#This Row],[CANT JUEGOS ]]*salidas26[[#This Row],[PRECIO JUEGO]])</f>
        <v>140</v>
      </c>
      <c r="J995">
        <f>(salidas26[[#This Row],[CANT BARRAS]]*salidas26[[#This Row],[PRECIO BARRA]])</f>
        <v>0</v>
      </c>
      <c r="K995">
        <v>140</v>
      </c>
      <c r="L995" t="s">
        <v>465</v>
      </c>
      <c r="M995" t="s">
        <v>487</v>
      </c>
    </row>
    <row r="996" spans="1:13">
      <c r="A996">
        <v>768</v>
      </c>
      <c r="B996">
        <v>3006</v>
      </c>
      <c r="C9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996" s="32">
        <v>46122</v>
      </c>
      <c r="E9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996">
        <v>1</v>
      </c>
      <c r="I996">
        <f>(salidas26[[#This Row],[CANT JUEGOS ]]*salidas26[[#This Row],[PRECIO JUEGO]])</f>
        <v>180</v>
      </c>
      <c r="J996">
        <f>(salidas26[[#This Row],[CANT BARRAS]]*salidas26[[#This Row],[PRECIO BARRA]])</f>
        <v>0</v>
      </c>
      <c r="K996">
        <v>126</v>
      </c>
      <c r="L996" t="s">
        <v>465</v>
      </c>
      <c r="M996" t="s">
        <v>471</v>
      </c>
    </row>
    <row r="997" spans="1:13">
      <c r="A997">
        <v>769</v>
      </c>
      <c r="B997">
        <v>2000</v>
      </c>
      <c r="C9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997" s="32">
        <v>46122</v>
      </c>
      <c r="E9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9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997">
        <v>1</v>
      </c>
      <c r="I997">
        <f>(salidas26[[#This Row],[CANT JUEGOS ]]*salidas26[[#This Row],[PRECIO JUEGO]])</f>
        <v>80</v>
      </c>
      <c r="J997">
        <f>(salidas26[[#This Row],[CANT BARRAS]]*salidas26[[#This Row],[PRECIO BARRA]])</f>
        <v>0</v>
      </c>
      <c r="K997">
        <v>60</v>
      </c>
      <c r="L997" t="s">
        <v>465</v>
      </c>
      <c r="M997" t="s">
        <v>736</v>
      </c>
    </row>
    <row r="998" spans="1:13">
      <c r="A998">
        <v>770</v>
      </c>
      <c r="B998">
        <v>8055</v>
      </c>
      <c r="C9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998" s="32">
        <v>46122</v>
      </c>
      <c r="E9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9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998">
        <v>1</v>
      </c>
      <c r="I998">
        <f>(salidas26[[#This Row],[CANT JUEGOS ]]*salidas26[[#This Row],[PRECIO JUEGO]])</f>
        <v>180</v>
      </c>
      <c r="J998">
        <f>(salidas26[[#This Row],[CANT BARRAS]]*salidas26[[#This Row],[PRECIO BARRA]])</f>
        <v>0</v>
      </c>
      <c r="K998">
        <v>180</v>
      </c>
      <c r="L998" t="s">
        <v>496</v>
      </c>
      <c r="M998" t="s">
        <v>507</v>
      </c>
    </row>
    <row r="999" spans="1:13">
      <c r="A999">
        <v>771</v>
      </c>
      <c r="B999">
        <v>3001</v>
      </c>
      <c r="C9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999" s="32">
        <v>46121</v>
      </c>
      <c r="E9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9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999">
        <v>2</v>
      </c>
      <c r="I999">
        <f>(salidas26[[#This Row],[CANT JUEGOS ]]*salidas26[[#This Row],[PRECIO JUEGO]])</f>
        <v>200</v>
      </c>
      <c r="J999">
        <f>(salidas26[[#This Row],[CANT BARRAS]]*salidas26[[#This Row],[PRECIO BARRA]])</f>
        <v>0</v>
      </c>
      <c r="K999">
        <v>200</v>
      </c>
      <c r="L999" t="s">
        <v>496</v>
      </c>
      <c r="M999" t="s">
        <v>799</v>
      </c>
    </row>
    <row r="1000" spans="1:13">
      <c r="A1000">
        <v>772</v>
      </c>
      <c r="B1000">
        <v>5002</v>
      </c>
      <c r="C10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1000" s="32">
        <v>46122</v>
      </c>
      <c r="E10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0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00">
        <v>1</v>
      </c>
      <c r="I1000">
        <f>(salidas26[[#This Row],[CANT JUEGOS ]]*salidas26[[#This Row],[PRECIO JUEGO]])</f>
        <v>90</v>
      </c>
      <c r="J1000">
        <f>(salidas26[[#This Row],[CANT BARRAS]]*salidas26[[#This Row],[PRECIO BARRA]])</f>
        <v>0</v>
      </c>
      <c r="K1000">
        <v>90</v>
      </c>
      <c r="L1000" t="s">
        <v>465</v>
      </c>
      <c r="M1000" t="s">
        <v>523</v>
      </c>
    </row>
    <row r="1001" spans="1:13">
      <c r="A1001">
        <v>773</v>
      </c>
      <c r="B1001">
        <v>1111</v>
      </c>
      <c r="C10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UK 6300-UM7100 /3B</v>
      </c>
      <c r="D1001" s="32">
        <v>46122</v>
      </c>
      <c r="E10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0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93.333333333333329</v>
      </c>
      <c r="G1001">
        <v>1</v>
      </c>
      <c r="I1001">
        <f>(salidas26[[#This Row],[CANT JUEGOS ]]*salidas26[[#This Row],[PRECIO JUEGO]])</f>
        <v>280</v>
      </c>
      <c r="J1001">
        <f>(salidas26[[#This Row],[CANT BARRAS]]*salidas26[[#This Row],[PRECIO BARRA]])</f>
        <v>0</v>
      </c>
      <c r="K1001">
        <v>260</v>
      </c>
      <c r="L1001" t="s">
        <v>465</v>
      </c>
      <c r="M1001" t="s">
        <v>628</v>
      </c>
    </row>
    <row r="1002" spans="1:13">
      <c r="A1002">
        <v>774</v>
      </c>
      <c r="B1002">
        <v>4000</v>
      </c>
      <c r="C10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002" s="32">
        <v>46122</v>
      </c>
      <c r="E10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02">
        <v>1</v>
      </c>
      <c r="I1002">
        <f>(salidas26[[#This Row],[CANT JUEGOS ]]*salidas26[[#This Row],[PRECIO JUEGO]])</f>
        <v>60</v>
      </c>
      <c r="J1002">
        <f>(salidas26[[#This Row],[CANT BARRAS]]*salidas26[[#This Row],[PRECIO BARRA]])</f>
        <v>0</v>
      </c>
      <c r="K1002">
        <v>50</v>
      </c>
      <c r="L1002" t="s">
        <v>465</v>
      </c>
      <c r="M1002" t="s">
        <v>466</v>
      </c>
    </row>
    <row r="1003" spans="1:13">
      <c r="A1003">
        <v>775</v>
      </c>
      <c r="B1003">
        <v>1033</v>
      </c>
      <c r="C10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003" s="32">
        <v>46122</v>
      </c>
      <c r="E10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003">
        <v>1</v>
      </c>
      <c r="I1003">
        <f>(salidas26[[#This Row],[CANT JUEGOS ]]*salidas26[[#This Row],[PRECIO JUEGO]])</f>
        <v>180</v>
      </c>
      <c r="J1003">
        <f>(salidas26[[#This Row],[CANT BARRAS]]*salidas26[[#This Row],[PRECIO BARRA]])</f>
        <v>0</v>
      </c>
      <c r="K1003">
        <v>170</v>
      </c>
      <c r="L1003" t="s">
        <v>465</v>
      </c>
      <c r="M1003" t="s">
        <v>481</v>
      </c>
    </row>
    <row r="1004" spans="1:13">
      <c r="A1004">
        <v>776</v>
      </c>
      <c r="B1004">
        <v>5021</v>
      </c>
      <c r="C10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 A400L PANASONIC/1B</v>
      </c>
      <c r="D1004" s="32">
        <v>46122</v>
      </c>
      <c r="E10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004">
        <v>1</v>
      </c>
      <c r="I1004">
        <f>(salidas26[[#This Row],[CANT JUEGOS ]]*salidas26[[#This Row],[PRECIO JUEGO]])</f>
        <v>150</v>
      </c>
      <c r="J1004">
        <f>(salidas26[[#This Row],[CANT BARRAS]]*salidas26[[#This Row],[PRECIO BARRA]])</f>
        <v>0</v>
      </c>
      <c r="K1004">
        <v>140</v>
      </c>
      <c r="L1004" t="s">
        <v>465</v>
      </c>
      <c r="M1004" t="s">
        <v>542</v>
      </c>
    </row>
    <row r="1005" spans="1:13">
      <c r="A1005">
        <v>777</v>
      </c>
      <c r="B1005">
        <v>1117</v>
      </c>
      <c r="C10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005" s="32">
        <v>46122</v>
      </c>
      <c r="E10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0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005">
        <v>1</v>
      </c>
      <c r="I1005">
        <f>(salidas26[[#This Row],[CANT JUEGOS ]]*salidas26[[#This Row],[PRECIO JUEGO]])</f>
        <v>350</v>
      </c>
      <c r="J1005">
        <f>(salidas26[[#This Row],[CANT BARRAS]]*salidas26[[#This Row],[PRECIO BARRA]])</f>
        <v>0</v>
      </c>
      <c r="K1005">
        <v>320</v>
      </c>
      <c r="L1005" t="s">
        <v>465</v>
      </c>
      <c r="M1005" t="s">
        <v>487</v>
      </c>
    </row>
    <row r="1006" spans="1:13">
      <c r="A1006">
        <v>778</v>
      </c>
      <c r="B1006">
        <v>8067</v>
      </c>
      <c r="C10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006" s="32">
        <v>46122</v>
      </c>
      <c r="E10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006">
        <v>1</v>
      </c>
      <c r="I1006">
        <f>(salidas26[[#This Row],[CANT JUEGOS ]]*salidas26[[#This Row],[PRECIO JUEGO]])</f>
        <v>220</v>
      </c>
      <c r="J1006">
        <f>(salidas26[[#This Row],[CANT BARRAS]]*salidas26[[#This Row],[PRECIO BARRA]])</f>
        <v>0</v>
      </c>
      <c r="K1006">
        <v>200</v>
      </c>
      <c r="L1006" t="s">
        <v>496</v>
      </c>
      <c r="M1006" t="s">
        <v>707</v>
      </c>
    </row>
    <row r="1007" spans="1:13">
      <c r="A1007">
        <v>779</v>
      </c>
      <c r="B1007">
        <v>7004</v>
      </c>
      <c r="C10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007" s="32">
        <v>46122</v>
      </c>
      <c r="E10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07">
        <v>1</v>
      </c>
      <c r="I1007">
        <f>(salidas26[[#This Row],[CANT JUEGOS ]]*salidas26[[#This Row],[PRECIO JUEGO]])</f>
        <v>150</v>
      </c>
      <c r="J1007">
        <f>(salidas26[[#This Row],[CANT BARRAS]]*salidas26[[#This Row],[PRECIO BARRA]])</f>
        <v>0</v>
      </c>
      <c r="K1007">
        <v>150</v>
      </c>
      <c r="L1007" t="s">
        <v>496</v>
      </c>
      <c r="M1007" t="s">
        <v>707</v>
      </c>
    </row>
    <row r="1008" spans="1:13">
      <c r="A1008">
        <v>780</v>
      </c>
      <c r="B1008">
        <v>2075</v>
      </c>
      <c r="C10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008" s="32">
        <v>46122</v>
      </c>
      <c r="E10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008">
        <v>1</v>
      </c>
      <c r="I1008">
        <f>(salidas26[[#This Row],[CANT JUEGOS ]]*salidas26[[#This Row],[PRECIO JUEGO]])</f>
        <v>200</v>
      </c>
      <c r="J1008">
        <f>(salidas26[[#This Row],[CANT BARRAS]]*salidas26[[#This Row],[PRECIO BARRA]])</f>
        <v>0</v>
      </c>
      <c r="K1008">
        <v>200</v>
      </c>
      <c r="L1008" t="s">
        <v>496</v>
      </c>
      <c r="M1008" t="s">
        <v>546</v>
      </c>
    </row>
    <row r="1009" spans="1:13">
      <c r="B1009">
        <v>3003</v>
      </c>
      <c r="C10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009" s="32">
        <v>46122</v>
      </c>
      <c r="E10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0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09">
        <v>1</v>
      </c>
      <c r="I1009">
        <f>(salidas26[[#This Row],[CANT JUEGOS ]]*salidas26[[#This Row],[PRECIO JUEGO]])</f>
        <v>160</v>
      </c>
      <c r="J1009">
        <f>(salidas26[[#This Row],[CANT BARRAS]]*salidas26[[#This Row],[PRECIO BARRA]])</f>
        <v>0</v>
      </c>
    </row>
    <row r="1010" spans="1:13">
      <c r="A1010">
        <v>781</v>
      </c>
      <c r="B1010">
        <v>3003</v>
      </c>
      <c r="C10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010" s="32">
        <v>46122</v>
      </c>
      <c r="E10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0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10">
        <v>1</v>
      </c>
      <c r="H1010">
        <v>2</v>
      </c>
      <c r="I1010">
        <f>(salidas26[[#This Row],[CANT JUEGOS ]]*salidas26[[#This Row],[PRECIO JUEGO]])</f>
        <v>160</v>
      </c>
      <c r="J1010">
        <f>(salidas26[[#This Row],[CANT BARRAS]]*salidas26[[#This Row],[PRECIO BARRA]])</f>
        <v>80</v>
      </c>
      <c r="K1010">
        <v>140</v>
      </c>
      <c r="M1010" t="s">
        <v>801</v>
      </c>
    </row>
    <row r="1011" spans="1:13">
      <c r="A1011">
        <v>782</v>
      </c>
      <c r="B1011">
        <v>2095</v>
      </c>
      <c r="C10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1011" s="32">
        <v>46122</v>
      </c>
      <c r="E10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0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011">
        <v>1</v>
      </c>
      <c r="I1011">
        <f>(salidas26[[#This Row],[CANT JUEGOS ]]*salidas26[[#This Row],[PRECIO JUEGO]])</f>
        <v>250</v>
      </c>
      <c r="J1011">
        <f>(salidas26[[#This Row],[CANT BARRAS]]*salidas26[[#This Row],[PRECIO BARRA]])</f>
        <v>0</v>
      </c>
      <c r="K1011">
        <v>200</v>
      </c>
      <c r="L1011" t="s">
        <v>496</v>
      </c>
      <c r="M1011" t="s">
        <v>636</v>
      </c>
    </row>
    <row r="1012" spans="1:13">
      <c r="A1012">
        <v>783</v>
      </c>
      <c r="B1012">
        <v>2093</v>
      </c>
      <c r="C10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UN60FH6003/12B</v>
      </c>
      <c r="D1012" s="32">
        <v>46122</v>
      </c>
      <c r="E10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012">
        <v>1</v>
      </c>
      <c r="I1012">
        <f>(salidas26[[#This Row],[CANT JUEGOS ]]*salidas26[[#This Row],[PRECIO JUEGO]])</f>
        <v>400</v>
      </c>
      <c r="J1012">
        <f>(salidas26[[#This Row],[CANT BARRAS]]*salidas26[[#This Row],[PRECIO BARRA]])</f>
        <v>0</v>
      </c>
      <c r="K1012">
        <v>380</v>
      </c>
      <c r="L1012" t="s">
        <v>496</v>
      </c>
      <c r="M1012" t="s">
        <v>469</v>
      </c>
    </row>
    <row r="1013" spans="1:13">
      <c r="A1013">
        <v>784</v>
      </c>
      <c r="B1013">
        <v>1018</v>
      </c>
      <c r="C10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LH 5100-2B/5L</v>
      </c>
      <c r="D1013" s="32">
        <v>46122</v>
      </c>
      <c r="E10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13">
        <v>1</v>
      </c>
      <c r="I1013">
        <f>(salidas26[[#This Row],[CANT JUEGOS ]]*salidas26[[#This Row],[PRECIO JUEGO]])</f>
        <v>80</v>
      </c>
      <c r="J1013">
        <f>(salidas26[[#This Row],[CANT BARRAS]]*salidas26[[#This Row],[PRECIO BARRA]])</f>
        <v>0</v>
      </c>
      <c r="K1013">
        <v>70</v>
      </c>
      <c r="L1013" t="s">
        <v>496</v>
      </c>
      <c r="M1013" t="s">
        <v>469</v>
      </c>
    </row>
    <row r="1014" spans="1:13">
      <c r="A1014">
        <v>785</v>
      </c>
      <c r="B1014">
        <v>8033</v>
      </c>
      <c r="C10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014" s="32">
        <v>46122</v>
      </c>
      <c r="E10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14">
        <v>1</v>
      </c>
      <c r="I1014">
        <f>(salidas26[[#This Row],[CANT JUEGOS ]]*salidas26[[#This Row],[PRECIO JUEGO]])</f>
        <v>150</v>
      </c>
      <c r="J1014">
        <f>(salidas26[[#This Row],[CANT BARRAS]]*salidas26[[#This Row],[PRECIO BARRA]])</f>
        <v>0</v>
      </c>
      <c r="K1014">
        <v>140</v>
      </c>
      <c r="L1014" t="s">
        <v>465</v>
      </c>
      <c r="M1014" t="s">
        <v>481</v>
      </c>
    </row>
    <row r="1015" spans="1:13">
      <c r="A1015">
        <v>786</v>
      </c>
      <c r="B1015">
        <v>8055</v>
      </c>
      <c r="C10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015" s="32">
        <v>46122</v>
      </c>
      <c r="E10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015">
        <v>1</v>
      </c>
      <c r="I1015">
        <f>(salidas26[[#This Row],[CANT JUEGOS ]]*salidas26[[#This Row],[PRECIO JUEGO]])</f>
        <v>180</v>
      </c>
      <c r="J1015">
        <f>(salidas26[[#This Row],[CANT BARRAS]]*salidas26[[#This Row],[PRECIO BARRA]])</f>
        <v>0</v>
      </c>
      <c r="K1015">
        <v>200</v>
      </c>
      <c r="L1015" t="s">
        <v>496</v>
      </c>
      <c r="M1015" t="s">
        <v>802</v>
      </c>
    </row>
    <row r="1016" spans="1:13">
      <c r="A1016">
        <v>787</v>
      </c>
      <c r="B1016">
        <v>4003</v>
      </c>
      <c r="C10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016" s="32">
        <v>46122</v>
      </c>
      <c r="E10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0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16">
        <v>1</v>
      </c>
      <c r="I1016">
        <f>(salidas26[[#This Row],[CANT JUEGOS ]]*salidas26[[#This Row],[PRECIO JUEGO]])</f>
        <v>90</v>
      </c>
      <c r="J1016">
        <f>(salidas26[[#This Row],[CANT BARRAS]]*salidas26[[#This Row],[PRECIO BARRA]])</f>
        <v>0</v>
      </c>
      <c r="K1016">
        <v>60</v>
      </c>
      <c r="L1016" t="s">
        <v>465</v>
      </c>
      <c r="M1016" t="s">
        <v>802</v>
      </c>
    </row>
    <row r="1017" spans="1:13">
      <c r="A1017">
        <v>789</v>
      </c>
      <c r="B1017">
        <v>8015</v>
      </c>
      <c r="C10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017" s="32">
        <v>46123</v>
      </c>
      <c r="E10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17">
        <v>1</v>
      </c>
      <c r="I1017">
        <f>(salidas26[[#This Row],[CANT JUEGOS ]]*salidas26[[#This Row],[PRECIO JUEGO]])</f>
        <v>60</v>
      </c>
      <c r="J1017">
        <f>(salidas26[[#This Row],[CANT BARRAS]]*salidas26[[#This Row],[PRECIO BARRA]])</f>
        <v>0</v>
      </c>
      <c r="K1017">
        <v>60</v>
      </c>
      <c r="L1017" t="s">
        <v>564</v>
      </c>
      <c r="M1017" t="s">
        <v>803</v>
      </c>
    </row>
    <row r="1018" spans="1:13">
      <c r="A1018">
        <v>790</v>
      </c>
      <c r="B1018">
        <v>8015</v>
      </c>
      <c r="C10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018" s="32">
        <v>46123</v>
      </c>
      <c r="E10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18">
        <v>2</v>
      </c>
      <c r="I1018">
        <f>(salidas26[[#This Row],[CANT JUEGOS ]]*salidas26[[#This Row],[PRECIO JUEGO]])</f>
        <v>120</v>
      </c>
      <c r="J1018">
        <f>(salidas26[[#This Row],[CANT BARRAS]]*salidas26[[#This Row],[PRECIO BARRA]])</f>
        <v>0</v>
      </c>
      <c r="K1018">
        <v>100</v>
      </c>
      <c r="L1018" t="s">
        <v>496</v>
      </c>
      <c r="M1018" t="s">
        <v>468</v>
      </c>
    </row>
    <row r="1019" spans="1:13">
      <c r="A1019">
        <v>791</v>
      </c>
      <c r="B1019">
        <v>2051</v>
      </c>
      <c r="C10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1019" s="32">
        <v>46123</v>
      </c>
      <c r="E10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0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019">
        <v>1</v>
      </c>
      <c r="I1019">
        <f>(salidas26[[#This Row],[CANT JUEGOS ]]*salidas26[[#This Row],[PRECIO JUEGO]])</f>
        <v>260</v>
      </c>
      <c r="J1019">
        <f>(salidas26[[#This Row],[CANT BARRAS]]*salidas26[[#This Row],[PRECIO BARRA]])</f>
        <v>0</v>
      </c>
      <c r="K1019">
        <v>250</v>
      </c>
      <c r="L1019" t="s">
        <v>496</v>
      </c>
      <c r="M1019" t="s">
        <v>474</v>
      </c>
    </row>
    <row r="1020" spans="1:13">
      <c r="A1020">
        <v>792</v>
      </c>
      <c r="B1020">
        <v>1114</v>
      </c>
      <c r="C10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55LA6600/2B</v>
      </c>
      <c r="D1020" s="32">
        <v>46123</v>
      </c>
      <c r="E10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0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140</v>
      </c>
      <c r="G1020">
        <v>1</v>
      </c>
      <c r="I1020">
        <f>(salidas26[[#This Row],[CANT JUEGOS ]]*salidas26[[#This Row],[PRECIO JUEGO]])</f>
        <v>280</v>
      </c>
      <c r="J1020">
        <f>(salidas26[[#This Row],[CANT BARRAS]]*salidas26[[#This Row],[PRECIO BARRA]])</f>
        <v>0</v>
      </c>
      <c r="K1020">
        <v>280</v>
      </c>
      <c r="L1020" t="s">
        <v>496</v>
      </c>
      <c r="M1020" t="s">
        <v>466</v>
      </c>
    </row>
    <row r="1021" spans="1:13">
      <c r="A1021">
        <v>793</v>
      </c>
      <c r="B1021">
        <v>7018</v>
      </c>
      <c r="C10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IRT 5L/3V KONKA- CROWN-TV5577SD/9L/9B</v>
      </c>
      <c r="D1021" s="32">
        <v>46123</v>
      </c>
      <c r="E10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0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1021">
        <v>1</v>
      </c>
      <c r="I1021">
        <f>(salidas26[[#This Row],[CANT JUEGOS ]]*salidas26[[#This Row],[PRECIO JUEGO]])</f>
        <v>280</v>
      </c>
      <c r="J1021">
        <f>(salidas26[[#This Row],[CANT BARRAS]]*salidas26[[#This Row],[PRECIO BARRA]])</f>
        <v>0</v>
      </c>
      <c r="K1021">
        <v>280</v>
      </c>
      <c r="L1021" t="s">
        <v>465</v>
      </c>
      <c r="M1021" t="s">
        <v>466</v>
      </c>
    </row>
    <row r="1022" spans="1:13">
      <c r="A1022">
        <v>794</v>
      </c>
      <c r="B1022">
        <v>8015</v>
      </c>
      <c r="C10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022" s="32">
        <v>46123</v>
      </c>
      <c r="E10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22">
        <v>1</v>
      </c>
      <c r="I1022">
        <f>(salidas26[[#This Row],[CANT JUEGOS ]]*salidas26[[#This Row],[PRECIO JUEGO]])</f>
        <v>60</v>
      </c>
      <c r="J1022">
        <f>(salidas26[[#This Row],[CANT BARRAS]]*salidas26[[#This Row],[PRECIO BARRA]])</f>
        <v>0</v>
      </c>
      <c r="K1022">
        <v>50</v>
      </c>
      <c r="L1022" t="s">
        <v>465</v>
      </c>
      <c r="M1022" t="s">
        <v>804</v>
      </c>
    </row>
    <row r="1023" spans="1:13">
      <c r="A1023">
        <v>795</v>
      </c>
      <c r="B1023">
        <v>1015</v>
      </c>
      <c r="C10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023" s="32">
        <v>46123</v>
      </c>
      <c r="E10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23">
        <v>1</v>
      </c>
      <c r="I1023">
        <f>(salidas26[[#This Row],[CANT JUEGOS ]]*salidas26[[#This Row],[PRECIO JUEGO]])</f>
        <v>80</v>
      </c>
      <c r="J1023">
        <f>(salidas26[[#This Row],[CANT BARRAS]]*salidas26[[#This Row],[PRECIO BARRA]])</f>
        <v>0</v>
      </c>
      <c r="K1023">
        <v>80</v>
      </c>
      <c r="L1023" t="s">
        <v>465</v>
      </c>
      <c r="M1023" t="s">
        <v>522</v>
      </c>
    </row>
    <row r="1024" spans="1:13">
      <c r="A1024">
        <v>797</v>
      </c>
      <c r="B1024">
        <v>1045</v>
      </c>
      <c r="C10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42LM6200/1B</v>
      </c>
      <c r="D1024" s="32">
        <v>46123</v>
      </c>
      <c r="E10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10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140</v>
      </c>
      <c r="G1024">
        <v>1</v>
      </c>
      <c r="I1024">
        <f>(salidas26[[#This Row],[CANT JUEGOS ]]*salidas26[[#This Row],[PRECIO JUEGO]])</f>
        <v>140</v>
      </c>
      <c r="J1024">
        <f>(salidas26[[#This Row],[CANT BARRAS]]*salidas26[[#This Row],[PRECIO BARRA]])</f>
        <v>0</v>
      </c>
      <c r="K1024">
        <v>150</v>
      </c>
      <c r="L1024" t="s">
        <v>496</v>
      </c>
      <c r="M1024" t="s">
        <v>672</v>
      </c>
    </row>
    <row r="1025" spans="1:13">
      <c r="A1025">
        <v>798</v>
      </c>
      <c r="B1025">
        <v>2021</v>
      </c>
      <c r="C10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1025" s="32">
        <v>46125</v>
      </c>
      <c r="E10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0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1025">
        <v>1</v>
      </c>
      <c r="I1025">
        <f>(salidas26[[#This Row],[CANT JUEGOS ]]*salidas26[[#This Row],[PRECIO JUEGO]])</f>
        <v>260</v>
      </c>
      <c r="J1025">
        <f>(salidas26[[#This Row],[CANT BARRAS]]*salidas26[[#This Row],[PRECIO BARRA]])</f>
        <v>0</v>
      </c>
      <c r="K1025">
        <v>260</v>
      </c>
      <c r="L1025" t="s">
        <v>496</v>
      </c>
      <c r="M1025" t="s">
        <v>473</v>
      </c>
    </row>
    <row r="1026" spans="1:13">
      <c r="A1026">
        <v>799</v>
      </c>
      <c r="B1026">
        <v>8067</v>
      </c>
      <c r="C10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026" s="32">
        <v>46125</v>
      </c>
      <c r="E10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026">
        <v>1</v>
      </c>
      <c r="I1026">
        <f>(salidas26[[#This Row],[CANT JUEGOS ]]*salidas26[[#This Row],[PRECIO JUEGO]])</f>
        <v>220</v>
      </c>
      <c r="J1026">
        <f>(salidas26[[#This Row],[CANT BARRAS]]*salidas26[[#This Row],[PRECIO BARRA]])</f>
        <v>0</v>
      </c>
      <c r="K1026">
        <v>200</v>
      </c>
      <c r="L1026" t="s">
        <v>465</v>
      </c>
      <c r="M1026" t="s">
        <v>466</v>
      </c>
    </row>
    <row r="1027" spans="1:13">
      <c r="A1027">
        <v>800</v>
      </c>
      <c r="B1027">
        <v>1049</v>
      </c>
      <c r="C10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027" s="32">
        <v>46125</v>
      </c>
      <c r="E10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027">
        <v>1</v>
      </c>
      <c r="I1027">
        <f>(salidas26[[#This Row],[CANT JUEGOS ]]*salidas26[[#This Row],[PRECIO JUEGO]])</f>
        <v>180</v>
      </c>
      <c r="J1027">
        <f>(salidas26[[#This Row],[CANT BARRAS]]*salidas26[[#This Row],[PRECIO BARRA]])</f>
        <v>0</v>
      </c>
      <c r="K1027">
        <v>180</v>
      </c>
      <c r="L1027" t="s">
        <v>465</v>
      </c>
      <c r="M1027" t="s">
        <v>677</v>
      </c>
    </row>
    <row r="1028" spans="1:13">
      <c r="A1028">
        <v>801</v>
      </c>
      <c r="B1028">
        <v>1015</v>
      </c>
      <c r="C10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028" s="32">
        <v>46124</v>
      </c>
      <c r="E10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28">
        <v>2</v>
      </c>
      <c r="I1028">
        <f>(salidas26[[#This Row],[CANT JUEGOS ]]*salidas26[[#This Row],[PRECIO JUEGO]])</f>
        <v>160</v>
      </c>
      <c r="J1028">
        <f>(salidas26[[#This Row],[CANT BARRAS]]*salidas26[[#This Row],[PRECIO BARRA]])</f>
        <v>0</v>
      </c>
      <c r="K1028">
        <v>128</v>
      </c>
      <c r="L1028" t="s">
        <v>465</v>
      </c>
      <c r="M1028" t="s">
        <v>497</v>
      </c>
    </row>
    <row r="1029" spans="1:13">
      <c r="A1029">
        <v>802</v>
      </c>
      <c r="B1029">
        <v>8012</v>
      </c>
      <c r="C10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029" s="32">
        <v>46124</v>
      </c>
      <c r="E10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0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29">
        <v>1</v>
      </c>
      <c r="I1029">
        <f>(salidas26[[#This Row],[CANT JUEGOS ]]*salidas26[[#This Row],[PRECIO JUEGO]])</f>
        <v>100</v>
      </c>
      <c r="J1029">
        <f>(salidas26[[#This Row],[CANT BARRAS]]*salidas26[[#This Row],[PRECIO BARRA]])</f>
        <v>0</v>
      </c>
      <c r="K1029">
        <v>80</v>
      </c>
      <c r="L1029" t="s">
        <v>465</v>
      </c>
      <c r="M1029" t="s">
        <v>497</v>
      </c>
    </row>
    <row r="1030" spans="1:13">
      <c r="A1030">
        <v>803</v>
      </c>
      <c r="B1030">
        <v>7004</v>
      </c>
      <c r="C10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030" s="32">
        <v>46124</v>
      </c>
      <c r="E10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30">
        <v>1</v>
      </c>
      <c r="I1030">
        <f>(salidas26[[#This Row],[CANT JUEGOS ]]*salidas26[[#This Row],[PRECIO JUEGO]])</f>
        <v>150</v>
      </c>
      <c r="J1030">
        <f>(salidas26[[#This Row],[CANT BARRAS]]*salidas26[[#This Row],[PRECIO BARRA]])</f>
        <v>0</v>
      </c>
      <c r="K1030">
        <v>120</v>
      </c>
      <c r="L1030" t="s">
        <v>465</v>
      </c>
      <c r="M1030" t="s">
        <v>497</v>
      </c>
    </row>
    <row r="1031" spans="1:13">
      <c r="A1031">
        <v>804</v>
      </c>
      <c r="B1031">
        <v>1087</v>
      </c>
      <c r="C10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49LK5400 /8B</v>
      </c>
      <c r="D1031" s="32">
        <v>46125</v>
      </c>
      <c r="E10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031">
        <v>1</v>
      </c>
      <c r="I1031">
        <f>(salidas26[[#This Row],[CANT JUEGOS ]]*salidas26[[#This Row],[PRECIO JUEGO]])</f>
        <v>220</v>
      </c>
      <c r="J1031">
        <f>(salidas26[[#This Row],[CANT BARRAS]]*salidas26[[#This Row],[PRECIO BARRA]])</f>
        <v>0</v>
      </c>
      <c r="K1031">
        <v>225</v>
      </c>
      <c r="L1031" t="s">
        <v>496</v>
      </c>
      <c r="M1031" t="s">
        <v>509</v>
      </c>
    </row>
    <row r="1032" spans="1:13">
      <c r="A1032">
        <v>805</v>
      </c>
      <c r="B1032">
        <v>1015</v>
      </c>
      <c r="C10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032" s="32">
        <v>46125</v>
      </c>
      <c r="E10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32">
        <v>1</v>
      </c>
      <c r="I1032">
        <f>(salidas26[[#This Row],[CANT JUEGOS ]]*salidas26[[#This Row],[PRECIO JUEGO]])</f>
        <v>80</v>
      </c>
      <c r="J1032">
        <f>(salidas26[[#This Row],[CANT BARRAS]]*salidas26[[#This Row],[PRECIO BARRA]])</f>
        <v>0</v>
      </c>
      <c r="K1032">
        <v>100</v>
      </c>
      <c r="L1032" t="s">
        <v>496</v>
      </c>
      <c r="M1032" t="s">
        <v>489</v>
      </c>
    </row>
    <row r="1033" spans="1:13">
      <c r="B1033">
        <v>2093</v>
      </c>
      <c r="C10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UN60FH6003/12B</v>
      </c>
      <c r="D1033" s="32">
        <v>46125</v>
      </c>
      <c r="E10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033">
        <v>1</v>
      </c>
      <c r="I1033">
        <f>(salidas26[[#This Row],[CANT JUEGOS ]]*salidas26[[#This Row],[PRECIO JUEGO]])</f>
        <v>400</v>
      </c>
      <c r="J1033">
        <f>(salidas26[[#This Row],[CANT BARRAS]]*salidas26[[#This Row],[PRECIO BARRA]])</f>
        <v>0</v>
      </c>
      <c r="M1033" t="s">
        <v>805</v>
      </c>
    </row>
    <row r="1034" spans="1:13">
      <c r="A1034">
        <v>806</v>
      </c>
      <c r="B1034">
        <v>8067</v>
      </c>
      <c r="C10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034" s="32">
        <v>46125</v>
      </c>
      <c r="E10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034">
        <v>1</v>
      </c>
      <c r="I1034">
        <f>(salidas26[[#This Row],[CANT JUEGOS ]]*salidas26[[#This Row],[PRECIO JUEGO]])</f>
        <v>220</v>
      </c>
      <c r="J1034">
        <f>(salidas26[[#This Row],[CANT BARRAS]]*salidas26[[#This Row],[PRECIO BARRA]])</f>
        <v>0</v>
      </c>
      <c r="K1034">
        <v>200</v>
      </c>
      <c r="L1034" t="s">
        <v>496</v>
      </c>
      <c r="M1034" t="s">
        <v>577</v>
      </c>
    </row>
    <row r="1035" spans="1:13">
      <c r="A1035">
        <v>807</v>
      </c>
      <c r="B1035">
        <v>8033</v>
      </c>
      <c r="C10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035" s="32">
        <v>46126</v>
      </c>
      <c r="E10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35">
        <v>1</v>
      </c>
      <c r="I1035">
        <f>(salidas26[[#This Row],[CANT JUEGOS ]]*salidas26[[#This Row],[PRECIO JUEGO]])</f>
        <v>150</v>
      </c>
      <c r="J1035">
        <f>(salidas26[[#This Row],[CANT BARRAS]]*salidas26[[#This Row],[PRECIO BARRA]])</f>
        <v>0</v>
      </c>
      <c r="K1035">
        <v>140</v>
      </c>
      <c r="L1035" t="s">
        <v>465</v>
      </c>
      <c r="M1035" t="s">
        <v>481</v>
      </c>
    </row>
    <row r="1036" spans="1:13">
      <c r="A1036">
        <v>808</v>
      </c>
      <c r="B1036">
        <v>8033</v>
      </c>
      <c r="C10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036" s="32">
        <v>46126</v>
      </c>
      <c r="E10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36">
        <v>1</v>
      </c>
      <c r="I1036">
        <f>(salidas26[[#This Row],[CANT JUEGOS ]]*salidas26[[#This Row],[PRECIO JUEGO]])</f>
        <v>150</v>
      </c>
      <c r="J1036">
        <f>(salidas26[[#This Row],[CANT BARRAS]]*salidas26[[#This Row],[PRECIO BARRA]])</f>
        <v>0</v>
      </c>
      <c r="K1036">
        <v>100</v>
      </c>
      <c r="L1036" t="s">
        <v>465</v>
      </c>
      <c r="M1036" t="s">
        <v>471</v>
      </c>
    </row>
    <row r="1037" spans="1:13">
      <c r="A1037">
        <v>809</v>
      </c>
      <c r="B1037">
        <v>3012</v>
      </c>
      <c r="C10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48M600 10B/6-7LEDS Y 4 -8LEDS/3V </v>
      </c>
      <c r="D1037" s="32">
        <v>46126</v>
      </c>
      <c r="E10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0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1037">
        <v>2</v>
      </c>
      <c r="I1037">
        <f>(salidas26[[#This Row],[CANT JUEGOS ]]*salidas26[[#This Row],[PRECIO JUEGO]])</f>
        <v>0</v>
      </c>
      <c r="J1037">
        <f>(salidas26[[#This Row],[CANT BARRAS]]*salidas26[[#This Row],[PRECIO BARRA]])</f>
        <v>52</v>
      </c>
      <c r="K1037">
        <v>35</v>
      </c>
      <c r="L1037" t="s">
        <v>465</v>
      </c>
      <c r="M1037" t="s">
        <v>471</v>
      </c>
    </row>
    <row r="1038" spans="1:13">
      <c r="A1038">
        <v>810</v>
      </c>
      <c r="B1038">
        <v>2093</v>
      </c>
      <c r="C10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UN60FH6003/12B</v>
      </c>
      <c r="D1038" s="32">
        <v>46126</v>
      </c>
      <c r="E10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1038">
        <v>1</v>
      </c>
      <c r="I1038">
        <f>(salidas26[[#This Row],[CANT JUEGOS ]]*salidas26[[#This Row],[PRECIO JUEGO]])</f>
        <v>0</v>
      </c>
      <c r="J1038">
        <f>(salidas26[[#This Row],[CANT BARRAS]]*salidas26[[#This Row],[PRECIO BARRA]])</f>
        <v>33.333333333333336</v>
      </c>
      <c r="M1038" t="s">
        <v>601</v>
      </c>
    </row>
    <row r="1039" spans="1:13">
      <c r="A1039">
        <v>811</v>
      </c>
      <c r="B1039">
        <v>6000</v>
      </c>
      <c r="C10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039" s="32">
        <v>46126</v>
      </c>
      <c r="E10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39">
        <v>1</v>
      </c>
      <c r="I1039">
        <f>(salidas26[[#This Row],[CANT JUEGOS ]]*salidas26[[#This Row],[PRECIO JUEGO]])</f>
        <v>60</v>
      </c>
      <c r="J1039">
        <f>(salidas26[[#This Row],[CANT BARRAS]]*salidas26[[#This Row],[PRECIO BARRA]])</f>
        <v>0</v>
      </c>
      <c r="K1039">
        <v>60</v>
      </c>
      <c r="L1039" t="s">
        <v>465</v>
      </c>
      <c r="M1039" t="s">
        <v>481</v>
      </c>
    </row>
    <row r="1040" spans="1:13">
      <c r="A1040">
        <v>812</v>
      </c>
      <c r="B1040">
        <v>8067</v>
      </c>
      <c r="C10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040" s="32">
        <v>46126</v>
      </c>
      <c r="E10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040">
        <v>1</v>
      </c>
      <c r="I1040">
        <f>(salidas26[[#This Row],[CANT JUEGOS ]]*salidas26[[#This Row],[PRECIO JUEGO]])</f>
        <v>220</v>
      </c>
      <c r="J1040">
        <f>(salidas26[[#This Row],[CANT BARRAS]]*salidas26[[#This Row],[PRECIO BARRA]])</f>
        <v>0</v>
      </c>
      <c r="K1040">
        <v>154</v>
      </c>
      <c r="L1040" t="s">
        <v>465</v>
      </c>
      <c r="M1040" t="s">
        <v>471</v>
      </c>
    </row>
    <row r="1041" spans="1:13">
      <c r="A1041">
        <v>813</v>
      </c>
      <c r="B1041">
        <v>1027</v>
      </c>
      <c r="C10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32LM3400-4B/3V/9L</v>
      </c>
      <c r="D1041" s="32">
        <v>46126</v>
      </c>
      <c r="E10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120</v>
      </c>
      <c r="F10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41">
        <v>1</v>
      </c>
      <c r="I1041">
        <f>(salidas26[[#This Row],[CANT JUEGOS ]]*salidas26[[#This Row],[PRECIO JUEGO]])</f>
        <v>120</v>
      </c>
      <c r="J1041">
        <f>(salidas26[[#This Row],[CANT BARRAS]]*salidas26[[#This Row],[PRECIO BARRA]])</f>
        <v>0</v>
      </c>
      <c r="K1041">
        <v>120</v>
      </c>
      <c r="L1041" t="s">
        <v>465</v>
      </c>
      <c r="M1041" t="s">
        <v>466</v>
      </c>
    </row>
    <row r="1042" spans="1:13">
      <c r="A1042">
        <v>814</v>
      </c>
      <c r="B1042">
        <v>8082</v>
      </c>
      <c r="C10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1042" s="32">
        <v>46127</v>
      </c>
      <c r="E10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04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042">
        <v>1</v>
      </c>
      <c r="I1042">
        <f>(salidas26[[#This Row],[CANT JUEGOS ]]*salidas26[[#This Row],[PRECIO JUEGO]])</f>
        <v>320</v>
      </c>
      <c r="J1042" t="e">
        <f>(salidas26[[#This Row],[CANT BARRAS]]*salidas26[[#This Row],[PRECIO BARRA]])</f>
        <v>#VALUE!</v>
      </c>
      <c r="K1042">
        <v>300</v>
      </c>
      <c r="L1042" t="s">
        <v>496</v>
      </c>
      <c r="M1042" t="s">
        <v>806</v>
      </c>
    </row>
    <row r="1043" spans="1:13">
      <c r="A1043">
        <v>815</v>
      </c>
      <c r="B1043">
        <v>1042</v>
      </c>
      <c r="C10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42LS3450/10B</v>
      </c>
      <c r="D1043" s="32">
        <v>46127</v>
      </c>
      <c r="E10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0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043">
        <v>1</v>
      </c>
      <c r="H1043">
        <v>8</v>
      </c>
      <c r="I1043">
        <f>(salidas26[[#This Row],[CANT JUEGOS ]]*salidas26[[#This Row],[PRECIO JUEGO]])</f>
        <v>250</v>
      </c>
      <c r="J1043">
        <f>(salidas26[[#This Row],[CANT BARRAS]]*salidas26[[#This Row],[PRECIO BARRA]])</f>
        <v>200</v>
      </c>
      <c r="K1043">
        <v>200</v>
      </c>
      <c r="L1043" t="s">
        <v>496</v>
      </c>
      <c r="M1043" t="s">
        <v>480</v>
      </c>
    </row>
    <row r="1044" spans="1:13">
      <c r="A1044">
        <v>816</v>
      </c>
      <c r="B1044">
        <v>6006</v>
      </c>
      <c r="C10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1044" s="32">
        <v>46127</v>
      </c>
      <c r="E10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10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1044">
        <v>1</v>
      </c>
      <c r="I1044">
        <f>(salidas26[[#This Row],[CANT JUEGOS ]]*salidas26[[#This Row],[PRECIO JUEGO]])</f>
        <v>140</v>
      </c>
      <c r="J1044">
        <f>(salidas26[[#This Row],[CANT BARRAS]]*salidas26[[#This Row],[PRECIO BARRA]])</f>
        <v>0</v>
      </c>
      <c r="K1044">
        <v>100</v>
      </c>
      <c r="L1044" t="s">
        <v>465</v>
      </c>
      <c r="M1044" t="s">
        <v>471</v>
      </c>
    </row>
    <row r="1045" spans="1:13">
      <c r="A1045">
        <v>817</v>
      </c>
      <c r="B1045">
        <v>2087</v>
      </c>
      <c r="C10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045" s="32">
        <v>46127</v>
      </c>
      <c r="E10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0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045">
        <v>1</v>
      </c>
      <c r="I1045">
        <f>(salidas26[[#This Row],[CANT JUEGOS ]]*salidas26[[#This Row],[PRECIO JUEGO]])</f>
        <v>240</v>
      </c>
      <c r="J1045">
        <f>(salidas26[[#This Row],[CANT BARRAS]]*salidas26[[#This Row],[PRECIO BARRA]])</f>
        <v>0</v>
      </c>
      <c r="K1045">
        <v>200</v>
      </c>
      <c r="L1045" t="s">
        <v>496</v>
      </c>
      <c r="M1045" t="s">
        <v>807</v>
      </c>
    </row>
    <row r="1046" spans="1:13">
      <c r="A1046">
        <v>818</v>
      </c>
      <c r="B1046">
        <v>8021</v>
      </c>
      <c r="C10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046" s="32">
        <v>46127</v>
      </c>
      <c r="E10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46">
        <v>1</v>
      </c>
      <c r="I1046">
        <f>(salidas26[[#This Row],[CANT JUEGOS ]]*salidas26[[#This Row],[PRECIO JUEGO]])</f>
        <v>60</v>
      </c>
      <c r="J1046">
        <f>(salidas26[[#This Row],[CANT BARRAS]]*salidas26[[#This Row],[PRECIO BARRA]])</f>
        <v>0</v>
      </c>
      <c r="K1046">
        <v>50</v>
      </c>
      <c r="L1046" t="s">
        <v>465</v>
      </c>
      <c r="M1046" t="s">
        <v>523</v>
      </c>
    </row>
    <row r="1047" spans="1:13">
      <c r="A1047">
        <v>820</v>
      </c>
      <c r="B1047">
        <v>6131</v>
      </c>
      <c r="C10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1047" s="32">
        <v>46127</v>
      </c>
      <c r="E10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1047">
        <v>12</v>
      </c>
      <c r="I1047">
        <f>(salidas26[[#This Row],[CANT JUEGOS ]]*salidas26[[#This Row],[PRECIO JUEGO]])</f>
        <v>0</v>
      </c>
      <c r="J1047">
        <f>(salidas26[[#This Row],[CANT BARRAS]]*salidas26[[#This Row],[PRECIO BARRA]])</f>
        <v>400</v>
      </c>
      <c r="K1047">
        <v>400</v>
      </c>
      <c r="L1047" t="s">
        <v>465</v>
      </c>
      <c r="M1047" t="s">
        <v>487</v>
      </c>
    </row>
    <row r="1048" spans="1:13">
      <c r="A1048">
        <v>821</v>
      </c>
      <c r="B1048">
        <v>2104</v>
      </c>
      <c r="C10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UN82TU7000/18B/5L</v>
      </c>
      <c r="D1048" s="32">
        <v>46127</v>
      </c>
      <c r="E10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10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048">
        <v>1</v>
      </c>
      <c r="H1048">
        <v>3</v>
      </c>
      <c r="I1048">
        <f>(salidas26[[#This Row],[CANT JUEGOS ]]*salidas26[[#This Row],[PRECIO JUEGO]])</f>
        <v>600</v>
      </c>
      <c r="J1048">
        <f>(salidas26[[#This Row],[CANT BARRAS]]*salidas26[[#This Row],[PRECIO BARRA]])</f>
        <v>100</v>
      </c>
      <c r="K1048">
        <v>100</v>
      </c>
      <c r="L1048" t="s">
        <v>465</v>
      </c>
      <c r="M1048" t="s">
        <v>481</v>
      </c>
    </row>
    <row r="1049" spans="1:13">
      <c r="A1049">
        <v>823</v>
      </c>
      <c r="B1049">
        <v>5018</v>
      </c>
      <c r="C10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049" s="32">
        <v>46127</v>
      </c>
      <c r="E10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049">
        <v>1</v>
      </c>
      <c r="I1049">
        <f>(salidas26[[#This Row],[CANT JUEGOS ]]*salidas26[[#This Row],[PRECIO JUEGO]])</f>
        <v>200</v>
      </c>
      <c r="J1049">
        <f>(salidas26[[#This Row],[CANT BARRAS]]*salidas26[[#This Row],[PRECIO BARRA]])</f>
        <v>0</v>
      </c>
      <c r="K1049">
        <v>180</v>
      </c>
      <c r="M1049" t="s">
        <v>793</v>
      </c>
    </row>
    <row r="1050" spans="1:13">
      <c r="A1050">
        <v>824</v>
      </c>
      <c r="B1050">
        <v>2091</v>
      </c>
      <c r="C10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 H6400</v>
      </c>
      <c r="D1050" s="32">
        <v>46128</v>
      </c>
      <c r="E10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700</v>
      </c>
      <c r="F105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050">
        <v>1</v>
      </c>
      <c r="I1050">
        <f>(salidas26[[#This Row],[CANT JUEGOS ]]*salidas26[[#This Row],[PRECIO JUEGO]])</f>
        <v>700</v>
      </c>
      <c r="J1050" t="e">
        <f>(salidas26[[#This Row],[CANT BARRAS]]*salidas26[[#This Row],[PRECIO BARRA]])</f>
        <v>#VALUE!</v>
      </c>
      <c r="K1050">
        <v>650</v>
      </c>
      <c r="L1050" t="s">
        <v>496</v>
      </c>
      <c r="M1050" t="s">
        <v>808</v>
      </c>
    </row>
    <row r="1051" spans="1:13">
      <c r="A1051">
        <v>825</v>
      </c>
      <c r="B1051">
        <v>8100</v>
      </c>
      <c r="C10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051" s="32">
        <v>46128</v>
      </c>
      <c r="E10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0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051">
        <v>1</v>
      </c>
      <c r="I1051">
        <f>(salidas26[[#This Row],[CANT JUEGOS ]]*salidas26[[#This Row],[PRECIO JUEGO]])</f>
        <v>300</v>
      </c>
      <c r="J1051">
        <f>(salidas26[[#This Row],[CANT BARRAS]]*salidas26[[#This Row],[PRECIO BARRA]])</f>
        <v>0</v>
      </c>
      <c r="K1051">
        <v>300</v>
      </c>
      <c r="L1051" t="s">
        <v>496</v>
      </c>
      <c r="M1051" t="s">
        <v>466</v>
      </c>
    </row>
    <row r="1052" spans="1:13">
      <c r="A1052">
        <v>826</v>
      </c>
      <c r="B1052">
        <v>6022</v>
      </c>
      <c r="C10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052" s="32">
        <v>46128</v>
      </c>
      <c r="E10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0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052">
        <v>1</v>
      </c>
      <c r="I1052">
        <f>(salidas26[[#This Row],[CANT JUEGOS ]]*salidas26[[#This Row],[PRECIO JUEGO]])</f>
        <v>350</v>
      </c>
      <c r="J1052">
        <f>(salidas26[[#This Row],[CANT BARRAS]]*salidas26[[#This Row],[PRECIO BARRA]])</f>
        <v>0</v>
      </c>
      <c r="K1052">
        <v>340</v>
      </c>
      <c r="L1052" t="s">
        <v>496</v>
      </c>
      <c r="M1052" t="s">
        <v>507</v>
      </c>
    </row>
    <row r="1053" spans="1:13">
      <c r="A1053">
        <v>827</v>
      </c>
      <c r="B1053">
        <v>6021</v>
      </c>
      <c r="C10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1053" s="32">
        <v>46128</v>
      </c>
      <c r="E10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0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053">
        <v>1</v>
      </c>
      <c r="I1053">
        <f>(salidas26[[#This Row],[CANT JUEGOS ]]*salidas26[[#This Row],[PRECIO JUEGO]])</f>
        <v>300</v>
      </c>
      <c r="J1053">
        <f>(salidas26[[#This Row],[CANT BARRAS]]*salidas26[[#This Row],[PRECIO BARRA]])</f>
        <v>0</v>
      </c>
      <c r="K1053">
        <v>280</v>
      </c>
      <c r="L1053" t="s">
        <v>465</v>
      </c>
      <c r="M1053" t="s">
        <v>809</v>
      </c>
    </row>
    <row r="1054" spans="1:13">
      <c r="A1054">
        <v>828</v>
      </c>
      <c r="B1054">
        <v>2075</v>
      </c>
      <c r="C10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054" s="32">
        <v>46128</v>
      </c>
      <c r="E10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054">
        <v>1</v>
      </c>
      <c r="I1054">
        <f>(salidas26[[#This Row],[CANT JUEGOS ]]*salidas26[[#This Row],[PRECIO JUEGO]])</f>
        <v>200</v>
      </c>
      <c r="J1054">
        <f>(salidas26[[#This Row],[CANT BARRAS]]*salidas26[[#This Row],[PRECIO BARRA]])</f>
        <v>0</v>
      </c>
      <c r="K1054">
        <v>200</v>
      </c>
      <c r="L1054" t="s">
        <v>465</v>
      </c>
      <c r="M1054" t="s">
        <v>542</v>
      </c>
    </row>
    <row r="1055" spans="1:13">
      <c r="A1055">
        <v>829</v>
      </c>
      <c r="B1055">
        <v>2078</v>
      </c>
      <c r="C10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1055" s="32">
        <v>46128</v>
      </c>
      <c r="E10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0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055">
        <v>1</v>
      </c>
      <c r="H1055">
        <v>1</v>
      </c>
      <c r="I1055">
        <f>(salidas26[[#This Row],[CANT JUEGOS ]]*salidas26[[#This Row],[PRECIO JUEGO]])</f>
        <v>250</v>
      </c>
      <c r="J1055">
        <f>(salidas26[[#This Row],[CANT BARRAS]]*salidas26[[#This Row],[PRECIO BARRA]])</f>
        <v>62.5</v>
      </c>
      <c r="K1055">
        <v>320</v>
      </c>
      <c r="L1055" t="s">
        <v>465</v>
      </c>
      <c r="M1055" t="s">
        <v>481</v>
      </c>
    </row>
    <row r="1056" spans="1:13">
      <c r="A1056">
        <v>830</v>
      </c>
      <c r="B1056">
        <v>8095</v>
      </c>
      <c r="C10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1056" s="32">
        <v>46128</v>
      </c>
      <c r="E10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0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56">
        <v>1</v>
      </c>
      <c r="I1056">
        <f>(salidas26[[#This Row],[CANT JUEGOS ]]*salidas26[[#This Row],[PRECIO JUEGO]])</f>
        <v>300</v>
      </c>
      <c r="J1056">
        <f>(salidas26[[#This Row],[CANT BARRAS]]*salidas26[[#This Row],[PRECIO BARRA]])</f>
        <v>0</v>
      </c>
      <c r="K1056">
        <v>280</v>
      </c>
      <c r="L1056" t="s">
        <v>496</v>
      </c>
      <c r="M1056" t="s">
        <v>466</v>
      </c>
    </row>
    <row r="1057" spans="1:13">
      <c r="A1057">
        <v>831</v>
      </c>
      <c r="B1057">
        <v>6022</v>
      </c>
      <c r="C10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057" s="32">
        <v>46128</v>
      </c>
      <c r="E10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0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057">
        <v>1</v>
      </c>
      <c r="I1057">
        <f>(salidas26[[#This Row],[CANT JUEGOS ]]*salidas26[[#This Row],[PRECIO JUEGO]])</f>
        <v>350</v>
      </c>
      <c r="J1057">
        <f>(salidas26[[#This Row],[CANT BARRAS]]*salidas26[[#This Row],[PRECIO BARRA]])</f>
        <v>0</v>
      </c>
      <c r="K1057">
        <v>300</v>
      </c>
      <c r="L1057" t="s">
        <v>496</v>
      </c>
      <c r="M1057" t="s">
        <v>810</v>
      </c>
    </row>
    <row r="1058" spans="1:13">
      <c r="A1058">
        <v>832</v>
      </c>
      <c r="B1058">
        <v>6131</v>
      </c>
      <c r="C10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1058" s="32">
        <v>46128</v>
      </c>
      <c r="E10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1058">
        <v>12</v>
      </c>
      <c r="I1058">
        <f>(salidas26[[#This Row],[CANT JUEGOS ]]*salidas26[[#This Row],[PRECIO JUEGO]])</f>
        <v>0</v>
      </c>
      <c r="J1058">
        <f>(salidas26[[#This Row],[CANT BARRAS]]*salidas26[[#This Row],[PRECIO BARRA]])</f>
        <v>400</v>
      </c>
      <c r="K1058">
        <v>350</v>
      </c>
      <c r="L1058" t="s">
        <v>496</v>
      </c>
      <c r="M1058" t="s">
        <v>810</v>
      </c>
    </row>
    <row r="1059" spans="1:13">
      <c r="A1059">
        <v>833</v>
      </c>
      <c r="B1059">
        <v>6022</v>
      </c>
      <c r="C10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059" s="32">
        <v>46128</v>
      </c>
      <c r="E10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0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059">
        <v>1</v>
      </c>
      <c r="I1059">
        <f>(salidas26[[#This Row],[CANT JUEGOS ]]*salidas26[[#This Row],[PRECIO JUEGO]])</f>
        <v>350</v>
      </c>
      <c r="J1059">
        <f>(salidas26[[#This Row],[CANT BARRAS]]*salidas26[[#This Row],[PRECIO BARRA]])</f>
        <v>0</v>
      </c>
      <c r="K1059">
        <v>300</v>
      </c>
      <c r="L1059" t="s">
        <v>496</v>
      </c>
      <c r="M1059" t="s">
        <v>466</v>
      </c>
    </row>
    <row r="1060" spans="1:13">
      <c r="A1060">
        <v>834</v>
      </c>
      <c r="B1060">
        <v>8057</v>
      </c>
      <c r="C10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060" s="32">
        <v>46128</v>
      </c>
      <c r="E10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60">
        <v>1</v>
      </c>
      <c r="I1060">
        <f>(salidas26[[#This Row],[CANT JUEGOS ]]*salidas26[[#This Row],[PRECIO JUEGO]])</f>
        <v>200</v>
      </c>
      <c r="J1060">
        <f>(salidas26[[#This Row],[CANT BARRAS]]*salidas26[[#This Row],[PRECIO BARRA]])</f>
        <v>0</v>
      </c>
      <c r="K1060">
        <v>225</v>
      </c>
      <c r="L1060" t="s">
        <v>496</v>
      </c>
      <c r="M1060" t="s">
        <v>509</v>
      </c>
    </row>
    <row r="1061" spans="1:13">
      <c r="A1061">
        <v>835</v>
      </c>
      <c r="B1061">
        <v>6006</v>
      </c>
      <c r="C10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1061" s="32">
        <v>46129</v>
      </c>
      <c r="E10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10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1061">
        <v>1</v>
      </c>
      <c r="I1061">
        <f>(salidas26[[#This Row],[CANT JUEGOS ]]*salidas26[[#This Row],[PRECIO JUEGO]])</f>
        <v>140</v>
      </c>
      <c r="J1061">
        <f>(salidas26[[#This Row],[CANT BARRAS]]*salidas26[[#This Row],[PRECIO BARRA]])</f>
        <v>0</v>
      </c>
      <c r="K1061">
        <v>140</v>
      </c>
      <c r="L1061" t="s">
        <v>496</v>
      </c>
      <c r="M1061" t="s">
        <v>468</v>
      </c>
    </row>
    <row r="1062" spans="1:13">
      <c r="A1062">
        <v>836</v>
      </c>
      <c r="B1062">
        <v>8015</v>
      </c>
      <c r="C10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062" s="32">
        <v>46129</v>
      </c>
      <c r="E10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62">
        <v>1</v>
      </c>
      <c r="I1062">
        <f>(salidas26[[#This Row],[CANT JUEGOS ]]*salidas26[[#This Row],[PRECIO JUEGO]])</f>
        <v>60</v>
      </c>
      <c r="J1062">
        <f>(salidas26[[#This Row],[CANT BARRAS]]*salidas26[[#This Row],[PRECIO BARRA]])</f>
        <v>0</v>
      </c>
      <c r="K1062">
        <v>50</v>
      </c>
      <c r="L1062" t="s">
        <v>496</v>
      </c>
      <c r="M1062" t="s">
        <v>468</v>
      </c>
    </row>
    <row r="1063" spans="1:13">
      <c r="A1063">
        <v>837</v>
      </c>
      <c r="B1063">
        <v>2027</v>
      </c>
      <c r="C10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063" s="32">
        <v>46129</v>
      </c>
      <c r="E10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063">
        <v>1</v>
      </c>
      <c r="I1063">
        <f>(salidas26[[#This Row],[CANT JUEGOS ]]*salidas26[[#This Row],[PRECIO JUEGO]])</f>
        <v>180</v>
      </c>
      <c r="J1063">
        <f>(salidas26[[#This Row],[CANT BARRAS]]*salidas26[[#This Row],[PRECIO BARRA]])</f>
        <v>0</v>
      </c>
      <c r="K1063">
        <v>180</v>
      </c>
      <c r="L1063" t="s">
        <v>496</v>
      </c>
      <c r="M1063" t="s">
        <v>468</v>
      </c>
    </row>
    <row r="1064" spans="1:13">
      <c r="A1064">
        <v>838</v>
      </c>
      <c r="B1064">
        <v>8069</v>
      </c>
      <c r="C10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064" s="32">
        <v>46129</v>
      </c>
      <c r="E10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064">
        <v>1</v>
      </c>
      <c r="I1064">
        <f>(salidas26[[#This Row],[CANT JUEGOS ]]*salidas26[[#This Row],[PRECIO JUEGO]])</f>
        <v>220</v>
      </c>
      <c r="J1064">
        <f>(salidas26[[#This Row],[CANT BARRAS]]*salidas26[[#This Row],[PRECIO BARRA]])</f>
        <v>0</v>
      </c>
      <c r="M1064" t="s">
        <v>737</v>
      </c>
    </row>
    <row r="1065" spans="1:13">
      <c r="A1065">
        <v>839</v>
      </c>
      <c r="B1065">
        <v>1117</v>
      </c>
      <c r="C10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065" s="32">
        <v>46129</v>
      </c>
      <c r="E10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0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065">
        <v>1</v>
      </c>
      <c r="I1065">
        <f>(salidas26[[#This Row],[CANT JUEGOS ]]*salidas26[[#This Row],[PRECIO JUEGO]])</f>
        <v>350</v>
      </c>
      <c r="J1065">
        <f>(salidas26[[#This Row],[CANT BARRAS]]*salidas26[[#This Row],[PRECIO BARRA]])</f>
        <v>0</v>
      </c>
      <c r="M1065" t="s">
        <v>811</v>
      </c>
    </row>
    <row r="1066" spans="1:13">
      <c r="A1066">
        <v>840</v>
      </c>
      <c r="B1066">
        <v>2000</v>
      </c>
      <c r="C10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066" s="32">
        <v>46129</v>
      </c>
      <c r="E10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66">
        <v>1</v>
      </c>
      <c r="I1066">
        <f>(salidas26[[#This Row],[CANT JUEGOS ]]*salidas26[[#This Row],[PRECIO JUEGO]])</f>
        <v>80</v>
      </c>
      <c r="J1066">
        <f>(salidas26[[#This Row],[CANT BARRAS]]*salidas26[[#This Row],[PRECIO BARRA]])</f>
        <v>0</v>
      </c>
      <c r="K1066">
        <v>70</v>
      </c>
      <c r="L1066" t="s">
        <v>465</v>
      </c>
      <c r="M1066" t="s">
        <v>481</v>
      </c>
    </row>
    <row r="1067" spans="1:13">
      <c r="A1067">
        <v>841</v>
      </c>
      <c r="B1067">
        <v>2006</v>
      </c>
      <c r="C10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UN32J/ 2B </v>
      </c>
      <c r="D1067" s="32">
        <v>46129</v>
      </c>
      <c r="E10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0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067">
        <v>1</v>
      </c>
      <c r="I1067">
        <f>(salidas26[[#This Row],[CANT JUEGOS ]]*salidas26[[#This Row],[PRECIO JUEGO]])</f>
        <v>90</v>
      </c>
      <c r="J1067">
        <f>(salidas26[[#This Row],[CANT BARRAS]]*salidas26[[#This Row],[PRECIO BARRA]])</f>
        <v>0</v>
      </c>
      <c r="K1067">
        <v>70</v>
      </c>
      <c r="L1067" t="s">
        <v>465</v>
      </c>
      <c r="M1067" t="s">
        <v>481</v>
      </c>
    </row>
    <row r="1068" spans="1:13">
      <c r="A1068">
        <v>842</v>
      </c>
      <c r="B1068">
        <v>2051</v>
      </c>
      <c r="C10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1068" s="32">
        <v>46129</v>
      </c>
      <c r="E10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0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068">
        <v>1</v>
      </c>
      <c r="I1068">
        <f>(salidas26[[#This Row],[CANT JUEGOS ]]*salidas26[[#This Row],[PRECIO JUEGO]])</f>
        <v>260</v>
      </c>
      <c r="J1068">
        <f>(salidas26[[#This Row],[CANT BARRAS]]*salidas26[[#This Row],[PRECIO BARRA]])</f>
        <v>0</v>
      </c>
      <c r="K1068">
        <v>250</v>
      </c>
      <c r="L1068" t="s">
        <v>496</v>
      </c>
      <c r="M1068" t="s">
        <v>547</v>
      </c>
    </row>
    <row r="1069" spans="1:13">
      <c r="A1069">
        <v>843</v>
      </c>
      <c r="B1069">
        <v>1012</v>
      </c>
      <c r="C10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069" s="32">
        <v>46129</v>
      </c>
      <c r="E10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0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69">
        <v>1</v>
      </c>
      <c r="I1069">
        <f>(salidas26[[#This Row],[CANT JUEGOS ]]*salidas26[[#This Row],[PRECIO JUEGO]])</f>
        <v>90</v>
      </c>
      <c r="J1069">
        <f>(salidas26[[#This Row],[CANT BARRAS]]*salidas26[[#This Row],[PRECIO BARRA]])</f>
        <v>0</v>
      </c>
      <c r="K1069">
        <v>90</v>
      </c>
      <c r="L1069" t="s">
        <v>465</v>
      </c>
      <c r="M1069" t="s">
        <v>566</v>
      </c>
    </row>
    <row r="1070" spans="1:13">
      <c r="A1070">
        <v>844</v>
      </c>
      <c r="B1070">
        <v>8030</v>
      </c>
      <c r="C10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TCL 10L/6V/2B DIF 180º</v>
      </c>
      <c r="D1070" s="32">
        <v>46129</v>
      </c>
      <c r="E10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0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070">
        <v>1</v>
      </c>
      <c r="I1070">
        <f>(salidas26[[#This Row],[CANT JUEGOS ]]*salidas26[[#This Row],[PRECIO JUEGO]])</f>
        <v>150</v>
      </c>
      <c r="J1070">
        <f>(salidas26[[#This Row],[CANT BARRAS]]*salidas26[[#This Row],[PRECIO BARRA]])</f>
        <v>0</v>
      </c>
      <c r="K1070">
        <v>130</v>
      </c>
      <c r="L1070" t="s">
        <v>465</v>
      </c>
      <c r="M1070" t="s">
        <v>481</v>
      </c>
    </row>
    <row r="1071" spans="1:13">
      <c r="A1071">
        <v>845</v>
      </c>
      <c r="B1071">
        <v>8076</v>
      </c>
      <c r="C10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XIAOMI L55M6A</v>
      </c>
      <c r="D1071" s="32">
        <v>46129</v>
      </c>
      <c r="E10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0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071">
        <v>1</v>
      </c>
      <c r="I1071">
        <f>(salidas26[[#This Row],[CANT JUEGOS ]]*salidas26[[#This Row],[PRECIO JUEGO]])</f>
        <v>300</v>
      </c>
      <c r="J1071">
        <f>(salidas26[[#This Row],[CANT BARRAS]]*salidas26[[#This Row],[PRECIO BARRA]])</f>
        <v>0</v>
      </c>
      <c r="K1071">
        <v>300</v>
      </c>
      <c r="L1071" t="s">
        <v>465</v>
      </c>
      <c r="M1071" t="s">
        <v>483</v>
      </c>
    </row>
    <row r="1072" spans="1:13">
      <c r="A1072">
        <v>846</v>
      </c>
      <c r="B1072">
        <v>1120</v>
      </c>
      <c r="C10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55LM6200/2B</v>
      </c>
      <c r="D1072" s="32">
        <v>46129</v>
      </c>
      <c r="E10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1072">
        <v>1</v>
      </c>
      <c r="I1072">
        <f>(salidas26[[#This Row],[CANT JUEGOS ]]*salidas26[[#This Row],[PRECIO JUEGO]])</f>
        <v>220</v>
      </c>
      <c r="J1072">
        <f>(salidas26[[#This Row],[CANT BARRAS]]*salidas26[[#This Row],[PRECIO BARRA]])</f>
        <v>0</v>
      </c>
      <c r="K1072">
        <v>176</v>
      </c>
      <c r="L1072" t="s">
        <v>465</v>
      </c>
      <c r="M1072" t="s">
        <v>497</v>
      </c>
    </row>
    <row r="1073" spans="1:13">
      <c r="A1073">
        <v>847</v>
      </c>
      <c r="B1073">
        <v>7002</v>
      </c>
      <c r="C10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1073" s="32">
        <v>46129</v>
      </c>
      <c r="E10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0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073">
        <v>1</v>
      </c>
      <c r="I1073">
        <f>(salidas26[[#This Row],[CANT JUEGOS ]]*salidas26[[#This Row],[PRECIO JUEGO]])</f>
        <v>70</v>
      </c>
      <c r="J1073">
        <f>(salidas26[[#This Row],[CANT BARRAS]]*salidas26[[#This Row],[PRECIO BARRA]])</f>
        <v>0</v>
      </c>
      <c r="K1073">
        <v>56</v>
      </c>
      <c r="L1073" t="s">
        <v>465</v>
      </c>
      <c r="M1073" t="s">
        <v>497</v>
      </c>
    </row>
    <row r="1074" spans="1:13">
      <c r="A1074">
        <v>848</v>
      </c>
      <c r="B1074">
        <v>5006</v>
      </c>
      <c r="C10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074" s="32">
        <v>46129</v>
      </c>
      <c r="E10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0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74">
        <v>2</v>
      </c>
      <c r="I1074">
        <f>(salidas26[[#This Row],[CANT JUEGOS ]]*salidas26[[#This Row],[PRECIO JUEGO]])</f>
        <v>180</v>
      </c>
      <c r="J1074">
        <f>(salidas26[[#This Row],[CANT BARRAS]]*salidas26[[#This Row],[PRECIO BARRA]])</f>
        <v>0</v>
      </c>
      <c r="K1074">
        <v>144</v>
      </c>
      <c r="L1074" t="s">
        <v>465</v>
      </c>
      <c r="M1074" t="s">
        <v>497</v>
      </c>
    </row>
    <row r="1075" spans="1:13">
      <c r="A1075">
        <v>849</v>
      </c>
      <c r="B1075">
        <v>8025</v>
      </c>
      <c r="C10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CHANCHONG 10L/5B</v>
      </c>
      <c r="D1075" s="32">
        <v>46130</v>
      </c>
      <c r="E10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0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66.666666666666671</v>
      </c>
      <c r="G1075">
        <v>1</v>
      </c>
      <c r="I1075">
        <f>(salidas26[[#This Row],[CANT JUEGOS ]]*salidas26[[#This Row],[PRECIO JUEGO]])</f>
        <v>200</v>
      </c>
      <c r="J1075">
        <f>(salidas26[[#This Row],[CANT BARRAS]]*salidas26[[#This Row],[PRECIO BARRA]])</f>
        <v>0</v>
      </c>
      <c r="K1075">
        <v>190</v>
      </c>
      <c r="L1075" t="s">
        <v>465</v>
      </c>
      <c r="M1075" t="s">
        <v>566</v>
      </c>
    </row>
    <row r="1076" spans="1:13">
      <c r="A1076">
        <v>851</v>
      </c>
      <c r="B1076">
        <v>2063</v>
      </c>
      <c r="C10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1076" s="32">
        <v>46132</v>
      </c>
      <c r="E10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1076">
        <v>1</v>
      </c>
      <c r="I1076">
        <f>(salidas26[[#This Row],[CANT JUEGOS ]]*salidas26[[#This Row],[PRECIO JUEGO]])</f>
        <v>180</v>
      </c>
      <c r="J1076">
        <f>(salidas26[[#This Row],[CANT BARRAS]]*salidas26[[#This Row],[PRECIO BARRA]])</f>
        <v>0</v>
      </c>
      <c r="K1076">
        <v>180</v>
      </c>
      <c r="L1076" t="s">
        <v>465</v>
      </c>
      <c r="M1076" t="s">
        <v>481</v>
      </c>
    </row>
    <row r="1077" spans="1:13">
      <c r="A1077">
        <v>852</v>
      </c>
      <c r="B1077">
        <v>5031</v>
      </c>
      <c r="C10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XBR-55W805B/2B</v>
      </c>
      <c r="D1077" s="32">
        <v>46132</v>
      </c>
      <c r="E10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0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077">
        <v>8</v>
      </c>
      <c r="I1077">
        <f>(salidas26[[#This Row],[CANT JUEGOS ]]*salidas26[[#This Row],[PRECIO JUEGO]])</f>
        <v>2000</v>
      </c>
      <c r="J1077">
        <f>(salidas26[[#This Row],[CANT BARRAS]]*salidas26[[#This Row],[PRECIO BARRA]])</f>
        <v>0</v>
      </c>
      <c r="K1077">
        <v>1600</v>
      </c>
      <c r="L1077" t="s">
        <v>496</v>
      </c>
      <c r="M1077" t="s">
        <v>812</v>
      </c>
    </row>
    <row r="1078" spans="1:13">
      <c r="A1078">
        <v>853</v>
      </c>
      <c r="B1078">
        <v>2045</v>
      </c>
      <c r="C10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UN49KU6500-UN49MU6500/2B</v>
      </c>
      <c r="D1078" s="32">
        <v>46132</v>
      </c>
      <c r="E10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0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078">
        <v>8</v>
      </c>
      <c r="I1078">
        <f>(salidas26[[#This Row],[CANT JUEGOS ]]*salidas26[[#This Row],[PRECIO JUEGO]])</f>
        <v>3200</v>
      </c>
      <c r="J1078">
        <f>(salidas26[[#This Row],[CANT BARRAS]]*salidas26[[#This Row],[PRECIO BARRA]])</f>
        <v>0</v>
      </c>
      <c r="K1078">
        <v>1920</v>
      </c>
      <c r="L1078" t="s">
        <v>496</v>
      </c>
      <c r="M1078" t="s">
        <v>812</v>
      </c>
    </row>
    <row r="1079" spans="1:13">
      <c r="A1079">
        <v>854</v>
      </c>
      <c r="B1079">
        <v>2065</v>
      </c>
      <c r="C10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UN50AU/BU8000 2B EDGE</v>
      </c>
      <c r="D1079" s="32">
        <v>46132</v>
      </c>
      <c r="E10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0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1079">
        <v>1</v>
      </c>
      <c r="I1079">
        <f>(salidas26[[#This Row],[CANT JUEGOS ]]*salidas26[[#This Row],[PRECIO JUEGO]])</f>
        <v>220</v>
      </c>
      <c r="J1079">
        <f>(salidas26[[#This Row],[CANT BARRAS]]*salidas26[[#This Row],[PRECIO BARRA]])</f>
        <v>0</v>
      </c>
      <c r="K1079">
        <v>150</v>
      </c>
      <c r="L1079" t="s">
        <v>496</v>
      </c>
      <c r="M1079" t="s">
        <v>813</v>
      </c>
    </row>
    <row r="1080" spans="1:13">
      <c r="A1080">
        <v>855</v>
      </c>
      <c r="B1080">
        <v>6009</v>
      </c>
      <c r="C10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080" s="32">
        <v>46132</v>
      </c>
      <c r="E10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080">
        <v>6</v>
      </c>
      <c r="I1080">
        <f>(salidas26[[#This Row],[CANT JUEGOS ]]*salidas26[[#This Row],[PRECIO JUEGO]])</f>
        <v>0</v>
      </c>
      <c r="J1080">
        <f>(salidas26[[#This Row],[CANT BARRAS]]*salidas26[[#This Row],[PRECIO BARRA]])</f>
        <v>135</v>
      </c>
      <c r="K1080">
        <v>150</v>
      </c>
      <c r="L1080" t="s">
        <v>496</v>
      </c>
      <c r="M1080" t="s">
        <v>813</v>
      </c>
    </row>
    <row r="1081" spans="1:13">
      <c r="A1081">
        <v>856</v>
      </c>
      <c r="B1081">
        <v>8056</v>
      </c>
      <c r="C10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081" s="32">
        <v>46132</v>
      </c>
      <c r="E10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081">
        <v>1</v>
      </c>
      <c r="I1081">
        <f>(salidas26[[#This Row],[CANT JUEGOS ]]*salidas26[[#This Row],[PRECIO JUEGO]])</f>
        <v>180</v>
      </c>
      <c r="J1081">
        <f>(salidas26[[#This Row],[CANT BARRAS]]*salidas26[[#This Row],[PRECIO BARRA]])</f>
        <v>0</v>
      </c>
      <c r="K1081">
        <v>170</v>
      </c>
      <c r="L1081" t="s">
        <v>465</v>
      </c>
      <c r="M1081" t="s">
        <v>523</v>
      </c>
    </row>
    <row r="1082" spans="1:13">
      <c r="A1082">
        <v>857</v>
      </c>
      <c r="B1082">
        <v>1066</v>
      </c>
      <c r="C10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47LA6130-12B/3V</v>
      </c>
      <c r="D1082" s="32">
        <v>46132</v>
      </c>
      <c r="E10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0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082">
        <v>1</v>
      </c>
      <c r="I1082">
        <f>(salidas26[[#This Row],[CANT JUEGOS ]]*salidas26[[#This Row],[PRECIO JUEGO]])</f>
        <v>240</v>
      </c>
      <c r="J1082">
        <f>(salidas26[[#This Row],[CANT BARRAS]]*salidas26[[#This Row],[PRECIO BARRA]])</f>
        <v>0</v>
      </c>
      <c r="K1082">
        <v>230</v>
      </c>
      <c r="L1082" t="s">
        <v>465</v>
      </c>
      <c r="M1082" t="s">
        <v>469</v>
      </c>
    </row>
    <row r="1083" spans="1:13">
      <c r="A1083">
        <v>858</v>
      </c>
      <c r="B1083">
        <v>1000</v>
      </c>
      <c r="C10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083" s="32">
        <v>46132</v>
      </c>
      <c r="E10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83">
        <v>2</v>
      </c>
      <c r="I1083">
        <f>(salidas26[[#This Row],[CANT JUEGOS ]]*salidas26[[#This Row],[PRECIO JUEGO]])</f>
        <v>160</v>
      </c>
      <c r="J1083">
        <f>(salidas26[[#This Row],[CANT BARRAS]]*salidas26[[#This Row],[PRECIO BARRA]])</f>
        <v>0</v>
      </c>
      <c r="K1083">
        <v>128</v>
      </c>
      <c r="L1083" t="s">
        <v>496</v>
      </c>
      <c r="M1083" t="s">
        <v>497</v>
      </c>
    </row>
    <row r="1084" spans="1:13">
      <c r="A1084">
        <v>859</v>
      </c>
      <c r="B1084">
        <v>1003</v>
      </c>
      <c r="C10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1084" s="32">
        <v>46132</v>
      </c>
      <c r="E10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84">
        <v>2</v>
      </c>
      <c r="I1084">
        <f>(salidas26[[#This Row],[CANT JUEGOS ]]*salidas26[[#This Row],[PRECIO JUEGO]])</f>
        <v>160</v>
      </c>
      <c r="J1084">
        <f>(salidas26[[#This Row],[CANT BARRAS]]*salidas26[[#This Row],[PRECIO BARRA]])</f>
        <v>0</v>
      </c>
      <c r="K1084">
        <v>128</v>
      </c>
      <c r="L1084" t="s">
        <v>496</v>
      </c>
      <c r="M1084" t="s">
        <v>497</v>
      </c>
    </row>
    <row r="1085" spans="1:13">
      <c r="A1085">
        <v>860</v>
      </c>
      <c r="B1085">
        <v>1102</v>
      </c>
      <c r="C10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1085" s="32">
        <v>46132</v>
      </c>
      <c r="E10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0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1085">
        <v>1</v>
      </c>
      <c r="I1085">
        <f>(salidas26[[#This Row],[CANT JUEGOS ]]*salidas26[[#This Row],[PRECIO JUEGO]])</f>
        <v>280</v>
      </c>
      <c r="J1085">
        <f>(salidas26[[#This Row],[CANT BARRAS]]*salidas26[[#This Row],[PRECIO BARRA]])</f>
        <v>0</v>
      </c>
      <c r="K1085">
        <v>224</v>
      </c>
      <c r="L1085" t="s">
        <v>496</v>
      </c>
      <c r="M1085" t="s">
        <v>497</v>
      </c>
    </row>
    <row r="1086" spans="1:13">
      <c r="A1086">
        <v>861</v>
      </c>
      <c r="B1086">
        <v>3030</v>
      </c>
      <c r="C10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B8500  10L/14B  </v>
      </c>
      <c r="D1086" s="32">
        <v>46132</v>
      </c>
      <c r="E10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0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22.857142857142858</v>
      </c>
      <c r="G1086">
        <v>1</v>
      </c>
      <c r="I1086">
        <f>(salidas26[[#This Row],[CANT JUEGOS ]]*salidas26[[#This Row],[PRECIO JUEGO]])</f>
        <v>320</v>
      </c>
      <c r="J1086">
        <f>(salidas26[[#This Row],[CANT BARRAS]]*salidas26[[#This Row],[PRECIO BARRA]])</f>
        <v>0</v>
      </c>
      <c r="K1086">
        <v>350</v>
      </c>
      <c r="L1086" t="s">
        <v>496</v>
      </c>
      <c r="M1086" t="s">
        <v>814</v>
      </c>
    </row>
    <row r="1087" spans="1:13">
      <c r="A1087">
        <v>862</v>
      </c>
      <c r="B1087">
        <v>1108</v>
      </c>
      <c r="C10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UK 6550 /3B</v>
      </c>
      <c r="D1087" s="32">
        <v>46132</v>
      </c>
      <c r="E10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0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087">
        <v>1</v>
      </c>
      <c r="I1087">
        <f>(salidas26[[#This Row],[CANT JUEGOS ]]*salidas26[[#This Row],[PRECIO JUEGO]])</f>
        <v>300</v>
      </c>
      <c r="J1087">
        <f>(salidas26[[#This Row],[CANT BARRAS]]*salidas26[[#This Row],[PRECIO BARRA]])</f>
        <v>0</v>
      </c>
      <c r="K1087">
        <v>240</v>
      </c>
      <c r="L1087" t="s">
        <v>465</v>
      </c>
      <c r="M1087" t="s">
        <v>497</v>
      </c>
    </row>
    <row r="1088" spans="1:13">
      <c r="A1088">
        <v>863</v>
      </c>
      <c r="B1088">
        <v>6009</v>
      </c>
      <c r="C10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088" s="32">
        <v>46133</v>
      </c>
      <c r="E10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0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088">
        <v>6</v>
      </c>
      <c r="I1088">
        <f>(salidas26[[#This Row],[CANT JUEGOS ]]*salidas26[[#This Row],[PRECIO JUEGO]])</f>
        <v>0</v>
      </c>
      <c r="J1088">
        <f>(salidas26[[#This Row],[CANT BARRAS]]*salidas26[[#This Row],[PRECIO BARRA]])</f>
        <v>135</v>
      </c>
      <c r="K1088">
        <v>150</v>
      </c>
      <c r="L1088" t="s">
        <v>465</v>
      </c>
      <c r="M1088" t="s">
        <v>797</v>
      </c>
    </row>
    <row r="1089" spans="1:13">
      <c r="A1089">
        <v>865</v>
      </c>
      <c r="B1089">
        <v>8021</v>
      </c>
      <c r="C10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089" s="32">
        <v>46133</v>
      </c>
      <c r="E10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89">
        <v>1</v>
      </c>
      <c r="I1089">
        <f>(salidas26[[#This Row],[CANT JUEGOS ]]*salidas26[[#This Row],[PRECIO JUEGO]])</f>
        <v>60</v>
      </c>
      <c r="J1089">
        <f>(salidas26[[#This Row],[CANT BARRAS]]*salidas26[[#This Row],[PRECIO BARRA]])</f>
        <v>0</v>
      </c>
      <c r="K1089">
        <v>50</v>
      </c>
      <c r="L1089" t="s">
        <v>465</v>
      </c>
      <c r="M1089" t="s">
        <v>815</v>
      </c>
    </row>
    <row r="1090" spans="1:13">
      <c r="A1090">
        <v>866</v>
      </c>
      <c r="B1090">
        <v>6110</v>
      </c>
      <c r="C10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A 4H HISENSE 5L/3V/2B 32E5610- 32V35KB TOSHIBA</v>
      </c>
      <c r="D1090" s="32">
        <v>46133</v>
      </c>
      <c r="E10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9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090">
        <v>1</v>
      </c>
      <c r="I1090">
        <f>(salidas26[[#This Row],[CANT JUEGOS ]]*salidas26[[#This Row],[PRECIO JUEGO]])</f>
        <v>60</v>
      </c>
      <c r="J1090" t="e">
        <f>(salidas26[[#This Row],[CANT BARRAS]]*salidas26[[#This Row],[PRECIO BARRA]])</f>
        <v>#VALUE!</v>
      </c>
      <c r="K1090">
        <v>60</v>
      </c>
      <c r="L1090" t="s">
        <v>465</v>
      </c>
      <c r="M1090" t="s">
        <v>470</v>
      </c>
    </row>
    <row r="1091" spans="1:13">
      <c r="A1091">
        <v>867</v>
      </c>
      <c r="B1091">
        <v>2000</v>
      </c>
      <c r="C10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091" s="32">
        <v>46133</v>
      </c>
      <c r="E10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091">
        <v>1</v>
      </c>
      <c r="I1091">
        <f>(salidas26[[#This Row],[CANT JUEGOS ]]*salidas26[[#This Row],[PRECIO JUEGO]])</f>
        <v>80</v>
      </c>
      <c r="J1091">
        <f>(salidas26[[#This Row],[CANT BARRAS]]*salidas26[[#This Row],[PRECIO BARRA]])</f>
        <v>0</v>
      </c>
      <c r="K1091">
        <v>80</v>
      </c>
      <c r="L1091" t="s">
        <v>465</v>
      </c>
      <c r="M1091" t="s">
        <v>466</v>
      </c>
    </row>
    <row r="1092" spans="1:13">
      <c r="A1092">
        <v>868</v>
      </c>
      <c r="B1092">
        <v>4003</v>
      </c>
      <c r="C10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092" s="32">
        <v>46133</v>
      </c>
      <c r="E10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0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92">
        <v>2</v>
      </c>
      <c r="I1092">
        <f>(salidas26[[#This Row],[CANT JUEGOS ]]*salidas26[[#This Row],[PRECIO JUEGO]])</f>
        <v>180</v>
      </c>
      <c r="J1092">
        <f>(salidas26[[#This Row],[CANT BARRAS]]*salidas26[[#This Row],[PRECIO BARRA]])</f>
        <v>0</v>
      </c>
      <c r="K1092">
        <v>144</v>
      </c>
      <c r="L1092" t="s">
        <v>465</v>
      </c>
      <c r="M1092" t="s">
        <v>497</v>
      </c>
    </row>
    <row r="1093" spans="1:13">
      <c r="A1093">
        <v>869</v>
      </c>
      <c r="B1093">
        <v>1132</v>
      </c>
      <c r="C10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1093" s="32">
        <v>46133</v>
      </c>
      <c r="E10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0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093">
        <v>1</v>
      </c>
      <c r="I1093">
        <f>(salidas26[[#This Row],[CANT JUEGOS ]]*salidas26[[#This Row],[PRECIO JUEGO]])</f>
        <v>260</v>
      </c>
      <c r="J1093">
        <f>(salidas26[[#This Row],[CANT BARRAS]]*salidas26[[#This Row],[PRECIO BARRA]])</f>
        <v>0</v>
      </c>
      <c r="K1093">
        <v>208</v>
      </c>
      <c r="L1093" t="s">
        <v>465</v>
      </c>
      <c r="M1093" t="s">
        <v>497</v>
      </c>
    </row>
    <row r="1094" spans="1:13">
      <c r="A1094">
        <v>870</v>
      </c>
      <c r="B1094">
        <v>8015</v>
      </c>
      <c r="C10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094" s="32">
        <v>46133</v>
      </c>
      <c r="E10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0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094">
        <v>1</v>
      </c>
      <c r="I1094">
        <f>(salidas26[[#This Row],[CANT JUEGOS ]]*salidas26[[#This Row],[PRECIO JUEGO]])</f>
        <v>60</v>
      </c>
      <c r="J1094">
        <f>(salidas26[[#This Row],[CANT BARRAS]]*salidas26[[#This Row],[PRECIO BARRA]])</f>
        <v>0</v>
      </c>
      <c r="K1094">
        <v>60</v>
      </c>
      <c r="L1094" t="s">
        <v>465</v>
      </c>
      <c r="M1094" t="s">
        <v>730</v>
      </c>
    </row>
    <row r="1095" spans="1:13">
      <c r="A1095">
        <v>872</v>
      </c>
      <c r="B1095">
        <v>1003</v>
      </c>
      <c r="C10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1095" s="32">
        <v>46134</v>
      </c>
      <c r="E10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0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095">
        <v>1</v>
      </c>
      <c r="I1095">
        <f>(salidas26[[#This Row],[CANT JUEGOS ]]*salidas26[[#This Row],[PRECIO JUEGO]])</f>
        <v>80</v>
      </c>
      <c r="J1095">
        <f>(salidas26[[#This Row],[CANT BARRAS]]*salidas26[[#This Row],[PRECIO BARRA]])</f>
        <v>0</v>
      </c>
      <c r="K1095">
        <v>80</v>
      </c>
      <c r="L1095" t="s">
        <v>465</v>
      </c>
      <c r="M1095" t="s">
        <v>816</v>
      </c>
    </row>
    <row r="1096" spans="1:13">
      <c r="B1096">
        <v>8098</v>
      </c>
      <c r="C10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1096" s="32">
        <v>46134</v>
      </c>
      <c r="E10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0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096">
        <v>1</v>
      </c>
      <c r="I1096">
        <f>(salidas26[[#This Row],[CANT JUEGOS ]]*salidas26[[#This Row],[PRECIO JUEGO]])</f>
        <v>420</v>
      </c>
      <c r="J1096">
        <f>(salidas26[[#This Row],[CANT BARRAS]]*salidas26[[#This Row],[PRECIO BARRA]])</f>
        <v>0</v>
      </c>
      <c r="M1096" t="s">
        <v>817</v>
      </c>
    </row>
    <row r="1097" spans="1:13">
      <c r="A1097">
        <v>873</v>
      </c>
      <c r="B1097">
        <v>8098</v>
      </c>
      <c r="C10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1097" s="32">
        <v>46134</v>
      </c>
      <c r="E10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0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097">
        <v>1</v>
      </c>
      <c r="H1097">
        <v>1</v>
      </c>
      <c r="I1097">
        <f>(salidas26[[#This Row],[CANT JUEGOS ]]*salidas26[[#This Row],[PRECIO JUEGO]])</f>
        <v>420</v>
      </c>
      <c r="J1097">
        <f>(salidas26[[#This Row],[CANT BARRAS]]*salidas26[[#This Row],[PRECIO BARRA]])</f>
        <v>35</v>
      </c>
      <c r="K1097">
        <v>350</v>
      </c>
      <c r="L1097" t="s">
        <v>465</v>
      </c>
      <c r="M1097" t="s">
        <v>471</v>
      </c>
    </row>
    <row r="1098" spans="1:13">
      <c r="A1098">
        <v>875</v>
      </c>
      <c r="B1098">
        <v>6006</v>
      </c>
      <c r="C10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1098" s="32">
        <v>46134</v>
      </c>
      <c r="E10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10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1098">
        <v>1</v>
      </c>
      <c r="I1098">
        <f>(salidas26[[#This Row],[CANT JUEGOS ]]*salidas26[[#This Row],[PRECIO JUEGO]])</f>
        <v>140</v>
      </c>
      <c r="J1098">
        <f>(salidas26[[#This Row],[CANT BARRAS]]*salidas26[[#This Row],[PRECIO BARRA]])</f>
        <v>0</v>
      </c>
      <c r="K1098">
        <v>150</v>
      </c>
      <c r="L1098" t="s">
        <v>465</v>
      </c>
      <c r="M1098" t="s">
        <v>466</v>
      </c>
    </row>
    <row r="1099" spans="1:13">
      <c r="A1099">
        <v>876</v>
      </c>
      <c r="B1099">
        <v>3040</v>
      </c>
      <c r="C10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HAIER LE65U6500DUA</v>
      </c>
      <c r="D1099" s="32">
        <v>46134</v>
      </c>
      <c r="E10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0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28.125</v>
      </c>
      <c r="G1099">
        <v>1</v>
      </c>
      <c r="I1099">
        <f>(salidas26[[#This Row],[CANT JUEGOS ]]*salidas26[[#This Row],[PRECIO JUEGO]])</f>
        <v>450</v>
      </c>
      <c r="J1099">
        <f>(salidas26[[#This Row],[CANT BARRAS]]*salidas26[[#This Row],[PRECIO BARRA]])</f>
        <v>0</v>
      </c>
      <c r="K1099">
        <v>350</v>
      </c>
      <c r="L1099" t="s">
        <v>496</v>
      </c>
      <c r="M1099" t="s">
        <v>471</v>
      </c>
    </row>
    <row r="1100" spans="1:13">
      <c r="A1100">
        <v>877</v>
      </c>
      <c r="B1100">
        <v>1129</v>
      </c>
      <c r="C11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55UH6500/2B</v>
      </c>
      <c r="D1100" s="32">
        <v>46134</v>
      </c>
      <c r="E11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100">
        <v>1</v>
      </c>
      <c r="I1100">
        <f>(salidas26[[#This Row],[CANT JUEGOS ]]*salidas26[[#This Row],[PRECIO JUEGO]])</f>
        <v>260</v>
      </c>
      <c r="J1100">
        <f>(salidas26[[#This Row],[CANT BARRAS]]*salidas26[[#This Row],[PRECIO BARRA]])</f>
        <v>0</v>
      </c>
      <c r="K1100">
        <v>250</v>
      </c>
      <c r="L1100" t="s">
        <v>465</v>
      </c>
      <c r="M1100" t="s">
        <v>473</v>
      </c>
    </row>
    <row r="1101" spans="1:13">
      <c r="A1101">
        <v>878</v>
      </c>
      <c r="B1101">
        <v>4011</v>
      </c>
      <c r="C11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101" s="32">
        <v>46135</v>
      </c>
      <c r="E11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1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101">
        <v>1</v>
      </c>
      <c r="H1101">
        <v>1</v>
      </c>
      <c r="I1101">
        <f>(salidas26[[#This Row],[CANT JUEGOS ]]*salidas26[[#This Row],[PRECIO JUEGO]])</f>
        <v>160</v>
      </c>
      <c r="J1101">
        <f>(salidas26[[#This Row],[CANT BARRAS]]*salidas26[[#This Row],[PRECIO BARRA]])</f>
        <v>53.333333333333336</v>
      </c>
      <c r="K1101">
        <v>200</v>
      </c>
      <c r="L1101" t="s">
        <v>465</v>
      </c>
      <c r="M1101" t="s">
        <v>818</v>
      </c>
    </row>
    <row r="1102" spans="1:13">
      <c r="A1102">
        <v>879</v>
      </c>
      <c r="B1102">
        <v>2095</v>
      </c>
      <c r="C11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1102" s="32">
        <v>46135</v>
      </c>
      <c r="E11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1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102">
        <v>1</v>
      </c>
      <c r="I1102">
        <f>(salidas26[[#This Row],[CANT JUEGOS ]]*salidas26[[#This Row],[PRECIO JUEGO]])</f>
        <v>250</v>
      </c>
      <c r="J1102">
        <f>(salidas26[[#This Row],[CANT BARRAS]]*salidas26[[#This Row],[PRECIO BARRA]])</f>
        <v>0</v>
      </c>
      <c r="K1102">
        <v>200</v>
      </c>
      <c r="L1102" t="s">
        <v>826</v>
      </c>
      <c r="M1102" t="s">
        <v>818</v>
      </c>
    </row>
    <row r="1103" spans="1:13">
      <c r="A1103">
        <v>881</v>
      </c>
      <c r="B1103">
        <v>5018</v>
      </c>
      <c r="C11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103" s="32">
        <v>46135</v>
      </c>
      <c r="E11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1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H1103">
        <v>8</v>
      </c>
      <c r="I1103">
        <f>(salidas26[[#This Row],[CANT JUEGOS ]]*salidas26[[#This Row],[PRECIO JUEGO]])</f>
        <v>0</v>
      </c>
      <c r="J1103">
        <f>(salidas26[[#This Row],[CANT BARRAS]]*salidas26[[#This Row],[PRECIO BARRA]])</f>
        <v>160</v>
      </c>
      <c r="K1103">
        <v>100</v>
      </c>
      <c r="L1103" t="s">
        <v>496</v>
      </c>
      <c r="M1103" t="s">
        <v>471</v>
      </c>
    </row>
    <row r="1104" spans="1:13">
      <c r="A1104">
        <v>882</v>
      </c>
      <c r="B1104">
        <v>1049</v>
      </c>
      <c r="C11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104" s="32">
        <v>46135</v>
      </c>
      <c r="E11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104">
        <v>1</v>
      </c>
      <c r="I1104">
        <f>(salidas26[[#This Row],[CANT JUEGOS ]]*salidas26[[#This Row],[PRECIO JUEGO]])</f>
        <v>180</v>
      </c>
      <c r="J1104">
        <f>(salidas26[[#This Row],[CANT BARRAS]]*salidas26[[#This Row],[PRECIO BARRA]])</f>
        <v>0</v>
      </c>
      <c r="K1104">
        <v>170</v>
      </c>
      <c r="L1104" t="s">
        <v>465</v>
      </c>
      <c r="M1104" t="s">
        <v>466</v>
      </c>
    </row>
    <row r="1105" spans="1:13">
      <c r="A1105">
        <v>884</v>
      </c>
      <c r="B1105">
        <v>2027</v>
      </c>
      <c r="C11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105" s="32">
        <v>46134</v>
      </c>
      <c r="E11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105">
        <v>2</v>
      </c>
      <c r="I1105">
        <f>(salidas26[[#This Row],[CANT JUEGOS ]]*salidas26[[#This Row],[PRECIO JUEGO]])</f>
        <v>360</v>
      </c>
      <c r="J1105">
        <f>(salidas26[[#This Row],[CANT BARRAS]]*salidas26[[#This Row],[PRECIO BARRA]])</f>
        <v>0</v>
      </c>
      <c r="K1105">
        <v>100</v>
      </c>
      <c r="L1105" t="s">
        <v>496</v>
      </c>
      <c r="M1105" t="s">
        <v>819</v>
      </c>
    </row>
    <row r="1106" spans="1:13">
      <c r="B1106">
        <v>6027</v>
      </c>
      <c r="C11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106" s="32">
        <v>46134</v>
      </c>
      <c r="E11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1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106">
        <v>1</v>
      </c>
      <c r="I1106">
        <f>(salidas26[[#This Row],[CANT JUEGOS ]]*salidas26[[#This Row],[PRECIO JUEGO]])</f>
        <v>280</v>
      </c>
      <c r="J1106">
        <f>(salidas26[[#This Row],[CANT BARRAS]]*salidas26[[#This Row],[PRECIO BARRA]])</f>
        <v>0</v>
      </c>
      <c r="M1106" t="s">
        <v>610</v>
      </c>
    </row>
    <row r="1107" spans="1:13">
      <c r="A1107">
        <v>885</v>
      </c>
      <c r="B1107">
        <v>6027</v>
      </c>
      <c r="C11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107" s="32">
        <v>46134</v>
      </c>
      <c r="E11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1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107">
        <v>8</v>
      </c>
      <c r="I1107">
        <f>(salidas26[[#This Row],[CANT JUEGOS ]]*salidas26[[#This Row],[PRECIO JUEGO]])</f>
        <v>0</v>
      </c>
      <c r="J1107">
        <f>(salidas26[[#This Row],[CANT BARRAS]]*salidas26[[#This Row],[PRECIO BARRA]])</f>
        <v>224</v>
      </c>
      <c r="K1107">
        <v>300</v>
      </c>
      <c r="L1107" t="s">
        <v>496</v>
      </c>
      <c r="M1107" t="s">
        <v>819</v>
      </c>
    </row>
    <row r="1108" spans="1:13">
      <c r="B1108">
        <v>1015</v>
      </c>
      <c r="C11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108" s="32">
        <v>46135</v>
      </c>
      <c r="E11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1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108">
        <v>13</v>
      </c>
      <c r="H1108">
        <v>1</v>
      </c>
      <c r="I1108">
        <f>(salidas26[[#This Row],[CANT JUEGOS ]]*salidas26[[#This Row],[PRECIO JUEGO]])</f>
        <v>1040</v>
      </c>
      <c r="J1108">
        <f>(salidas26[[#This Row],[CANT BARRAS]]*salidas26[[#This Row],[PRECIO BARRA]])</f>
        <v>26.666666666666668</v>
      </c>
      <c r="M1108" t="s">
        <v>820</v>
      </c>
    </row>
    <row r="1109" spans="1:13">
      <c r="B1109">
        <v>5009</v>
      </c>
      <c r="C11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KDL-39R475B - SONY/10B</v>
      </c>
      <c r="D1109" s="32">
        <v>46087</v>
      </c>
      <c r="E11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109">
        <v>1</v>
      </c>
      <c r="I1109">
        <f>(salidas26[[#This Row],[CANT JUEGOS ]]*salidas26[[#This Row],[PRECIO JUEGO]])</f>
        <v>150</v>
      </c>
      <c r="J1109">
        <f>(salidas26[[#This Row],[CANT BARRAS]]*salidas26[[#This Row],[PRECIO BARRA]])</f>
        <v>0</v>
      </c>
      <c r="M1109" t="s">
        <v>800</v>
      </c>
    </row>
    <row r="1110" spans="1:13">
      <c r="A1110">
        <v>887</v>
      </c>
      <c r="B1110">
        <v>5006</v>
      </c>
      <c r="C11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110" s="32">
        <v>46135</v>
      </c>
      <c r="E11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1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10">
        <v>1</v>
      </c>
      <c r="I1110">
        <f>(salidas26[[#This Row],[CANT JUEGOS ]]*salidas26[[#This Row],[PRECIO JUEGO]])</f>
        <v>90</v>
      </c>
      <c r="J1110">
        <f>(salidas26[[#This Row],[CANT BARRAS]]*salidas26[[#This Row],[PRECIO BARRA]])</f>
        <v>0</v>
      </c>
      <c r="K1110">
        <v>80</v>
      </c>
      <c r="L1110" t="s">
        <v>465</v>
      </c>
      <c r="M1110" t="s">
        <v>821</v>
      </c>
    </row>
    <row r="1111" spans="1:13">
      <c r="A1111">
        <v>888</v>
      </c>
      <c r="B1111">
        <v>2036</v>
      </c>
      <c r="C11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111" s="32">
        <v>46135</v>
      </c>
      <c r="E11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111">
        <v>1</v>
      </c>
      <c r="I1111">
        <f>(salidas26[[#This Row],[CANT JUEGOS ]]*salidas26[[#This Row],[PRECIO JUEGO]])</f>
        <v>220</v>
      </c>
      <c r="J1111">
        <f>(salidas26[[#This Row],[CANT BARRAS]]*salidas26[[#This Row],[PRECIO BARRA]])</f>
        <v>0</v>
      </c>
      <c r="K1111">
        <v>220</v>
      </c>
      <c r="L1111" t="s">
        <v>465</v>
      </c>
      <c r="M1111" t="s">
        <v>596</v>
      </c>
    </row>
    <row r="1112" spans="1:13">
      <c r="A1112">
        <v>889</v>
      </c>
      <c r="B1112">
        <v>1033</v>
      </c>
      <c r="C11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112" s="32">
        <v>46135</v>
      </c>
      <c r="E11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112">
        <v>1</v>
      </c>
      <c r="I1112">
        <f>(salidas26[[#This Row],[CANT JUEGOS ]]*salidas26[[#This Row],[PRECIO JUEGO]])</f>
        <v>180</v>
      </c>
      <c r="J1112">
        <f>(salidas26[[#This Row],[CANT BARRAS]]*salidas26[[#This Row],[PRECIO BARRA]])</f>
        <v>0</v>
      </c>
      <c r="K1112">
        <v>180</v>
      </c>
      <c r="L1112" t="s">
        <v>465</v>
      </c>
      <c r="M1112" t="s">
        <v>806</v>
      </c>
    </row>
    <row r="1113" spans="1:13">
      <c r="A1113">
        <v>890</v>
      </c>
      <c r="B1113">
        <v>8087</v>
      </c>
      <c r="C11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PREMIER TV-7130SF55SF/9B</v>
      </c>
      <c r="D1113" s="32">
        <v>46135</v>
      </c>
      <c r="E11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1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113">
        <v>1</v>
      </c>
      <c r="I1113">
        <f>(salidas26[[#This Row],[CANT JUEGOS ]]*salidas26[[#This Row],[PRECIO JUEGO]])</f>
        <v>250</v>
      </c>
      <c r="J1113">
        <f>(salidas26[[#This Row],[CANT BARRAS]]*salidas26[[#This Row],[PRECIO BARRA]])</f>
        <v>0</v>
      </c>
      <c r="K1113">
        <v>170</v>
      </c>
      <c r="L1113" t="s">
        <v>465</v>
      </c>
      <c r="M1113" t="s">
        <v>471</v>
      </c>
    </row>
    <row r="1114" spans="1:13">
      <c r="A1114">
        <v>891</v>
      </c>
      <c r="B1114">
        <v>5006</v>
      </c>
      <c r="C11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114" s="32">
        <v>46135</v>
      </c>
      <c r="E11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1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14">
        <v>1</v>
      </c>
      <c r="I1114">
        <f>(salidas26[[#This Row],[CANT JUEGOS ]]*salidas26[[#This Row],[PRECIO JUEGO]])</f>
        <v>90</v>
      </c>
      <c r="J1114">
        <f>(salidas26[[#This Row],[CANT BARRAS]]*salidas26[[#This Row],[PRECIO BARRA]])</f>
        <v>0</v>
      </c>
      <c r="K1114">
        <v>80</v>
      </c>
      <c r="L1114" t="s">
        <v>465</v>
      </c>
      <c r="M1114" t="s">
        <v>470</v>
      </c>
    </row>
    <row r="1115" spans="1:13">
      <c r="A1115">
        <v>892</v>
      </c>
      <c r="B1115">
        <v>7019</v>
      </c>
      <c r="C11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IRT 12B/6L</v>
      </c>
      <c r="D1115" s="32">
        <v>46135</v>
      </c>
      <c r="E11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11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115">
        <v>1</v>
      </c>
      <c r="I1115">
        <f>(salidas26[[#This Row],[CANT JUEGOS ]]*salidas26[[#This Row],[PRECIO JUEGO]])</f>
        <v>420</v>
      </c>
      <c r="J1115" t="e">
        <f>(salidas26[[#This Row],[CANT BARRAS]]*salidas26[[#This Row],[PRECIO BARRA]])</f>
        <v>#VALUE!</v>
      </c>
      <c r="K1115">
        <v>350</v>
      </c>
      <c r="L1115" t="s">
        <v>465</v>
      </c>
      <c r="M1115" t="s">
        <v>471</v>
      </c>
    </row>
    <row r="1116" spans="1:13">
      <c r="A1116">
        <v>893</v>
      </c>
      <c r="B1116">
        <v>6008</v>
      </c>
      <c r="C11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SKYWORTH SUC9350 8L /3B</v>
      </c>
      <c r="D1116" s="32">
        <v>46136</v>
      </c>
      <c r="E11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116">
        <v>1</v>
      </c>
      <c r="I1116">
        <f>(salidas26[[#This Row],[CANT JUEGOS ]]*salidas26[[#This Row],[PRECIO JUEGO]])</f>
        <v>180</v>
      </c>
      <c r="J1116">
        <f>(salidas26[[#This Row],[CANT BARRAS]]*salidas26[[#This Row],[PRECIO BARRA]])</f>
        <v>0</v>
      </c>
      <c r="K1116">
        <v>180</v>
      </c>
      <c r="L1116" t="s">
        <v>465</v>
      </c>
      <c r="M1116" t="s">
        <v>473</v>
      </c>
    </row>
    <row r="1117" spans="1:13">
      <c r="A1117">
        <v>894</v>
      </c>
      <c r="B1117">
        <v>5001</v>
      </c>
      <c r="C11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KDL-32R405 SONY/4B</v>
      </c>
      <c r="D1117" s="32">
        <v>46136</v>
      </c>
      <c r="E11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1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117">
        <v>1</v>
      </c>
      <c r="I1117">
        <f>(salidas26[[#This Row],[CANT JUEGOS ]]*salidas26[[#This Row],[PRECIO JUEGO]])</f>
        <v>100</v>
      </c>
      <c r="J1117">
        <f>(salidas26[[#This Row],[CANT BARRAS]]*salidas26[[#This Row],[PRECIO BARRA]])</f>
        <v>0</v>
      </c>
      <c r="K1117">
        <v>120</v>
      </c>
      <c r="L1117" t="s">
        <v>465</v>
      </c>
      <c r="M1117" t="s">
        <v>466</v>
      </c>
    </row>
    <row r="1118" spans="1:13">
      <c r="A1118">
        <v>895</v>
      </c>
      <c r="B1118">
        <v>2042</v>
      </c>
      <c r="C11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1118" s="32">
        <v>46136</v>
      </c>
      <c r="E11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118">
        <v>1</v>
      </c>
      <c r="I1118">
        <f>(salidas26[[#This Row],[CANT JUEGOS ]]*salidas26[[#This Row],[PRECIO JUEGO]])</f>
        <v>260</v>
      </c>
      <c r="J1118">
        <f>(salidas26[[#This Row],[CANT BARRAS]]*salidas26[[#This Row],[PRECIO BARRA]])</f>
        <v>0</v>
      </c>
      <c r="K1118">
        <v>230</v>
      </c>
      <c r="L1118" t="s">
        <v>496</v>
      </c>
      <c r="M1118" t="s">
        <v>822</v>
      </c>
    </row>
    <row r="1119" spans="1:13">
      <c r="A1119">
        <v>896</v>
      </c>
      <c r="B1119">
        <v>8015</v>
      </c>
      <c r="C11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119" s="32">
        <v>46136</v>
      </c>
      <c r="E11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19">
        <v>1</v>
      </c>
      <c r="I1119">
        <f>(salidas26[[#This Row],[CANT JUEGOS ]]*salidas26[[#This Row],[PRECIO JUEGO]])</f>
        <v>60</v>
      </c>
      <c r="J1119">
        <f>(salidas26[[#This Row],[CANT BARRAS]]*salidas26[[#This Row],[PRECIO BARRA]])</f>
        <v>0</v>
      </c>
      <c r="K1119">
        <v>60</v>
      </c>
      <c r="L1119" t="s">
        <v>465</v>
      </c>
      <c r="M1119" t="s">
        <v>487</v>
      </c>
    </row>
    <row r="1120" spans="1:13">
      <c r="A1120">
        <v>897</v>
      </c>
      <c r="B1120">
        <v>5038</v>
      </c>
      <c r="C11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KDL-65X725E 2B</v>
      </c>
      <c r="D1120" s="32">
        <v>46136</v>
      </c>
      <c r="E11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1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120">
        <v>1</v>
      </c>
      <c r="I1120">
        <f>(salidas26[[#This Row],[CANT JUEGOS ]]*salidas26[[#This Row],[PRECIO JUEGO]])</f>
        <v>300</v>
      </c>
      <c r="J1120">
        <f>(salidas26[[#This Row],[CANT BARRAS]]*salidas26[[#This Row],[PRECIO BARRA]])</f>
        <v>0</v>
      </c>
      <c r="K1120">
        <v>250</v>
      </c>
      <c r="L1120" t="s">
        <v>465</v>
      </c>
      <c r="M1120" t="s">
        <v>471</v>
      </c>
    </row>
    <row r="1121" spans="1:13">
      <c r="A1121">
        <v>898</v>
      </c>
      <c r="B1121">
        <v>8070</v>
      </c>
      <c r="C11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JVC KB527</v>
      </c>
      <c r="D1121" s="32">
        <v>46136</v>
      </c>
      <c r="E11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1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121">
        <v>1</v>
      </c>
      <c r="I1121">
        <f>(salidas26[[#This Row],[CANT JUEGOS ]]*salidas26[[#This Row],[PRECIO JUEGO]])</f>
        <v>250</v>
      </c>
      <c r="J1121">
        <f>(salidas26[[#This Row],[CANT BARRAS]]*salidas26[[#This Row],[PRECIO BARRA]])</f>
        <v>0</v>
      </c>
      <c r="K1121">
        <v>230</v>
      </c>
      <c r="L1121" t="s">
        <v>496</v>
      </c>
      <c r="M1121" t="s">
        <v>628</v>
      </c>
    </row>
    <row r="1122" spans="1:13">
      <c r="A1122">
        <v>899</v>
      </c>
      <c r="B1122">
        <v>2075</v>
      </c>
      <c r="C11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122" s="32">
        <v>46136</v>
      </c>
      <c r="E11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1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122">
        <v>1</v>
      </c>
      <c r="I1122">
        <f>(salidas26[[#This Row],[CANT JUEGOS ]]*salidas26[[#This Row],[PRECIO JUEGO]])</f>
        <v>200</v>
      </c>
      <c r="J1122">
        <f>(salidas26[[#This Row],[CANT BARRAS]]*salidas26[[#This Row],[PRECIO BARRA]])</f>
        <v>0</v>
      </c>
      <c r="K1122">
        <v>200</v>
      </c>
      <c r="L1122" t="s">
        <v>465</v>
      </c>
      <c r="M1122" t="s">
        <v>628</v>
      </c>
    </row>
    <row r="1123" spans="1:13">
      <c r="A1123">
        <v>900</v>
      </c>
      <c r="B1123">
        <v>6030</v>
      </c>
      <c r="C11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65U9700 TOSHIBA 2B</v>
      </c>
      <c r="D1123" s="32">
        <v>46136</v>
      </c>
      <c r="E11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123">
        <v>1</v>
      </c>
      <c r="I1123">
        <f>(salidas26[[#This Row],[CANT JUEGOS ]]*salidas26[[#This Row],[PRECIO JUEGO]])</f>
        <v>320</v>
      </c>
      <c r="J1123">
        <f>(salidas26[[#This Row],[CANT BARRAS]]*salidas26[[#This Row],[PRECIO BARRA]])</f>
        <v>0</v>
      </c>
      <c r="K1123">
        <v>250</v>
      </c>
      <c r="L1123" t="s">
        <v>465</v>
      </c>
      <c r="M1123" t="s">
        <v>471</v>
      </c>
    </row>
    <row r="1124" spans="1:13">
      <c r="A1124">
        <v>901</v>
      </c>
      <c r="B1124">
        <v>1033</v>
      </c>
      <c r="C11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124" s="32">
        <v>46136</v>
      </c>
      <c r="E11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124">
        <v>1</v>
      </c>
      <c r="I1124">
        <f>(salidas26[[#This Row],[CANT JUEGOS ]]*salidas26[[#This Row],[PRECIO JUEGO]])</f>
        <v>180</v>
      </c>
      <c r="J1124">
        <f>(salidas26[[#This Row],[CANT BARRAS]]*salidas26[[#This Row],[PRECIO BARRA]])</f>
        <v>0</v>
      </c>
      <c r="K1124">
        <v>180</v>
      </c>
      <c r="L1124" t="s">
        <v>465</v>
      </c>
      <c r="M1124" t="s">
        <v>481</v>
      </c>
    </row>
    <row r="1125" spans="1:13">
      <c r="A1125">
        <v>904</v>
      </c>
      <c r="B1125">
        <v>4011</v>
      </c>
      <c r="C11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125" s="32">
        <v>46136</v>
      </c>
      <c r="E11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1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125">
        <v>1</v>
      </c>
      <c r="I1125">
        <f>(salidas26[[#This Row],[CANT JUEGOS ]]*salidas26[[#This Row],[PRECIO JUEGO]])</f>
        <v>160</v>
      </c>
      <c r="J1125">
        <f>(salidas26[[#This Row],[CANT BARRAS]]*salidas26[[#This Row],[PRECIO BARRA]])</f>
        <v>0</v>
      </c>
      <c r="K1125">
        <v>150</v>
      </c>
      <c r="L1125" t="s">
        <v>465</v>
      </c>
      <c r="M1125" t="s">
        <v>804</v>
      </c>
    </row>
    <row r="1126" spans="1:13">
      <c r="A1126">
        <v>905</v>
      </c>
      <c r="B1126">
        <v>6027</v>
      </c>
      <c r="C11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126" s="32">
        <v>46136</v>
      </c>
      <c r="E11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1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126">
        <v>2</v>
      </c>
      <c r="I1126">
        <f>(salidas26[[#This Row],[CANT JUEGOS ]]*salidas26[[#This Row],[PRECIO JUEGO]])</f>
        <v>0</v>
      </c>
      <c r="J1126">
        <f>(salidas26[[#This Row],[CANT BARRAS]]*salidas26[[#This Row],[PRECIO BARRA]])</f>
        <v>56</v>
      </c>
      <c r="K1126">
        <v>50</v>
      </c>
      <c r="L1126" t="s">
        <v>465</v>
      </c>
      <c r="M1126" t="s">
        <v>804</v>
      </c>
    </row>
    <row r="1127" spans="1:13">
      <c r="A1127">
        <v>906</v>
      </c>
      <c r="B1127">
        <v>1069</v>
      </c>
      <c r="C11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127" s="32">
        <v>46136</v>
      </c>
      <c r="E11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1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127">
        <v>1</v>
      </c>
      <c r="I1127">
        <f>(salidas26[[#This Row],[CANT JUEGOS ]]*salidas26[[#This Row],[PRECIO JUEGO]])</f>
        <v>250</v>
      </c>
      <c r="J1127">
        <f>(salidas26[[#This Row],[CANT BARRAS]]*salidas26[[#This Row],[PRECIO BARRA]])</f>
        <v>0</v>
      </c>
      <c r="K1127">
        <v>250</v>
      </c>
      <c r="L1127" t="s">
        <v>496</v>
      </c>
      <c r="M1127" t="s">
        <v>823</v>
      </c>
    </row>
    <row r="1128" spans="1:13">
      <c r="A1128">
        <v>907</v>
      </c>
      <c r="B1128">
        <v>8124</v>
      </c>
      <c r="C11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1128" s="32">
        <v>46136</v>
      </c>
      <c r="E11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1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128">
        <v>5</v>
      </c>
      <c r="I1128">
        <f>(salidas26[[#This Row],[CANT JUEGOS ]]*salidas26[[#This Row],[PRECIO JUEGO]])</f>
        <v>0</v>
      </c>
      <c r="J1128">
        <f>(salidas26[[#This Row],[CANT BARRAS]]*salidas26[[#This Row],[PRECIO BARRA]])</f>
        <v>17.5</v>
      </c>
      <c r="K1128">
        <v>20</v>
      </c>
      <c r="L1128" t="s">
        <v>465</v>
      </c>
      <c r="M1128" t="s">
        <v>470</v>
      </c>
    </row>
    <row r="1129" spans="1:13">
      <c r="A1129">
        <v>908</v>
      </c>
      <c r="B1129">
        <v>8067</v>
      </c>
      <c r="C11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129" s="32">
        <v>46137</v>
      </c>
      <c r="E11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129">
        <v>1</v>
      </c>
      <c r="I1129">
        <f>(salidas26[[#This Row],[CANT JUEGOS ]]*salidas26[[#This Row],[PRECIO JUEGO]])</f>
        <v>220</v>
      </c>
      <c r="J1129">
        <f>(salidas26[[#This Row],[CANT BARRAS]]*salidas26[[#This Row],[PRECIO BARRA]])</f>
        <v>0</v>
      </c>
      <c r="K1129">
        <v>220</v>
      </c>
      <c r="L1129" t="s">
        <v>465</v>
      </c>
      <c r="M1129" t="s">
        <v>482</v>
      </c>
    </row>
    <row r="1130" spans="1:13">
      <c r="A1130">
        <v>909</v>
      </c>
      <c r="B1130">
        <v>8095</v>
      </c>
      <c r="C11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1130" s="32">
        <v>46137</v>
      </c>
      <c r="E11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1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30">
        <v>1</v>
      </c>
      <c r="I1130">
        <f>(salidas26[[#This Row],[CANT JUEGOS ]]*salidas26[[#This Row],[PRECIO JUEGO]])</f>
        <v>300</v>
      </c>
      <c r="J1130">
        <f>(salidas26[[#This Row],[CANT BARRAS]]*salidas26[[#This Row],[PRECIO BARRA]])</f>
        <v>0</v>
      </c>
      <c r="K1130">
        <v>280</v>
      </c>
      <c r="L1130" t="s">
        <v>465</v>
      </c>
      <c r="M1130" t="s">
        <v>824</v>
      </c>
    </row>
    <row r="1131" spans="1:13">
      <c r="A1131">
        <v>910</v>
      </c>
      <c r="B1131">
        <v>6131</v>
      </c>
      <c r="C11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1131" s="32">
        <v>46137</v>
      </c>
      <c r="E11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1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1131">
        <v>12</v>
      </c>
      <c r="I1131">
        <f>(salidas26[[#This Row],[CANT JUEGOS ]]*salidas26[[#This Row],[PRECIO JUEGO]])</f>
        <v>0</v>
      </c>
      <c r="J1131">
        <f>(salidas26[[#This Row],[CANT BARRAS]]*salidas26[[#This Row],[PRECIO BARRA]])</f>
        <v>400</v>
      </c>
      <c r="K1131">
        <v>380</v>
      </c>
      <c r="L1131" t="s">
        <v>465</v>
      </c>
      <c r="M1131" t="s">
        <v>466</v>
      </c>
    </row>
    <row r="1132" spans="1:13">
      <c r="A1132">
        <v>911</v>
      </c>
      <c r="B1132">
        <v>6016</v>
      </c>
      <c r="C11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132" s="32">
        <v>46137</v>
      </c>
      <c r="E11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1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32">
        <v>1</v>
      </c>
      <c r="I1132">
        <f>(salidas26[[#This Row],[CANT JUEGOS ]]*salidas26[[#This Row],[PRECIO JUEGO]])</f>
        <v>240</v>
      </c>
      <c r="J1132">
        <f>(salidas26[[#This Row],[CANT BARRAS]]*salidas26[[#This Row],[PRECIO BARRA]])</f>
        <v>0</v>
      </c>
      <c r="K1132">
        <v>220</v>
      </c>
      <c r="L1132" t="s">
        <v>465</v>
      </c>
      <c r="M1132" t="s">
        <v>536</v>
      </c>
    </row>
    <row r="1133" spans="1:13">
      <c r="A1133">
        <v>913</v>
      </c>
      <c r="B1133">
        <v>1033</v>
      </c>
      <c r="C11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133" s="32">
        <v>46137</v>
      </c>
      <c r="E11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133">
        <v>1</v>
      </c>
      <c r="I1133">
        <f>(salidas26[[#This Row],[CANT JUEGOS ]]*salidas26[[#This Row],[PRECIO JUEGO]])</f>
        <v>180</v>
      </c>
      <c r="J1133">
        <f>(salidas26[[#This Row],[CANT BARRAS]]*salidas26[[#This Row],[PRECIO BARRA]])</f>
        <v>0</v>
      </c>
      <c r="K1133">
        <v>180</v>
      </c>
      <c r="L1133" t="s">
        <v>496</v>
      </c>
      <c r="M1133" t="s">
        <v>825</v>
      </c>
    </row>
    <row r="1134" spans="1:13">
      <c r="A1134">
        <v>914</v>
      </c>
      <c r="B1134">
        <v>8024</v>
      </c>
      <c r="C11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1134" s="32">
        <v>46137</v>
      </c>
      <c r="E11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134">
        <v>1</v>
      </c>
      <c r="I1134">
        <f>(salidas26[[#This Row],[CANT JUEGOS ]]*salidas26[[#This Row],[PRECIO JUEGO]])</f>
        <v>150</v>
      </c>
      <c r="J1134">
        <f>(salidas26[[#This Row],[CANT BARRAS]]*salidas26[[#This Row],[PRECIO BARRA]])</f>
        <v>0</v>
      </c>
      <c r="K1134">
        <v>150</v>
      </c>
      <c r="L1134" t="s">
        <v>465</v>
      </c>
      <c r="M1134" t="s">
        <v>481</v>
      </c>
    </row>
    <row r="1135" spans="1:13">
      <c r="A1135">
        <v>915</v>
      </c>
      <c r="B1135">
        <v>2075</v>
      </c>
      <c r="C11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135" s="32">
        <v>46137</v>
      </c>
      <c r="E11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1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135">
        <v>1</v>
      </c>
      <c r="I1135">
        <f>(salidas26[[#This Row],[CANT JUEGOS ]]*salidas26[[#This Row],[PRECIO JUEGO]])</f>
        <v>200</v>
      </c>
      <c r="J1135">
        <f>(salidas26[[#This Row],[CANT BARRAS]]*salidas26[[#This Row],[PRECIO BARRA]])</f>
        <v>0</v>
      </c>
      <c r="K1135">
        <v>150</v>
      </c>
      <c r="L1135" t="s">
        <v>496</v>
      </c>
      <c r="M1135" t="s">
        <v>470</v>
      </c>
    </row>
    <row r="1136" spans="1:13">
      <c r="A1136">
        <v>916</v>
      </c>
      <c r="B1136">
        <v>6030</v>
      </c>
      <c r="C11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65U9700 TOSHIBA 2B</v>
      </c>
      <c r="D1136" s="32">
        <v>46137</v>
      </c>
      <c r="E11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136">
        <v>1</v>
      </c>
      <c r="I1136">
        <f>(salidas26[[#This Row],[CANT JUEGOS ]]*salidas26[[#This Row],[PRECIO JUEGO]])</f>
        <v>320</v>
      </c>
      <c r="J1136">
        <f>(salidas26[[#This Row],[CANT BARRAS]]*salidas26[[#This Row],[PRECIO BARRA]])</f>
        <v>0</v>
      </c>
      <c r="K1136">
        <v>300</v>
      </c>
      <c r="L1136" t="s">
        <v>465</v>
      </c>
      <c r="M1136" t="s">
        <v>471</v>
      </c>
    </row>
    <row r="1137" spans="1:13">
      <c r="A1137">
        <v>917</v>
      </c>
      <c r="B1137">
        <v>6029</v>
      </c>
      <c r="C11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MASTER G MGU5810X 5L/10B
58G2 Skyworth</v>
      </c>
      <c r="D1137" s="32">
        <v>46139</v>
      </c>
      <c r="E11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1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1137">
        <v>2</v>
      </c>
      <c r="I1137">
        <f>(salidas26[[#This Row],[CANT JUEGOS ]]*salidas26[[#This Row],[PRECIO JUEGO]])</f>
        <v>0</v>
      </c>
      <c r="J1137">
        <f>(salidas26[[#This Row],[CANT BARRAS]]*salidas26[[#This Row],[PRECIO BARRA]])</f>
        <v>60</v>
      </c>
      <c r="K1137">
        <v>50</v>
      </c>
      <c r="L1137" t="s">
        <v>465</v>
      </c>
      <c r="M1137" t="s">
        <v>481</v>
      </c>
    </row>
    <row r="1138" spans="1:13">
      <c r="A1138">
        <v>918</v>
      </c>
      <c r="B1138">
        <v>4009</v>
      </c>
      <c r="C11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138" s="32">
        <v>46139</v>
      </c>
      <c r="E11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1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138">
        <v>1</v>
      </c>
      <c r="I1138">
        <f>(salidas26[[#This Row],[CANT JUEGOS ]]*salidas26[[#This Row],[PRECIO JUEGO]])</f>
        <v>160</v>
      </c>
      <c r="J1138">
        <f>(salidas26[[#This Row],[CANT BARRAS]]*salidas26[[#This Row],[PRECIO BARRA]])</f>
        <v>0</v>
      </c>
      <c r="K1138">
        <v>160</v>
      </c>
      <c r="L1138" t="s">
        <v>465</v>
      </c>
      <c r="M1138" t="s">
        <v>523</v>
      </c>
    </row>
    <row r="1139" spans="1:13">
      <c r="A1139">
        <v>920</v>
      </c>
      <c r="B1139">
        <v>8024</v>
      </c>
      <c r="C11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1139" s="32">
        <v>46139</v>
      </c>
      <c r="E11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139">
        <v>1</v>
      </c>
      <c r="I1139">
        <f>(salidas26[[#This Row],[CANT JUEGOS ]]*salidas26[[#This Row],[PRECIO JUEGO]])</f>
        <v>150</v>
      </c>
      <c r="J1139">
        <f>(salidas26[[#This Row],[CANT BARRAS]]*salidas26[[#This Row],[PRECIO BARRA]])</f>
        <v>0</v>
      </c>
      <c r="K1139">
        <v>140</v>
      </c>
      <c r="L1139" t="s">
        <v>465</v>
      </c>
      <c r="M1139" t="s">
        <v>797</v>
      </c>
    </row>
    <row r="1140" spans="1:13">
      <c r="B1140">
        <v>8012</v>
      </c>
      <c r="C11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140" s="32">
        <v>46139</v>
      </c>
      <c r="E11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1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40">
        <v>1</v>
      </c>
      <c r="I1140">
        <f>(salidas26[[#This Row],[CANT JUEGOS ]]*salidas26[[#This Row],[PRECIO JUEGO]])</f>
        <v>100</v>
      </c>
      <c r="J1140">
        <f>(salidas26[[#This Row],[CANT BARRAS]]*salidas26[[#This Row],[PRECIO BARRA]])</f>
        <v>0</v>
      </c>
      <c r="M1140" t="s">
        <v>800</v>
      </c>
    </row>
    <row r="1141" spans="1:13">
      <c r="A1141">
        <v>922</v>
      </c>
      <c r="B1141">
        <v>8012</v>
      </c>
      <c r="C11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141" s="32">
        <v>46139</v>
      </c>
      <c r="E11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1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41">
        <v>1</v>
      </c>
      <c r="H1141">
        <v>1</v>
      </c>
      <c r="I1141">
        <f>(salidas26[[#This Row],[CANT JUEGOS ]]*salidas26[[#This Row],[PRECIO JUEGO]])</f>
        <v>100</v>
      </c>
      <c r="J1141">
        <f>(salidas26[[#This Row],[CANT BARRAS]]*salidas26[[#This Row],[PRECIO BARRA]])</f>
        <v>50</v>
      </c>
      <c r="K1141">
        <v>120</v>
      </c>
      <c r="L1141" t="s">
        <v>496</v>
      </c>
      <c r="M1141" t="s">
        <v>828</v>
      </c>
    </row>
    <row r="1142" spans="1:13">
      <c r="A1142">
        <v>923</v>
      </c>
      <c r="B1142">
        <v>5018</v>
      </c>
      <c r="C11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142" s="32">
        <v>46139</v>
      </c>
      <c r="E11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1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142">
        <v>1</v>
      </c>
      <c r="I1142">
        <f>(salidas26[[#This Row],[CANT JUEGOS ]]*salidas26[[#This Row],[PRECIO JUEGO]])</f>
        <v>200</v>
      </c>
      <c r="J1142">
        <f>(salidas26[[#This Row],[CANT BARRAS]]*salidas26[[#This Row],[PRECIO BARRA]])</f>
        <v>0</v>
      </c>
      <c r="K1142">
        <v>180</v>
      </c>
      <c r="L1142" t="s">
        <v>465</v>
      </c>
      <c r="M1142" t="s">
        <v>730</v>
      </c>
    </row>
    <row r="1143" spans="1:13">
      <c r="A1143">
        <v>924</v>
      </c>
      <c r="B1143">
        <v>5000</v>
      </c>
      <c r="C11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KDL-32R425A SONY/3B</v>
      </c>
      <c r="D1143" s="32">
        <v>46139</v>
      </c>
      <c r="E11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1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43">
        <v>1</v>
      </c>
      <c r="I1143">
        <f>(salidas26[[#This Row],[CANT JUEGOS ]]*salidas26[[#This Row],[PRECIO JUEGO]])</f>
        <v>90</v>
      </c>
      <c r="J1143">
        <f>(salidas26[[#This Row],[CANT BARRAS]]*salidas26[[#This Row],[PRECIO BARRA]])</f>
        <v>0</v>
      </c>
      <c r="K1143">
        <v>90</v>
      </c>
      <c r="L1143" t="s">
        <v>465</v>
      </c>
      <c r="M1143" t="s">
        <v>508</v>
      </c>
    </row>
    <row r="1144" spans="1:13">
      <c r="A1144">
        <v>925</v>
      </c>
      <c r="B1144">
        <v>1060</v>
      </c>
      <c r="C11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43LH-LF 5100/6B</v>
      </c>
      <c r="D1144" s="32">
        <v>46139</v>
      </c>
      <c r="E11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44">
        <v>1</v>
      </c>
      <c r="I1144">
        <f>(salidas26[[#This Row],[CANT JUEGOS ]]*salidas26[[#This Row],[PRECIO JUEGO]])</f>
        <v>180</v>
      </c>
      <c r="J1144">
        <f>(salidas26[[#This Row],[CANT BARRAS]]*salidas26[[#This Row],[PRECIO BARRA]])</f>
        <v>0</v>
      </c>
      <c r="K1144">
        <v>180</v>
      </c>
      <c r="L1144" t="s">
        <v>465</v>
      </c>
      <c r="M1144" t="s">
        <v>466</v>
      </c>
    </row>
    <row r="1145" spans="1:13">
      <c r="A1145">
        <v>926</v>
      </c>
      <c r="B1145">
        <v>8000</v>
      </c>
      <c r="C11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1145" s="32">
        <v>46139</v>
      </c>
      <c r="E11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45">
        <v>1</v>
      </c>
      <c r="I1145">
        <f>(salidas26[[#This Row],[CANT JUEGOS ]]*salidas26[[#This Row],[PRECIO JUEGO]])</f>
        <v>60</v>
      </c>
      <c r="J1145">
        <f>(salidas26[[#This Row],[CANT BARRAS]]*salidas26[[#This Row],[PRECIO BARRA]])</f>
        <v>0</v>
      </c>
      <c r="K1145">
        <v>60</v>
      </c>
      <c r="L1145" t="s">
        <v>496</v>
      </c>
      <c r="M1145" t="s">
        <v>507</v>
      </c>
    </row>
    <row r="1146" spans="1:13">
      <c r="A1146">
        <v>927</v>
      </c>
      <c r="B1146">
        <v>6030</v>
      </c>
      <c r="C11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65U9700 TOSHIBA 2B</v>
      </c>
      <c r="D1146" s="32">
        <v>46139</v>
      </c>
      <c r="E11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146">
        <v>1</v>
      </c>
      <c r="I1146">
        <f>(salidas26[[#This Row],[CANT JUEGOS ]]*salidas26[[#This Row],[PRECIO JUEGO]])</f>
        <v>320</v>
      </c>
      <c r="J1146">
        <f>(salidas26[[#This Row],[CANT BARRAS]]*salidas26[[#This Row],[PRECIO BARRA]])</f>
        <v>0</v>
      </c>
      <c r="K1146">
        <v>300</v>
      </c>
      <c r="L1146" t="s">
        <v>496</v>
      </c>
      <c r="M1146" t="s">
        <v>471</v>
      </c>
    </row>
    <row r="1147" spans="1:13">
      <c r="A1147">
        <v>928</v>
      </c>
      <c r="B1147">
        <v>6021</v>
      </c>
      <c r="C11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1147" s="32">
        <v>46139</v>
      </c>
      <c r="E11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1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147">
        <v>1</v>
      </c>
      <c r="I1147">
        <f>(salidas26[[#This Row],[CANT JUEGOS ]]*salidas26[[#This Row],[PRECIO JUEGO]])</f>
        <v>300</v>
      </c>
      <c r="J1147">
        <f>(salidas26[[#This Row],[CANT BARRAS]]*salidas26[[#This Row],[PRECIO BARRA]])</f>
        <v>0</v>
      </c>
      <c r="K1147">
        <v>280</v>
      </c>
      <c r="L1147" t="s">
        <v>496</v>
      </c>
      <c r="M1147" t="s">
        <v>469</v>
      </c>
    </row>
    <row r="1148" spans="1:13">
      <c r="A1148">
        <v>929</v>
      </c>
      <c r="B1148">
        <v>1036</v>
      </c>
      <c r="C11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148" s="32">
        <v>46139</v>
      </c>
      <c r="E11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148">
        <v>1</v>
      </c>
      <c r="I1148">
        <f>(salidas26[[#This Row],[CANT JUEGOS ]]*salidas26[[#This Row],[PRECIO JUEGO]])</f>
        <v>180</v>
      </c>
      <c r="J1148">
        <f>(salidas26[[#This Row],[CANT BARRAS]]*salidas26[[#This Row],[PRECIO BARRA]])</f>
        <v>0</v>
      </c>
      <c r="K1148">
        <v>180</v>
      </c>
      <c r="L1148" t="s">
        <v>465</v>
      </c>
      <c r="M1148" t="s">
        <v>829</v>
      </c>
    </row>
    <row r="1149" spans="1:13">
      <c r="A1149">
        <v>931</v>
      </c>
      <c r="B1149">
        <v>6015</v>
      </c>
      <c r="C11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149" s="32">
        <v>46139</v>
      </c>
      <c r="E11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149">
        <v>1</v>
      </c>
      <c r="I1149">
        <f>(salidas26[[#This Row],[CANT JUEGOS ]]*salidas26[[#This Row],[PRECIO JUEGO]])</f>
        <v>220</v>
      </c>
      <c r="J1149">
        <f>(salidas26[[#This Row],[CANT BARRAS]]*salidas26[[#This Row],[PRECIO BARRA]])</f>
        <v>0</v>
      </c>
      <c r="K1149">
        <v>180</v>
      </c>
      <c r="L1149" t="s">
        <v>465</v>
      </c>
      <c r="M1149" t="s">
        <v>471</v>
      </c>
    </row>
    <row r="1150" spans="1:13">
      <c r="A1150">
        <v>932</v>
      </c>
      <c r="B1150">
        <v>1065</v>
      </c>
      <c r="C11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43UM7300</v>
      </c>
      <c r="D1150" s="32">
        <v>46139</v>
      </c>
      <c r="E11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5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150">
        <v>1</v>
      </c>
      <c r="I1150">
        <f>(salidas26[[#This Row],[CANT JUEGOS ]]*salidas26[[#This Row],[PRECIO JUEGO]])</f>
        <v>180</v>
      </c>
      <c r="J1150" t="e">
        <f>(salidas26[[#This Row],[CANT BARRAS]]*salidas26[[#This Row],[PRECIO BARRA]])</f>
        <v>#VALUE!</v>
      </c>
      <c r="K1150">
        <v>150</v>
      </c>
      <c r="L1150" t="s">
        <v>465</v>
      </c>
      <c r="M1150" t="s">
        <v>471</v>
      </c>
    </row>
    <row r="1151" spans="1:13">
      <c r="A1151">
        <v>933</v>
      </c>
      <c r="B1151" t="s">
        <v>846</v>
      </c>
      <c r="C11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UH 4B</v>
      </c>
      <c r="D1151" s="32">
        <v>46139</v>
      </c>
      <c r="E11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700</v>
      </c>
      <c r="F115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151">
        <v>1</v>
      </c>
      <c r="I1151">
        <f>(salidas26[[#This Row],[CANT JUEGOS ]]*salidas26[[#This Row],[PRECIO JUEGO]])</f>
        <v>700</v>
      </c>
      <c r="J1151" t="e">
        <f>(salidas26[[#This Row],[CANT BARRAS]]*salidas26[[#This Row],[PRECIO BARRA]])</f>
        <v>#VALUE!</v>
      </c>
      <c r="K1151">
        <v>540</v>
      </c>
      <c r="L1151" t="s">
        <v>496</v>
      </c>
      <c r="M1151" t="s">
        <v>509</v>
      </c>
    </row>
    <row r="1152" spans="1:13">
      <c r="A1152">
        <v>934</v>
      </c>
      <c r="B1152">
        <v>1117</v>
      </c>
      <c r="C11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152" s="32">
        <v>46140</v>
      </c>
      <c r="E11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1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152">
        <v>1</v>
      </c>
      <c r="I1152">
        <f>(salidas26[[#This Row],[CANT JUEGOS ]]*salidas26[[#This Row],[PRECIO JUEGO]])</f>
        <v>350</v>
      </c>
      <c r="J1152">
        <f>(salidas26[[#This Row],[CANT BARRAS]]*salidas26[[#This Row],[PRECIO BARRA]])</f>
        <v>0</v>
      </c>
      <c r="K1152">
        <v>340</v>
      </c>
      <c r="L1152" t="s">
        <v>465</v>
      </c>
      <c r="M1152" t="s">
        <v>523</v>
      </c>
    </row>
    <row r="1153" spans="1:13">
      <c r="A1153">
        <v>935</v>
      </c>
      <c r="B1153">
        <v>3003</v>
      </c>
      <c r="C11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153" s="32">
        <v>46140</v>
      </c>
      <c r="E11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1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153">
        <v>1</v>
      </c>
      <c r="I1153">
        <f>(salidas26[[#This Row],[CANT JUEGOS ]]*salidas26[[#This Row],[PRECIO JUEGO]])</f>
        <v>160</v>
      </c>
      <c r="J1153">
        <f>(salidas26[[#This Row],[CANT BARRAS]]*salidas26[[#This Row],[PRECIO BARRA]])</f>
        <v>0</v>
      </c>
      <c r="K1153">
        <v>160</v>
      </c>
      <c r="L1153" t="s">
        <v>465</v>
      </c>
      <c r="M1153" t="s">
        <v>821</v>
      </c>
    </row>
    <row r="1154" spans="1:13">
      <c r="A1154">
        <v>936</v>
      </c>
      <c r="B1154">
        <v>2042</v>
      </c>
      <c r="C11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1154" s="32">
        <v>46140</v>
      </c>
      <c r="E11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154">
        <v>1</v>
      </c>
      <c r="I1154">
        <f>(salidas26[[#This Row],[CANT JUEGOS ]]*salidas26[[#This Row],[PRECIO JUEGO]])</f>
        <v>260</v>
      </c>
      <c r="J1154">
        <f>(salidas26[[#This Row],[CANT BARRAS]]*salidas26[[#This Row],[PRECIO BARRA]])</f>
        <v>0</v>
      </c>
      <c r="K1154">
        <v>250</v>
      </c>
      <c r="L1154" t="s">
        <v>465</v>
      </c>
      <c r="M1154" t="s">
        <v>523</v>
      </c>
    </row>
    <row r="1155" spans="1:13">
      <c r="A1155">
        <v>937</v>
      </c>
      <c r="B1155">
        <v>2000</v>
      </c>
      <c r="C11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155" s="32">
        <v>46140</v>
      </c>
      <c r="E11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1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155">
        <v>1</v>
      </c>
      <c r="I1155">
        <f>(salidas26[[#This Row],[CANT JUEGOS ]]*salidas26[[#This Row],[PRECIO JUEGO]])</f>
        <v>80</v>
      </c>
      <c r="J1155">
        <f>(salidas26[[#This Row],[CANT BARRAS]]*salidas26[[#This Row],[PRECIO BARRA]])</f>
        <v>0</v>
      </c>
      <c r="K1155">
        <v>70</v>
      </c>
      <c r="L1155" t="s">
        <v>465</v>
      </c>
      <c r="M1155" t="s">
        <v>471</v>
      </c>
    </row>
    <row r="1156" spans="1:13">
      <c r="A1156">
        <v>938</v>
      </c>
      <c r="B1156">
        <v>4018</v>
      </c>
      <c r="C11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1156" s="32">
        <v>46140</v>
      </c>
      <c r="E11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1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156">
        <v>1</v>
      </c>
      <c r="I1156">
        <f>(salidas26[[#This Row],[CANT JUEGOS ]]*salidas26[[#This Row],[PRECIO JUEGO]])</f>
        <v>200</v>
      </c>
      <c r="J1156">
        <f>(salidas26[[#This Row],[CANT BARRAS]]*salidas26[[#This Row],[PRECIO BARRA]])</f>
        <v>0</v>
      </c>
      <c r="K1156">
        <v>160</v>
      </c>
      <c r="L1156" t="s">
        <v>465</v>
      </c>
      <c r="M1156" t="s">
        <v>497</v>
      </c>
    </row>
    <row r="1157" spans="1:13">
      <c r="A1157">
        <v>939</v>
      </c>
      <c r="B1157">
        <v>1036</v>
      </c>
      <c r="C11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157" s="32">
        <v>46140</v>
      </c>
      <c r="E11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157">
        <v>1</v>
      </c>
      <c r="I1157">
        <f>(salidas26[[#This Row],[CANT JUEGOS ]]*salidas26[[#This Row],[PRECIO JUEGO]])</f>
        <v>180</v>
      </c>
      <c r="J1157">
        <f>(salidas26[[#This Row],[CANT BARRAS]]*salidas26[[#This Row],[PRECIO BARRA]])</f>
        <v>0</v>
      </c>
      <c r="K1157">
        <v>144</v>
      </c>
      <c r="L1157" t="s">
        <v>465</v>
      </c>
      <c r="M1157" t="s">
        <v>497</v>
      </c>
    </row>
    <row r="1158" spans="1:13">
      <c r="A1158">
        <v>940</v>
      </c>
      <c r="B1158">
        <v>8124</v>
      </c>
      <c r="C11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1158" s="32">
        <v>46140</v>
      </c>
      <c r="E11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1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158">
        <v>72</v>
      </c>
      <c r="I1158">
        <f>(salidas26[[#This Row],[CANT JUEGOS ]]*salidas26[[#This Row],[PRECIO JUEGO]])</f>
        <v>0</v>
      </c>
      <c r="J1158">
        <f>(salidas26[[#This Row],[CANT BARRAS]]*salidas26[[#This Row],[PRECIO BARRA]])</f>
        <v>252</v>
      </c>
      <c r="K1158">
        <v>250</v>
      </c>
      <c r="L1158" t="s">
        <v>465</v>
      </c>
      <c r="M1158" t="s">
        <v>523</v>
      </c>
    </row>
    <row r="1159" spans="1:13">
      <c r="A1159">
        <v>941</v>
      </c>
      <c r="B1159">
        <v>8067</v>
      </c>
      <c r="C11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159" s="32">
        <v>46140</v>
      </c>
      <c r="E11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159">
        <v>1</v>
      </c>
      <c r="I1159">
        <f>(salidas26[[#This Row],[CANT JUEGOS ]]*salidas26[[#This Row],[PRECIO JUEGO]])</f>
        <v>220</v>
      </c>
      <c r="J1159">
        <f>(salidas26[[#This Row],[CANT BARRAS]]*salidas26[[#This Row],[PRECIO BARRA]])</f>
        <v>0</v>
      </c>
      <c r="K1159">
        <v>200</v>
      </c>
      <c r="L1159" t="s">
        <v>465</v>
      </c>
      <c r="M1159" t="s">
        <v>830</v>
      </c>
    </row>
    <row r="1160" spans="1:13">
      <c r="A1160">
        <v>942</v>
      </c>
      <c r="B1160">
        <v>8124</v>
      </c>
      <c r="C11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1160" s="32">
        <v>46140</v>
      </c>
      <c r="E11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1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160">
        <v>12</v>
      </c>
      <c r="I1160">
        <f>(salidas26[[#This Row],[CANT JUEGOS ]]*salidas26[[#This Row],[PRECIO JUEGO]])</f>
        <v>0</v>
      </c>
      <c r="J1160">
        <f>(salidas26[[#This Row],[CANT BARRAS]]*salidas26[[#This Row],[PRECIO BARRA]])</f>
        <v>42</v>
      </c>
      <c r="K1160">
        <v>42</v>
      </c>
      <c r="L1160" t="s">
        <v>496</v>
      </c>
      <c r="M1160" t="s">
        <v>507</v>
      </c>
    </row>
    <row r="1161" spans="1:13">
      <c r="A1161">
        <v>943</v>
      </c>
      <c r="B1161">
        <v>2042</v>
      </c>
      <c r="C11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1161" s="32">
        <v>46140</v>
      </c>
      <c r="E11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161">
        <v>1</v>
      </c>
      <c r="H1161">
        <v>1</v>
      </c>
      <c r="I1161">
        <f>(salidas26[[#This Row],[CANT JUEGOS ]]*salidas26[[#This Row],[PRECIO JUEGO]])</f>
        <v>260</v>
      </c>
      <c r="J1161">
        <f>(salidas26[[#This Row],[CANT BARRAS]]*salidas26[[#This Row],[PRECIO BARRA]])</f>
        <v>32.5</v>
      </c>
      <c r="M1161" t="s">
        <v>831</v>
      </c>
    </row>
    <row r="1162" spans="1:13">
      <c r="A1162">
        <v>944</v>
      </c>
      <c r="B1162">
        <v>4003</v>
      </c>
      <c r="C11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162" s="32">
        <v>46141</v>
      </c>
      <c r="E11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1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62">
        <v>1</v>
      </c>
      <c r="I1162">
        <f>(salidas26[[#This Row],[CANT JUEGOS ]]*salidas26[[#This Row],[PRECIO JUEGO]])</f>
        <v>90</v>
      </c>
      <c r="J1162">
        <f>(salidas26[[#This Row],[CANT BARRAS]]*salidas26[[#This Row],[PRECIO BARRA]])</f>
        <v>0</v>
      </c>
      <c r="K1162">
        <v>90</v>
      </c>
      <c r="L1162" t="s">
        <v>465</v>
      </c>
      <c r="M1162" t="s">
        <v>682</v>
      </c>
    </row>
    <row r="1163" spans="1:13">
      <c r="A1163">
        <v>945</v>
      </c>
      <c r="B1163">
        <v>7004</v>
      </c>
      <c r="C11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163" s="32">
        <v>46141</v>
      </c>
      <c r="E11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63">
        <v>1</v>
      </c>
      <c r="I1163">
        <f>(salidas26[[#This Row],[CANT JUEGOS ]]*salidas26[[#This Row],[PRECIO JUEGO]])</f>
        <v>150</v>
      </c>
      <c r="J1163">
        <f>(salidas26[[#This Row],[CANT BARRAS]]*salidas26[[#This Row],[PRECIO BARRA]])</f>
        <v>0</v>
      </c>
      <c r="K1163">
        <v>140</v>
      </c>
      <c r="L1163" t="s">
        <v>496</v>
      </c>
      <c r="M1163" t="s">
        <v>822</v>
      </c>
    </row>
    <row r="1164" spans="1:13">
      <c r="A1164">
        <v>946</v>
      </c>
      <c r="B1164">
        <v>5010</v>
      </c>
      <c r="C11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1164" s="32">
        <v>46141</v>
      </c>
      <c r="E11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164">
        <v>1</v>
      </c>
      <c r="I1164">
        <f>(salidas26[[#This Row],[CANT JUEGOS ]]*salidas26[[#This Row],[PRECIO JUEGO]])</f>
        <v>180</v>
      </c>
      <c r="J1164">
        <f>(salidas26[[#This Row],[CANT BARRAS]]*salidas26[[#This Row],[PRECIO BARRA]])</f>
        <v>0</v>
      </c>
      <c r="K1164">
        <v>200</v>
      </c>
      <c r="L1164" t="s">
        <v>465</v>
      </c>
      <c r="M1164" t="s">
        <v>484</v>
      </c>
    </row>
    <row r="1165" spans="1:13">
      <c r="A1165">
        <v>947</v>
      </c>
      <c r="B1165">
        <v>2051</v>
      </c>
      <c r="C11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1165" s="32">
        <v>46141</v>
      </c>
      <c r="E11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165">
        <v>1</v>
      </c>
      <c r="I1165">
        <f>(salidas26[[#This Row],[CANT JUEGOS ]]*salidas26[[#This Row],[PRECIO JUEGO]])</f>
        <v>260</v>
      </c>
      <c r="J1165">
        <f>(salidas26[[#This Row],[CANT BARRAS]]*salidas26[[#This Row],[PRECIO BARRA]])</f>
        <v>0</v>
      </c>
      <c r="K1165">
        <v>250</v>
      </c>
      <c r="L1165" t="s">
        <v>465</v>
      </c>
      <c r="M1165" t="s">
        <v>466</v>
      </c>
    </row>
    <row r="1166" spans="1:13">
      <c r="A1166">
        <v>949</v>
      </c>
      <c r="B1166">
        <v>7004</v>
      </c>
      <c r="C11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166" s="32">
        <v>46141</v>
      </c>
      <c r="E11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66">
        <v>1</v>
      </c>
      <c r="I1166">
        <f>(salidas26[[#This Row],[CANT JUEGOS ]]*salidas26[[#This Row],[PRECIO JUEGO]])</f>
        <v>150</v>
      </c>
      <c r="J1166">
        <f>(salidas26[[#This Row],[CANT BARRAS]]*salidas26[[#This Row],[PRECIO BARRA]])</f>
        <v>0</v>
      </c>
      <c r="K1166">
        <v>140</v>
      </c>
      <c r="L1166" t="s">
        <v>496</v>
      </c>
      <c r="M1166" t="s">
        <v>482</v>
      </c>
    </row>
    <row r="1167" spans="1:13">
      <c r="A1167">
        <v>950</v>
      </c>
      <c r="B1167">
        <v>1057</v>
      </c>
      <c r="C11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43UJ6560-LUPA GIGANTE/4B</v>
      </c>
      <c r="D1167" s="32">
        <v>46141</v>
      </c>
      <c r="E11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167">
        <v>1</v>
      </c>
      <c r="I1167">
        <f>(salidas26[[#This Row],[CANT JUEGOS ]]*salidas26[[#This Row],[PRECIO JUEGO]])</f>
        <v>180</v>
      </c>
      <c r="J1167">
        <f>(salidas26[[#This Row],[CANT BARRAS]]*salidas26[[#This Row],[PRECIO BARRA]])</f>
        <v>0</v>
      </c>
      <c r="K1167">
        <v>140</v>
      </c>
      <c r="L1167" t="s">
        <v>465</v>
      </c>
      <c r="M1167" t="s">
        <v>523</v>
      </c>
    </row>
    <row r="1168" spans="1:13">
      <c r="A1168">
        <v>951</v>
      </c>
      <c r="B1168">
        <v>4001</v>
      </c>
      <c r="C11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D2900 TCL</v>
      </c>
      <c r="D1168" s="32">
        <v>46141</v>
      </c>
      <c r="E11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68">
        <v>1</v>
      </c>
      <c r="I1168">
        <f>(salidas26[[#This Row],[CANT JUEGOS ]]*salidas26[[#This Row],[PRECIO JUEGO]])</f>
        <v>60</v>
      </c>
      <c r="J1168">
        <f>(salidas26[[#This Row],[CANT BARRAS]]*salidas26[[#This Row],[PRECIO BARRA]])</f>
        <v>0</v>
      </c>
      <c r="K1168">
        <v>60</v>
      </c>
      <c r="L1168" t="s">
        <v>496</v>
      </c>
      <c r="M1168" t="s">
        <v>522</v>
      </c>
    </row>
    <row r="1169" spans="1:13">
      <c r="A1169">
        <v>952</v>
      </c>
      <c r="B1169">
        <v>6001</v>
      </c>
      <c r="C11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D1169" s="32">
        <v>46141</v>
      </c>
      <c r="E11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1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169">
        <v>1</v>
      </c>
      <c r="I1169">
        <f>(salidas26[[#This Row],[CANT JUEGOS ]]*salidas26[[#This Row],[PRECIO JUEGO]])</f>
        <v>80</v>
      </c>
      <c r="J1169">
        <f>(salidas26[[#This Row],[CANT BARRAS]]*salidas26[[#This Row],[PRECIO BARRA]])</f>
        <v>0</v>
      </c>
      <c r="K1169">
        <v>50</v>
      </c>
      <c r="L1169" t="s">
        <v>465</v>
      </c>
      <c r="M1169" t="s">
        <v>523</v>
      </c>
    </row>
    <row r="1170" spans="1:13">
      <c r="A1170">
        <v>953</v>
      </c>
      <c r="B1170">
        <v>6011</v>
      </c>
      <c r="C11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TOSHIBA C350KB</v>
      </c>
      <c r="D1170" s="32">
        <v>46141</v>
      </c>
      <c r="E11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170">
        <v>1</v>
      </c>
      <c r="I1170">
        <f>(salidas26[[#This Row],[CANT JUEGOS ]]*salidas26[[#This Row],[PRECIO JUEGO]])</f>
        <v>180</v>
      </c>
      <c r="J1170">
        <f>(salidas26[[#This Row],[CANT BARRAS]]*salidas26[[#This Row],[PRECIO BARRA]])</f>
        <v>0</v>
      </c>
      <c r="K1170">
        <v>180</v>
      </c>
      <c r="L1170" t="s">
        <v>465</v>
      </c>
      <c r="M1170" t="s">
        <v>481</v>
      </c>
    </row>
    <row r="1171" spans="1:13">
      <c r="A1171">
        <v>955</v>
      </c>
      <c r="B1171">
        <v>2097</v>
      </c>
      <c r="C11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1171" s="32">
        <v>46142</v>
      </c>
      <c r="E11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171">
        <v>1</v>
      </c>
      <c r="I1171">
        <f>(salidas26[[#This Row],[CANT JUEGOS ]]*salidas26[[#This Row],[PRECIO JUEGO]])</f>
        <v>320</v>
      </c>
      <c r="J1171">
        <f>(salidas26[[#This Row],[CANT BARRAS]]*salidas26[[#This Row],[PRECIO BARRA]])</f>
        <v>0</v>
      </c>
      <c r="K1171">
        <v>300</v>
      </c>
      <c r="L1171" t="s">
        <v>465</v>
      </c>
      <c r="M1171" t="s">
        <v>797</v>
      </c>
    </row>
    <row r="1172" spans="1:13">
      <c r="A1172">
        <v>956</v>
      </c>
      <c r="B1172">
        <v>2051</v>
      </c>
      <c r="C11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1172" s="32">
        <v>46142</v>
      </c>
      <c r="E11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172">
        <v>1</v>
      </c>
      <c r="I1172">
        <f>(salidas26[[#This Row],[CANT JUEGOS ]]*salidas26[[#This Row],[PRECIO JUEGO]])</f>
        <v>260</v>
      </c>
      <c r="J1172">
        <f>(salidas26[[#This Row],[CANT BARRAS]]*salidas26[[#This Row],[PRECIO BARRA]])</f>
        <v>0</v>
      </c>
      <c r="K1172">
        <v>250</v>
      </c>
      <c r="L1172" t="s">
        <v>465</v>
      </c>
      <c r="M1172" t="s">
        <v>522</v>
      </c>
    </row>
    <row r="1173" spans="1:13">
      <c r="A1173">
        <v>957</v>
      </c>
      <c r="B1173">
        <v>6024</v>
      </c>
      <c r="C11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173" s="32">
        <v>46142</v>
      </c>
      <c r="E11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1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173">
        <v>1</v>
      </c>
      <c r="H1173">
        <v>4</v>
      </c>
      <c r="I1173">
        <f>(salidas26[[#This Row],[CANT JUEGOS ]]*salidas26[[#This Row],[PRECIO JUEGO]])</f>
        <v>300</v>
      </c>
      <c r="J1173">
        <f>(salidas26[[#This Row],[CANT BARRAS]]*salidas26[[#This Row],[PRECIO BARRA]])</f>
        <v>100</v>
      </c>
      <c r="K1173">
        <v>100</v>
      </c>
      <c r="L1173" t="s">
        <v>465</v>
      </c>
      <c r="M1173" t="s">
        <v>471</v>
      </c>
    </row>
    <row r="1174" spans="1:13">
      <c r="A1174">
        <v>958</v>
      </c>
      <c r="B1174">
        <v>2089</v>
      </c>
      <c r="C11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UN58TU7100 8B/6L 3V-58TU7000</v>
      </c>
      <c r="D1174" s="32">
        <v>46142</v>
      </c>
      <c r="E11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174">
        <v>1</v>
      </c>
      <c r="I1174">
        <f>(salidas26[[#This Row],[CANT JUEGOS ]]*salidas26[[#This Row],[PRECIO JUEGO]])</f>
        <v>320</v>
      </c>
      <c r="J1174">
        <f>(salidas26[[#This Row],[CANT BARRAS]]*salidas26[[#This Row],[PRECIO BARRA]])</f>
        <v>0</v>
      </c>
      <c r="K1174">
        <v>256</v>
      </c>
      <c r="L1174" t="s">
        <v>465</v>
      </c>
      <c r="M1174" t="s">
        <v>497</v>
      </c>
    </row>
    <row r="1175" spans="1:13">
      <c r="A1175">
        <v>959</v>
      </c>
      <c r="B1175">
        <v>1003</v>
      </c>
      <c r="C11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1175" s="32">
        <v>46142</v>
      </c>
      <c r="E11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1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175">
        <v>1</v>
      </c>
      <c r="I1175">
        <f>(salidas26[[#This Row],[CANT JUEGOS ]]*salidas26[[#This Row],[PRECIO JUEGO]])</f>
        <v>80</v>
      </c>
      <c r="J1175">
        <f>(salidas26[[#This Row],[CANT BARRAS]]*salidas26[[#This Row],[PRECIO BARRA]])</f>
        <v>0</v>
      </c>
      <c r="K1175">
        <v>64</v>
      </c>
      <c r="L1175" t="s">
        <v>465</v>
      </c>
      <c r="M1175" t="s">
        <v>497</v>
      </c>
    </row>
    <row r="1176" spans="1:13">
      <c r="A1176">
        <v>960</v>
      </c>
      <c r="B1176">
        <v>8123</v>
      </c>
      <c r="C11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1176" s="32">
        <v>46142</v>
      </c>
      <c r="E11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1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176">
        <v>20</v>
      </c>
      <c r="I1176">
        <f>(salidas26[[#This Row],[CANT JUEGOS ]]*salidas26[[#This Row],[PRECIO JUEGO]])</f>
        <v>0</v>
      </c>
      <c r="J1176">
        <f>(salidas26[[#This Row],[CANT BARRAS]]*salidas26[[#This Row],[PRECIO BARRA]])</f>
        <v>70</v>
      </c>
      <c r="K1176">
        <v>56</v>
      </c>
      <c r="L1176" t="s">
        <v>465</v>
      </c>
      <c r="M1176" t="s">
        <v>497</v>
      </c>
    </row>
    <row r="1177" spans="1:13">
      <c r="A1177">
        <v>961</v>
      </c>
      <c r="B1177">
        <v>6000</v>
      </c>
      <c r="C11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177" s="32">
        <v>46142</v>
      </c>
      <c r="E11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77">
        <v>1</v>
      </c>
      <c r="I1177">
        <f>(salidas26[[#This Row],[CANT JUEGOS ]]*salidas26[[#This Row],[PRECIO JUEGO]])</f>
        <v>60</v>
      </c>
      <c r="J1177">
        <f>(salidas26[[#This Row],[CANT BARRAS]]*salidas26[[#This Row],[PRECIO BARRA]])</f>
        <v>0</v>
      </c>
      <c r="K1177">
        <v>50</v>
      </c>
      <c r="L1177" t="s">
        <v>496</v>
      </c>
      <c r="M1177" t="s">
        <v>468</v>
      </c>
    </row>
    <row r="1178" spans="1:13">
      <c r="A1178">
        <v>962</v>
      </c>
      <c r="B1178">
        <v>2087</v>
      </c>
      <c r="C11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178" s="32">
        <v>46142</v>
      </c>
      <c r="E11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1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178">
        <v>1</v>
      </c>
      <c r="I1178">
        <f>(salidas26[[#This Row],[CANT JUEGOS ]]*salidas26[[#This Row],[PRECIO JUEGO]])</f>
        <v>240</v>
      </c>
      <c r="J1178">
        <f>(salidas26[[#This Row],[CANT BARRAS]]*salidas26[[#This Row],[PRECIO BARRA]])</f>
        <v>0</v>
      </c>
      <c r="K1178">
        <v>200</v>
      </c>
      <c r="L1178" t="s">
        <v>465</v>
      </c>
      <c r="M1178" t="s">
        <v>471</v>
      </c>
    </row>
    <row r="1179" spans="1:13">
      <c r="A1179">
        <v>963</v>
      </c>
      <c r="B1179">
        <v>2087</v>
      </c>
      <c r="C11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179" s="32">
        <v>46142</v>
      </c>
      <c r="E11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1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179">
        <v>1</v>
      </c>
      <c r="I1179">
        <f>(salidas26[[#This Row],[CANT JUEGOS ]]*salidas26[[#This Row],[PRECIO JUEGO]])</f>
        <v>240</v>
      </c>
      <c r="J1179">
        <f>(salidas26[[#This Row],[CANT BARRAS]]*salidas26[[#This Row],[PRECIO BARRA]])</f>
        <v>0</v>
      </c>
      <c r="K1179">
        <v>150</v>
      </c>
      <c r="L1179" t="s">
        <v>496</v>
      </c>
      <c r="M1179" t="s">
        <v>862</v>
      </c>
    </row>
    <row r="1180" spans="1:13">
      <c r="A1180">
        <v>964</v>
      </c>
      <c r="B1180">
        <v>6012</v>
      </c>
      <c r="C11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1180" s="32">
        <v>46142</v>
      </c>
      <c r="E11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180">
        <v>1</v>
      </c>
      <c r="I1180">
        <f>(salidas26[[#This Row],[CANT JUEGOS ]]*salidas26[[#This Row],[PRECIO JUEGO]])</f>
        <v>220</v>
      </c>
      <c r="J1180">
        <f>(salidas26[[#This Row],[CANT BARRAS]]*salidas26[[#This Row],[PRECIO BARRA]])</f>
        <v>0</v>
      </c>
      <c r="K1180">
        <v>200</v>
      </c>
      <c r="L1180" t="s">
        <v>465</v>
      </c>
      <c r="M1180" t="s">
        <v>483</v>
      </c>
    </row>
    <row r="1181" spans="1:13">
      <c r="A1181">
        <v>965</v>
      </c>
      <c r="B1181">
        <v>6131</v>
      </c>
      <c r="C11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 10B SUC Y EN OTRO MODELO 12 BARRAS</v>
      </c>
      <c r="D1181" s="32">
        <v>46142</v>
      </c>
      <c r="E11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1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H1181">
        <v>10</v>
      </c>
      <c r="I1181">
        <f>(salidas26[[#This Row],[CANT JUEGOS ]]*salidas26[[#This Row],[PRECIO JUEGO]])</f>
        <v>0</v>
      </c>
      <c r="J1181">
        <f>(salidas26[[#This Row],[CANT BARRAS]]*salidas26[[#This Row],[PRECIO BARRA]])</f>
        <v>333.33333333333337</v>
      </c>
      <c r="K1181">
        <v>400</v>
      </c>
      <c r="L1181" t="s">
        <v>496</v>
      </c>
      <c r="M1181" t="s">
        <v>468</v>
      </c>
    </row>
    <row r="1182" spans="1:13">
      <c r="A1182">
        <v>966</v>
      </c>
      <c r="B1182">
        <v>8056</v>
      </c>
      <c r="C11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182" s="32">
        <v>46142</v>
      </c>
      <c r="E11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182">
        <v>1</v>
      </c>
      <c r="I1182">
        <f>(salidas26[[#This Row],[CANT JUEGOS ]]*salidas26[[#This Row],[PRECIO JUEGO]])</f>
        <v>180</v>
      </c>
      <c r="J1182">
        <f>(salidas26[[#This Row],[CANT BARRAS]]*salidas26[[#This Row],[PRECIO BARRA]])</f>
        <v>0</v>
      </c>
      <c r="K1182">
        <v>180</v>
      </c>
      <c r="L1182" t="s">
        <v>465</v>
      </c>
      <c r="M1182" t="s">
        <v>481</v>
      </c>
    </row>
    <row r="1183" spans="1:13">
      <c r="A1183">
        <v>968</v>
      </c>
      <c r="B1183">
        <v>2051</v>
      </c>
      <c r="C11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UN49J5290/8B</v>
      </c>
      <c r="D1183" s="32">
        <v>46142</v>
      </c>
      <c r="E11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1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183">
        <v>1</v>
      </c>
      <c r="I1183">
        <f>(salidas26[[#This Row],[CANT JUEGOS ]]*salidas26[[#This Row],[PRECIO JUEGO]])</f>
        <v>260</v>
      </c>
      <c r="J1183">
        <f>(salidas26[[#This Row],[CANT BARRAS]]*salidas26[[#This Row],[PRECIO BARRA]])</f>
        <v>0</v>
      </c>
      <c r="K1183">
        <v>250</v>
      </c>
      <c r="L1183" t="s">
        <v>496</v>
      </c>
      <c r="M1183" t="s">
        <v>522</v>
      </c>
    </row>
    <row r="1184" spans="1:13">
      <c r="A1184">
        <v>969</v>
      </c>
      <c r="B1184">
        <v>6015</v>
      </c>
      <c r="C11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184" s="32">
        <v>46144</v>
      </c>
      <c r="E11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184">
        <v>1</v>
      </c>
      <c r="I1184">
        <f>(salidas26[[#This Row],[CANT JUEGOS ]]*salidas26[[#This Row],[PRECIO JUEGO]])</f>
        <v>220</v>
      </c>
      <c r="J1184">
        <f>(salidas26[[#This Row],[CANT BARRAS]]*salidas26[[#This Row],[PRECIO BARRA]])</f>
        <v>0</v>
      </c>
      <c r="K1184">
        <v>200</v>
      </c>
      <c r="L1184" t="s">
        <v>564</v>
      </c>
      <c r="M1184" t="s">
        <v>628</v>
      </c>
    </row>
    <row r="1185" spans="1:13">
      <c r="A1185">
        <v>970</v>
      </c>
      <c r="B1185">
        <v>1033</v>
      </c>
      <c r="C11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185" s="32">
        <v>46144</v>
      </c>
      <c r="E11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1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185">
        <v>1</v>
      </c>
      <c r="I1185">
        <f>(salidas26[[#This Row],[CANT JUEGOS ]]*salidas26[[#This Row],[PRECIO JUEGO]])</f>
        <v>180</v>
      </c>
      <c r="J1185">
        <f>(salidas26[[#This Row],[CANT BARRAS]]*salidas26[[#This Row],[PRECIO BARRA]])</f>
        <v>0</v>
      </c>
      <c r="K1185">
        <v>180</v>
      </c>
      <c r="L1185" t="s">
        <v>496</v>
      </c>
      <c r="M1185" t="s">
        <v>628</v>
      </c>
    </row>
    <row r="1186" spans="1:13">
      <c r="A1186">
        <v>971</v>
      </c>
      <c r="B1186">
        <v>5006</v>
      </c>
      <c r="C11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186" s="32">
        <v>46144</v>
      </c>
      <c r="E11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1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86">
        <v>1</v>
      </c>
      <c r="I1186">
        <f>(salidas26[[#This Row],[CANT JUEGOS ]]*salidas26[[#This Row],[PRECIO JUEGO]])</f>
        <v>90</v>
      </c>
      <c r="J1186">
        <f>(salidas26[[#This Row],[CANT BARRAS]]*salidas26[[#This Row],[PRECIO BARRA]])</f>
        <v>0</v>
      </c>
      <c r="K1186">
        <v>90</v>
      </c>
      <c r="L1186" t="s">
        <v>496</v>
      </c>
      <c r="M1186" t="s">
        <v>630</v>
      </c>
    </row>
    <row r="1187" spans="1:13">
      <c r="A1187">
        <v>972</v>
      </c>
      <c r="B1187">
        <v>4010</v>
      </c>
      <c r="C11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187" s="32">
        <v>46144</v>
      </c>
      <c r="E11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1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187">
        <v>1</v>
      </c>
      <c r="I1187">
        <f>(salidas26[[#This Row],[CANT JUEGOS ]]*salidas26[[#This Row],[PRECIO JUEGO]])</f>
        <v>160</v>
      </c>
      <c r="J1187">
        <f>(salidas26[[#This Row],[CANT BARRAS]]*salidas26[[#This Row],[PRECIO BARRA]])</f>
        <v>0</v>
      </c>
      <c r="M1187" t="s">
        <v>715</v>
      </c>
    </row>
    <row r="1188" spans="1:13">
      <c r="A1188">
        <v>973</v>
      </c>
      <c r="B1188">
        <v>2036</v>
      </c>
      <c r="C11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188" s="32">
        <v>46144</v>
      </c>
      <c r="E11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1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188">
        <v>1</v>
      </c>
      <c r="I1188">
        <f>(salidas26[[#This Row],[CANT JUEGOS ]]*salidas26[[#This Row],[PRECIO JUEGO]])</f>
        <v>220</v>
      </c>
      <c r="J1188">
        <f>(salidas26[[#This Row],[CANT BARRAS]]*salidas26[[#This Row],[PRECIO BARRA]])</f>
        <v>0</v>
      </c>
      <c r="K1188">
        <v>220</v>
      </c>
      <c r="L1188" t="s">
        <v>465</v>
      </c>
      <c r="M1188" t="s">
        <v>542</v>
      </c>
    </row>
    <row r="1189" spans="1:13">
      <c r="A1189">
        <v>974</v>
      </c>
      <c r="B1189">
        <v>8015</v>
      </c>
      <c r="C11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189" s="32">
        <v>46144</v>
      </c>
      <c r="E11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89">
        <v>1</v>
      </c>
      <c r="I1189">
        <f>(salidas26[[#This Row],[CANT JUEGOS ]]*salidas26[[#This Row],[PRECIO JUEGO]])</f>
        <v>60</v>
      </c>
      <c r="J1189">
        <f>(salidas26[[#This Row],[CANT BARRAS]]*salidas26[[#This Row],[PRECIO BARRA]])</f>
        <v>0</v>
      </c>
      <c r="K1189">
        <v>50</v>
      </c>
      <c r="M1189" t="s">
        <v>481</v>
      </c>
    </row>
    <row r="1190" spans="1:13">
      <c r="A1190">
        <v>975</v>
      </c>
      <c r="B1190">
        <v>8095</v>
      </c>
      <c r="C11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1190" s="32">
        <v>46144</v>
      </c>
      <c r="E11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1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90">
        <v>1</v>
      </c>
      <c r="I1190">
        <f>(salidas26[[#This Row],[CANT JUEGOS ]]*salidas26[[#This Row],[PRECIO JUEGO]])</f>
        <v>300</v>
      </c>
      <c r="J1190">
        <f>(salidas26[[#This Row],[CANT BARRAS]]*salidas26[[#This Row],[PRECIO BARRA]])</f>
        <v>0</v>
      </c>
      <c r="K1190">
        <v>300</v>
      </c>
      <c r="L1190" t="s">
        <v>465</v>
      </c>
      <c r="M1190" t="s">
        <v>677</v>
      </c>
    </row>
    <row r="1191" spans="1:13">
      <c r="A1191">
        <v>976</v>
      </c>
      <c r="B1191">
        <v>8000</v>
      </c>
      <c r="C11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1191" s="32">
        <v>46144</v>
      </c>
      <c r="E11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91">
        <v>1</v>
      </c>
      <c r="I1191">
        <f>(salidas26[[#This Row],[CANT JUEGOS ]]*salidas26[[#This Row],[PRECIO JUEGO]])</f>
        <v>60</v>
      </c>
      <c r="J1191">
        <f>(salidas26[[#This Row],[CANT BARRAS]]*salidas26[[#This Row],[PRECIO BARRA]])</f>
        <v>0</v>
      </c>
      <c r="K1191">
        <v>30</v>
      </c>
      <c r="L1191" t="s">
        <v>465</v>
      </c>
      <c r="M1191" t="s">
        <v>471</v>
      </c>
    </row>
    <row r="1192" spans="1:13">
      <c r="A1192">
        <v>977</v>
      </c>
      <c r="B1192" t="s">
        <v>856</v>
      </c>
      <c r="C11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TB 7000 SKYWORTH 2B/7LED </v>
      </c>
      <c r="D1192" s="32">
        <v>46144</v>
      </c>
      <c r="E11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9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192">
        <v>1</v>
      </c>
      <c r="I1192">
        <f>(salidas26[[#This Row],[CANT JUEGOS ]]*salidas26[[#This Row],[PRECIO JUEGO]])</f>
        <v>60</v>
      </c>
      <c r="J1192" t="e">
        <f>(salidas26[[#This Row],[CANT BARRAS]]*salidas26[[#This Row],[PRECIO BARRA]])</f>
        <v>#VALUE!</v>
      </c>
      <c r="K1192">
        <v>60</v>
      </c>
      <c r="L1192" t="s">
        <v>465</v>
      </c>
      <c r="M1192" t="s">
        <v>481</v>
      </c>
    </row>
    <row r="1193" spans="1:13">
      <c r="A1193">
        <v>978</v>
      </c>
      <c r="B1193">
        <v>7004</v>
      </c>
      <c r="C11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193" s="32">
        <v>46144</v>
      </c>
      <c r="E11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93">
        <v>1</v>
      </c>
      <c r="I1193">
        <f>(salidas26[[#This Row],[CANT JUEGOS ]]*salidas26[[#This Row],[PRECIO JUEGO]])</f>
        <v>150</v>
      </c>
      <c r="J1193">
        <f>(salidas26[[#This Row],[CANT BARRAS]]*salidas26[[#This Row],[PRECIO BARRA]])</f>
        <v>0</v>
      </c>
      <c r="K1193">
        <v>140</v>
      </c>
      <c r="L1193" t="s">
        <v>465</v>
      </c>
      <c r="M1193" t="s">
        <v>474</v>
      </c>
    </row>
    <row r="1194" spans="1:13">
      <c r="A1194">
        <v>980</v>
      </c>
      <c r="B1194" t="s">
        <v>839</v>
      </c>
      <c r="C11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 GMGUF55WK</v>
      </c>
      <c r="D1194" s="32">
        <v>46144</v>
      </c>
      <c r="E11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19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194">
        <v>1</v>
      </c>
      <c r="I1194">
        <f>(salidas26[[#This Row],[CANT JUEGOS ]]*salidas26[[#This Row],[PRECIO JUEGO]])</f>
        <v>320</v>
      </c>
      <c r="J1194" t="e">
        <f>(salidas26[[#This Row],[CANT BARRAS]]*salidas26[[#This Row],[PRECIO BARRA]])</f>
        <v>#VALUE!</v>
      </c>
      <c r="K1194">
        <v>300</v>
      </c>
      <c r="L1194" t="s">
        <v>496</v>
      </c>
      <c r="M1194" t="s">
        <v>466</v>
      </c>
    </row>
    <row r="1195" spans="1:13">
      <c r="A1195">
        <v>981</v>
      </c>
      <c r="B1195">
        <v>8015</v>
      </c>
      <c r="C11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195" s="32">
        <v>46146</v>
      </c>
      <c r="E11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1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95">
        <v>1</v>
      </c>
      <c r="I1195">
        <f>(salidas26[[#This Row],[CANT JUEGOS ]]*salidas26[[#This Row],[PRECIO JUEGO]])</f>
        <v>60</v>
      </c>
      <c r="J1195">
        <f>(salidas26[[#This Row],[CANT BARRAS]]*salidas26[[#This Row],[PRECIO BARRA]])</f>
        <v>0</v>
      </c>
      <c r="K1195">
        <v>50</v>
      </c>
      <c r="L1195" t="s">
        <v>465</v>
      </c>
      <c r="M1195" t="s">
        <v>471</v>
      </c>
    </row>
    <row r="1196" spans="1:13">
      <c r="A1196">
        <v>982</v>
      </c>
      <c r="B1196">
        <v>5030</v>
      </c>
      <c r="C11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KDL-49X705/8B</v>
      </c>
      <c r="D1196" s="32">
        <v>46146</v>
      </c>
      <c r="E11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1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96">
        <v>1</v>
      </c>
      <c r="I1196">
        <f>(salidas26[[#This Row],[CANT JUEGOS ]]*salidas26[[#This Row],[PRECIO JUEGO]])</f>
        <v>240</v>
      </c>
      <c r="J1196">
        <f>(salidas26[[#This Row],[CANT BARRAS]]*salidas26[[#This Row],[PRECIO BARRA]])</f>
        <v>0</v>
      </c>
      <c r="K1196">
        <v>220</v>
      </c>
      <c r="L1196" t="s">
        <v>496</v>
      </c>
      <c r="M1196" t="s">
        <v>480</v>
      </c>
    </row>
    <row r="1197" spans="1:13">
      <c r="A1197">
        <v>984</v>
      </c>
      <c r="B1197">
        <v>1012</v>
      </c>
      <c r="C11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197" s="32">
        <v>46146</v>
      </c>
      <c r="E11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1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197">
        <v>1</v>
      </c>
      <c r="I1197">
        <f>(salidas26[[#This Row],[CANT JUEGOS ]]*salidas26[[#This Row],[PRECIO JUEGO]])</f>
        <v>90</v>
      </c>
      <c r="J1197">
        <f>(salidas26[[#This Row],[CANT BARRAS]]*salidas26[[#This Row],[PRECIO BARRA]])</f>
        <v>0</v>
      </c>
      <c r="K1197">
        <v>80</v>
      </c>
      <c r="L1197" t="s">
        <v>496</v>
      </c>
    </row>
    <row r="1198" spans="1:13">
      <c r="A1198">
        <v>985</v>
      </c>
      <c r="B1198">
        <v>8033</v>
      </c>
      <c r="C11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198" s="32">
        <v>46146</v>
      </c>
      <c r="E11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1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198">
        <v>1</v>
      </c>
      <c r="I1198">
        <f>(salidas26[[#This Row],[CANT JUEGOS ]]*salidas26[[#This Row],[PRECIO JUEGO]])</f>
        <v>150</v>
      </c>
      <c r="J1198">
        <f>(salidas26[[#This Row],[CANT BARRAS]]*salidas26[[#This Row],[PRECIO BARRA]])</f>
        <v>0</v>
      </c>
      <c r="L1198" t="s">
        <v>465</v>
      </c>
      <c r="M1198" t="s">
        <v>863</v>
      </c>
    </row>
    <row r="1199" spans="1:13">
      <c r="A1199">
        <v>986</v>
      </c>
      <c r="B1199">
        <v>1078</v>
      </c>
      <c r="C11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1199" s="32">
        <v>46146</v>
      </c>
      <c r="E11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1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199">
        <v>1</v>
      </c>
      <c r="I1199">
        <f>(salidas26[[#This Row],[CANT JUEGOS ]]*salidas26[[#This Row],[PRECIO JUEGO]])</f>
        <v>280</v>
      </c>
      <c r="J1199">
        <f>(salidas26[[#This Row],[CANT BARRAS]]*salidas26[[#This Row],[PRECIO BARRA]])</f>
        <v>0</v>
      </c>
      <c r="K1199">
        <v>270</v>
      </c>
      <c r="L1199" t="s">
        <v>465</v>
      </c>
      <c r="M1199" t="s">
        <v>522</v>
      </c>
    </row>
    <row r="1200" spans="1:13">
      <c r="A1200">
        <v>987</v>
      </c>
      <c r="B1200">
        <v>6022</v>
      </c>
      <c r="C12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200" s="32">
        <v>46146</v>
      </c>
      <c r="E12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2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200">
        <v>1</v>
      </c>
      <c r="I1200">
        <f>(salidas26[[#This Row],[CANT JUEGOS ]]*salidas26[[#This Row],[PRECIO JUEGO]])</f>
        <v>350</v>
      </c>
      <c r="J1200">
        <f>(salidas26[[#This Row],[CANT BARRAS]]*salidas26[[#This Row],[PRECIO BARRA]])</f>
        <v>0</v>
      </c>
      <c r="K1200">
        <v>320</v>
      </c>
      <c r="L1200" t="s">
        <v>465</v>
      </c>
      <c r="M1200" t="s">
        <v>794</v>
      </c>
    </row>
    <row r="1201" spans="1:13">
      <c r="A1201">
        <v>988</v>
      </c>
      <c r="B1201">
        <v>2075</v>
      </c>
      <c r="C12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201" s="32">
        <v>46146</v>
      </c>
      <c r="E12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2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201">
        <v>1</v>
      </c>
      <c r="I1201">
        <f>(salidas26[[#This Row],[CANT JUEGOS ]]*salidas26[[#This Row],[PRECIO JUEGO]])</f>
        <v>200</v>
      </c>
      <c r="J1201">
        <f>(salidas26[[#This Row],[CANT BARRAS]]*salidas26[[#This Row],[PRECIO BARRA]])</f>
        <v>0</v>
      </c>
      <c r="K1201">
        <v>180</v>
      </c>
      <c r="L1201" t="s">
        <v>496</v>
      </c>
      <c r="M1201" t="s">
        <v>794</v>
      </c>
    </row>
    <row r="1202" spans="1:13">
      <c r="A1202">
        <v>989</v>
      </c>
      <c r="B1202">
        <v>8097</v>
      </c>
      <c r="C12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 PREMIER 10B/6L/3V</v>
      </c>
      <c r="D1202" s="32">
        <v>46146</v>
      </c>
      <c r="E12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12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38</v>
      </c>
      <c r="G1202">
        <v>1</v>
      </c>
      <c r="I1202">
        <f>(salidas26[[#This Row],[CANT JUEGOS ]]*salidas26[[#This Row],[PRECIO JUEGO]])</f>
        <v>380</v>
      </c>
      <c r="J1202">
        <f>(salidas26[[#This Row],[CANT BARRAS]]*salidas26[[#This Row],[PRECIO BARRA]])</f>
        <v>0</v>
      </c>
      <c r="K1202">
        <v>304</v>
      </c>
      <c r="L1202" t="s">
        <v>496</v>
      </c>
      <c r="M1202" t="s">
        <v>497</v>
      </c>
    </row>
    <row r="1203" spans="1:13">
      <c r="A1203">
        <v>990</v>
      </c>
      <c r="B1203">
        <v>8021</v>
      </c>
      <c r="C12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203" s="32">
        <v>46146</v>
      </c>
      <c r="E12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03">
        <v>2</v>
      </c>
      <c r="I1203">
        <f>(salidas26[[#This Row],[CANT JUEGOS ]]*salidas26[[#This Row],[PRECIO JUEGO]])</f>
        <v>120</v>
      </c>
      <c r="J1203">
        <f>(salidas26[[#This Row],[CANT BARRAS]]*salidas26[[#This Row],[PRECIO BARRA]])</f>
        <v>0</v>
      </c>
      <c r="K1203">
        <v>96</v>
      </c>
      <c r="L1203" t="s">
        <v>496</v>
      </c>
      <c r="M1203" t="s">
        <v>497</v>
      </c>
    </row>
    <row r="1204" spans="1:13">
      <c r="A1204">
        <v>991</v>
      </c>
      <c r="B1204">
        <v>4010</v>
      </c>
      <c r="C12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204" s="32">
        <v>46146</v>
      </c>
      <c r="E12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04">
        <v>1</v>
      </c>
      <c r="I1204">
        <f>(salidas26[[#This Row],[CANT JUEGOS ]]*salidas26[[#This Row],[PRECIO JUEGO]])</f>
        <v>160</v>
      </c>
      <c r="J1204">
        <f>(salidas26[[#This Row],[CANT BARRAS]]*salidas26[[#This Row],[PRECIO BARRA]])</f>
        <v>0</v>
      </c>
      <c r="K1204">
        <v>160</v>
      </c>
      <c r="L1204" t="s">
        <v>496</v>
      </c>
      <c r="M1204" t="s">
        <v>474</v>
      </c>
    </row>
    <row r="1205" spans="1:13">
      <c r="A1205">
        <v>992</v>
      </c>
      <c r="B1205">
        <v>1132</v>
      </c>
      <c r="C12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1205" s="32">
        <v>46146</v>
      </c>
      <c r="E12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2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205">
        <v>1</v>
      </c>
      <c r="I1205">
        <f>(salidas26[[#This Row],[CANT JUEGOS ]]*salidas26[[#This Row],[PRECIO JUEGO]])</f>
        <v>260</v>
      </c>
      <c r="J1205">
        <f>(salidas26[[#This Row],[CANT BARRAS]]*salidas26[[#This Row],[PRECIO BARRA]])</f>
        <v>0</v>
      </c>
      <c r="K1205">
        <v>250</v>
      </c>
      <c r="L1205" t="s">
        <v>496</v>
      </c>
      <c r="M1205" t="s">
        <v>474</v>
      </c>
    </row>
    <row r="1206" spans="1:13">
      <c r="A1206">
        <v>993</v>
      </c>
      <c r="B1206">
        <v>3006</v>
      </c>
      <c r="C12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206" s="32">
        <v>46146</v>
      </c>
      <c r="E12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206">
        <v>1</v>
      </c>
      <c r="I1206">
        <f>(salidas26[[#This Row],[CANT JUEGOS ]]*salidas26[[#This Row],[PRECIO JUEGO]])</f>
        <v>180</v>
      </c>
      <c r="J1206">
        <f>(salidas26[[#This Row],[CANT BARRAS]]*salidas26[[#This Row],[PRECIO BARRA]])</f>
        <v>0</v>
      </c>
      <c r="K1206">
        <v>180</v>
      </c>
      <c r="L1206" t="s">
        <v>465</v>
      </c>
      <c r="M1206" t="s">
        <v>470</v>
      </c>
    </row>
    <row r="1207" spans="1:13">
      <c r="A1207">
        <v>994</v>
      </c>
      <c r="B1207">
        <v>4010</v>
      </c>
      <c r="C12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207" s="32">
        <v>46146</v>
      </c>
      <c r="E12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07">
        <v>1</v>
      </c>
      <c r="I1207">
        <f>(salidas26[[#This Row],[CANT JUEGOS ]]*salidas26[[#This Row],[PRECIO JUEGO]])</f>
        <v>160</v>
      </c>
      <c r="J1207">
        <f>(salidas26[[#This Row],[CANT BARRAS]]*salidas26[[#This Row],[PRECIO BARRA]])</f>
        <v>0</v>
      </c>
      <c r="K1207">
        <v>180</v>
      </c>
      <c r="L1207" t="s">
        <v>465</v>
      </c>
      <c r="M1207" t="s">
        <v>481</v>
      </c>
    </row>
    <row r="1208" spans="1:13">
      <c r="A1208">
        <v>995</v>
      </c>
      <c r="B1208">
        <v>2105</v>
      </c>
      <c r="C12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UN85AU8000G  4B EGDE</v>
      </c>
      <c r="D1208" s="32">
        <v>46146</v>
      </c>
      <c r="E12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12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208">
        <v>1</v>
      </c>
      <c r="I1208">
        <f>(salidas26[[#This Row],[CANT JUEGOS ]]*salidas26[[#This Row],[PRECIO JUEGO]])</f>
        <v>600</v>
      </c>
      <c r="J1208">
        <f>(salidas26[[#This Row],[CANT BARRAS]]*salidas26[[#This Row],[PRECIO BARRA]])</f>
        <v>0</v>
      </c>
      <c r="K1208">
        <v>600</v>
      </c>
      <c r="L1208" t="s">
        <v>496</v>
      </c>
      <c r="M1208" t="s">
        <v>471</v>
      </c>
    </row>
    <row r="1209" spans="1:13">
      <c r="A1209">
        <v>996</v>
      </c>
      <c r="B1209">
        <v>1066</v>
      </c>
      <c r="C12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47LA6130-12B/3V</v>
      </c>
      <c r="D1209" s="32">
        <v>46146</v>
      </c>
      <c r="E12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2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209">
        <v>1</v>
      </c>
      <c r="I1209">
        <f>(salidas26[[#This Row],[CANT JUEGOS ]]*salidas26[[#This Row],[PRECIO JUEGO]])</f>
        <v>240</v>
      </c>
      <c r="J1209">
        <f>(salidas26[[#This Row],[CANT BARRAS]]*salidas26[[#This Row],[PRECIO BARRA]])</f>
        <v>0</v>
      </c>
      <c r="K1209">
        <v>220</v>
      </c>
      <c r="L1209" t="s">
        <v>496</v>
      </c>
      <c r="M1209" t="s">
        <v>466</v>
      </c>
    </row>
    <row r="1210" spans="1:13">
      <c r="A1210">
        <v>997</v>
      </c>
      <c r="B1210">
        <v>2015</v>
      </c>
      <c r="C12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1210" s="32">
        <v>46146</v>
      </c>
      <c r="E12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10">
        <v>1</v>
      </c>
      <c r="I1210">
        <f>(salidas26[[#This Row],[CANT JUEGOS ]]*salidas26[[#This Row],[PRECIO JUEGO]])</f>
        <v>160</v>
      </c>
      <c r="J1210">
        <f>(salidas26[[#This Row],[CANT BARRAS]]*salidas26[[#This Row],[PRECIO BARRA]])</f>
        <v>0</v>
      </c>
      <c r="K1210">
        <v>150</v>
      </c>
      <c r="L1210" t="s">
        <v>465</v>
      </c>
      <c r="M1210" t="s">
        <v>469</v>
      </c>
    </row>
    <row r="1211" spans="1:13">
      <c r="A1211">
        <v>998</v>
      </c>
      <c r="B1211">
        <v>2024</v>
      </c>
      <c r="C12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211" s="32">
        <v>46146</v>
      </c>
      <c r="E12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11">
        <v>1</v>
      </c>
      <c r="I1211">
        <f>(salidas26[[#This Row],[CANT JUEGOS ]]*salidas26[[#This Row],[PRECIO JUEGO]])</f>
        <v>180</v>
      </c>
      <c r="J1211">
        <f>(salidas26[[#This Row],[CANT BARRAS]]*salidas26[[#This Row],[PRECIO BARRA]])</f>
        <v>0</v>
      </c>
      <c r="K1211">
        <v>180</v>
      </c>
      <c r="L1211" t="s">
        <v>465</v>
      </c>
      <c r="M1211" t="s">
        <v>469</v>
      </c>
    </row>
    <row r="1212" spans="1:13">
      <c r="A1212">
        <v>999</v>
      </c>
      <c r="B1212">
        <v>1049</v>
      </c>
      <c r="C12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212" s="32">
        <v>46146</v>
      </c>
      <c r="E12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12">
        <v>1</v>
      </c>
      <c r="I1212">
        <f>(salidas26[[#This Row],[CANT JUEGOS ]]*salidas26[[#This Row],[PRECIO JUEGO]])</f>
        <v>180</v>
      </c>
      <c r="J1212">
        <f>(salidas26[[#This Row],[CANT BARRAS]]*salidas26[[#This Row],[PRECIO BARRA]])</f>
        <v>0</v>
      </c>
      <c r="K1212">
        <v>234</v>
      </c>
      <c r="L1212" t="s">
        <v>496</v>
      </c>
      <c r="M1212" t="s">
        <v>509</v>
      </c>
    </row>
    <row r="1213" spans="1:13">
      <c r="A1213">
        <v>1000</v>
      </c>
      <c r="B1213">
        <v>8056</v>
      </c>
      <c r="C12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213" s="32">
        <v>46146</v>
      </c>
      <c r="E12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13">
        <v>1</v>
      </c>
      <c r="I1213">
        <f>(salidas26[[#This Row],[CANT JUEGOS ]]*salidas26[[#This Row],[PRECIO JUEGO]])</f>
        <v>180</v>
      </c>
      <c r="J1213">
        <f>(salidas26[[#This Row],[CANT BARRAS]]*salidas26[[#This Row],[PRECIO BARRA]])</f>
        <v>0</v>
      </c>
      <c r="K1213">
        <v>180</v>
      </c>
      <c r="L1213" t="s">
        <v>496</v>
      </c>
      <c r="M1213" t="s">
        <v>864</v>
      </c>
    </row>
    <row r="1214" spans="1:13">
      <c r="A1214">
        <v>1001</v>
      </c>
      <c r="B1214">
        <v>2105</v>
      </c>
      <c r="C12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UN85AU8000G  4B EGDE</v>
      </c>
      <c r="D1214" s="32">
        <v>46146</v>
      </c>
      <c r="E12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12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214">
        <v>1</v>
      </c>
      <c r="H1214">
        <v>1</v>
      </c>
      <c r="I1214">
        <f>(salidas26[[#This Row],[CANT JUEGOS ]]*salidas26[[#This Row],[PRECIO JUEGO]])</f>
        <v>600</v>
      </c>
      <c r="J1214">
        <f>(salidas26[[#This Row],[CANT BARRAS]]*salidas26[[#This Row],[PRECIO BARRA]])</f>
        <v>150</v>
      </c>
      <c r="M1214" t="s">
        <v>865</v>
      </c>
    </row>
    <row r="1215" spans="1:13">
      <c r="A1215">
        <v>1002</v>
      </c>
      <c r="B1215">
        <v>5006</v>
      </c>
      <c r="C12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215" s="32">
        <v>46147</v>
      </c>
      <c r="E12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2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15">
        <v>1</v>
      </c>
      <c r="I1215">
        <f>(salidas26[[#This Row],[CANT JUEGOS ]]*salidas26[[#This Row],[PRECIO JUEGO]])</f>
        <v>90</v>
      </c>
      <c r="J1215">
        <f>(salidas26[[#This Row],[CANT BARRAS]]*salidas26[[#This Row],[PRECIO BARRA]])</f>
        <v>0</v>
      </c>
      <c r="K1215">
        <v>90</v>
      </c>
      <c r="L1215" t="s">
        <v>465</v>
      </c>
      <c r="M1215" t="s">
        <v>470</v>
      </c>
    </row>
    <row r="1216" spans="1:13">
      <c r="A1216">
        <v>1003</v>
      </c>
      <c r="B1216">
        <v>7004</v>
      </c>
      <c r="C12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216" s="32">
        <v>46147</v>
      </c>
      <c r="E12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16">
        <v>1</v>
      </c>
      <c r="I1216">
        <f>(salidas26[[#This Row],[CANT JUEGOS ]]*salidas26[[#This Row],[PRECIO JUEGO]])</f>
        <v>150</v>
      </c>
      <c r="J1216">
        <f>(salidas26[[#This Row],[CANT BARRAS]]*salidas26[[#This Row],[PRECIO BARRA]])</f>
        <v>0</v>
      </c>
      <c r="K1216">
        <v>140</v>
      </c>
      <c r="L1216" t="s">
        <v>465</v>
      </c>
      <c r="M1216" t="s">
        <v>487</v>
      </c>
    </row>
    <row r="1217" spans="1:13">
      <c r="A1217">
        <v>1006</v>
      </c>
      <c r="B1217">
        <v>8054</v>
      </c>
      <c r="C12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43-CHINO 3B/8LED/6V DIF 180º</v>
      </c>
      <c r="D1217" s="32">
        <v>46147</v>
      </c>
      <c r="E12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180</v>
      </c>
      <c r="G1217">
        <v>1</v>
      </c>
      <c r="I1217">
        <f>(salidas26[[#This Row],[CANT JUEGOS ]]*salidas26[[#This Row],[PRECIO JUEGO]])</f>
        <v>180</v>
      </c>
      <c r="J1217">
        <f>(salidas26[[#This Row],[CANT BARRAS]]*salidas26[[#This Row],[PRECIO BARRA]])</f>
        <v>0</v>
      </c>
      <c r="K1217">
        <v>150</v>
      </c>
      <c r="L1217" t="s">
        <v>465</v>
      </c>
      <c r="M1217" t="s">
        <v>523</v>
      </c>
    </row>
    <row r="1218" spans="1:13">
      <c r="A1218">
        <v>1008</v>
      </c>
      <c r="B1218">
        <v>2095</v>
      </c>
      <c r="C12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1218" s="32">
        <v>46147</v>
      </c>
      <c r="E12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2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218">
        <v>1</v>
      </c>
      <c r="I1218">
        <f>(salidas26[[#This Row],[CANT JUEGOS ]]*salidas26[[#This Row],[PRECIO JUEGO]])</f>
        <v>250</v>
      </c>
      <c r="J1218">
        <f>(salidas26[[#This Row],[CANT BARRAS]]*salidas26[[#This Row],[PRECIO BARRA]])</f>
        <v>0</v>
      </c>
      <c r="K1218">
        <v>250</v>
      </c>
      <c r="L1218" t="s">
        <v>496</v>
      </c>
      <c r="M1218" t="s">
        <v>542</v>
      </c>
    </row>
    <row r="1219" spans="1:13">
      <c r="A1219">
        <v>1009</v>
      </c>
      <c r="B1219">
        <v>7004</v>
      </c>
      <c r="C12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219" s="32">
        <v>46147</v>
      </c>
      <c r="E12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19">
        <v>1</v>
      </c>
      <c r="I1219">
        <f>(salidas26[[#This Row],[CANT JUEGOS ]]*salidas26[[#This Row],[PRECIO JUEGO]])</f>
        <v>150</v>
      </c>
      <c r="J1219">
        <f>(salidas26[[#This Row],[CANT BARRAS]]*salidas26[[#This Row],[PRECIO BARRA]])</f>
        <v>0</v>
      </c>
      <c r="K1219">
        <v>140</v>
      </c>
      <c r="L1219" t="s">
        <v>496</v>
      </c>
      <c r="M1219" t="s">
        <v>474</v>
      </c>
    </row>
    <row r="1220" spans="1:13">
      <c r="A1220">
        <v>1010</v>
      </c>
      <c r="B1220">
        <v>1036</v>
      </c>
      <c r="C12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220" s="32">
        <v>46147</v>
      </c>
      <c r="E12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220">
        <v>1</v>
      </c>
      <c r="I1220">
        <f>(salidas26[[#This Row],[CANT JUEGOS ]]*salidas26[[#This Row],[PRECIO JUEGO]])</f>
        <v>180</v>
      </c>
      <c r="J1220">
        <f>(salidas26[[#This Row],[CANT BARRAS]]*salidas26[[#This Row],[PRECIO BARRA]])</f>
        <v>0</v>
      </c>
      <c r="K1220">
        <v>180</v>
      </c>
      <c r="L1220" t="s">
        <v>465</v>
      </c>
      <c r="M1220" t="s">
        <v>523</v>
      </c>
    </row>
    <row r="1221" spans="1:13">
      <c r="A1221">
        <v>1011</v>
      </c>
      <c r="B1221">
        <v>4009</v>
      </c>
      <c r="C12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221" s="32">
        <v>46147</v>
      </c>
      <c r="E12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221">
        <v>1</v>
      </c>
      <c r="I1221">
        <f>(salidas26[[#This Row],[CANT JUEGOS ]]*salidas26[[#This Row],[PRECIO JUEGO]])</f>
        <v>160</v>
      </c>
      <c r="J1221">
        <f>(salidas26[[#This Row],[CANT BARRAS]]*salidas26[[#This Row],[PRECIO BARRA]])</f>
        <v>0</v>
      </c>
      <c r="K1221">
        <v>160</v>
      </c>
      <c r="L1221" t="s">
        <v>465</v>
      </c>
      <c r="M1221" t="s">
        <v>483</v>
      </c>
    </row>
    <row r="1222" spans="1:13">
      <c r="A1222">
        <v>1012</v>
      </c>
      <c r="B1222">
        <v>8015</v>
      </c>
      <c r="C12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222" s="32">
        <v>46148</v>
      </c>
      <c r="E12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22">
        <v>1</v>
      </c>
      <c r="I1222">
        <f>(salidas26[[#This Row],[CANT JUEGOS ]]*salidas26[[#This Row],[PRECIO JUEGO]])</f>
        <v>60</v>
      </c>
      <c r="J1222">
        <f>(salidas26[[#This Row],[CANT BARRAS]]*salidas26[[#This Row],[PRECIO BARRA]])</f>
        <v>0</v>
      </c>
      <c r="K1222">
        <v>50</v>
      </c>
      <c r="L1222" t="s">
        <v>465</v>
      </c>
      <c r="M1222" t="s">
        <v>473</v>
      </c>
    </row>
    <row r="1223" spans="1:13">
      <c r="A1223">
        <v>1013</v>
      </c>
      <c r="B1223">
        <v>2003</v>
      </c>
      <c r="C12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223" s="32">
        <v>46148</v>
      </c>
      <c r="E12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2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1223">
        <v>2</v>
      </c>
      <c r="I1223">
        <f>(salidas26[[#This Row],[CANT JUEGOS ]]*salidas26[[#This Row],[PRECIO JUEGO]])</f>
        <v>0</v>
      </c>
      <c r="J1223">
        <f>(salidas26[[#This Row],[CANT BARRAS]]*salidas26[[#This Row],[PRECIO BARRA]])</f>
        <v>52</v>
      </c>
      <c r="K1223">
        <v>50</v>
      </c>
      <c r="L1223" t="s">
        <v>465</v>
      </c>
      <c r="M1223" t="s">
        <v>473</v>
      </c>
    </row>
    <row r="1224" spans="1:13">
      <c r="A1224">
        <v>1015</v>
      </c>
      <c r="B1224">
        <v>1108</v>
      </c>
      <c r="C12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UK 6550 /3B</v>
      </c>
      <c r="D1224" s="32">
        <v>46148</v>
      </c>
      <c r="E12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2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224">
        <v>1</v>
      </c>
      <c r="I1224">
        <f>(salidas26[[#This Row],[CANT JUEGOS ]]*salidas26[[#This Row],[PRECIO JUEGO]])</f>
        <v>300</v>
      </c>
      <c r="J1224">
        <f>(salidas26[[#This Row],[CANT BARRAS]]*salidas26[[#This Row],[PRECIO BARRA]])</f>
        <v>0</v>
      </c>
      <c r="K1224">
        <v>250</v>
      </c>
      <c r="L1224" t="s">
        <v>496</v>
      </c>
      <c r="M1224" t="s">
        <v>507</v>
      </c>
    </row>
    <row r="1225" spans="1:13">
      <c r="A1225">
        <v>1016</v>
      </c>
      <c r="B1225">
        <v>1033</v>
      </c>
      <c r="C12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225" s="32">
        <v>46148</v>
      </c>
      <c r="E12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225">
        <v>1</v>
      </c>
      <c r="I1225">
        <f>(salidas26[[#This Row],[CANT JUEGOS ]]*salidas26[[#This Row],[PRECIO JUEGO]])</f>
        <v>180</v>
      </c>
      <c r="J1225">
        <f>(salidas26[[#This Row],[CANT BARRAS]]*salidas26[[#This Row],[PRECIO BARRA]])</f>
        <v>0</v>
      </c>
      <c r="K1225">
        <v>180</v>
      </c>
      <c r="L1225" t="s">
        <v>465</v>
      </c>
      <c r="M1225" t="s">
        <v>466</v>
      </c>
    </row>
    <row r="1226" spans="1:13">
      <c r="A1226">
        <v>1017</v>
      </c>
      <c r="B1226">
        <v>6023</v>
      </c>
      <c r="C12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TOSHIBA C350KB / 10L/4B</v>
      </c>
      <c r="D1226" s="32">
        <v>46148</v>
      </c>
      <c r="E12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2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75</v>
      </c>
      <c r="G1226">
        <v>1</v>
      </c>
      <c r="I1226">
        <f>(salidas26[[#This Row],[CANT JUEGOS ]]*salidas26[[#This Row],[PRECIO JUEGO]])</f>
        <v>300</v>
      </c>
      <c r="J1226">
        <f>(salidas26[[#This Row],[CANT BARRAS]]*salidas26[[#This Row],[PRECIO BARRA]])</f>
        <v>0</v>
      </c>
      <c r="K1226">
        <v>300</v>
      </c>
      <c r="L1226" t="s">
        <v>465</v>
      </c>
      <c r="M1226" t="s">
        <v>466</v>
      </c>
    </row>
    <row r="1227" spans="1:13">
      <c r="A1227">
        <v>1018</v>
      </c>
      <c r="B1227">
        <v>2012</v>
      </c>
      <c r="C12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227" s="32">
        <v>46148</v>
      </c>
      <c r="E12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27">
        <v>1</v>
      </c>
      <c r="I1227">
        <f>(salidas26[[#This Row],[CANT JUEGOS ]]*salidas26[[#This Row],[PRECIO JUEGO]])</f>
        <v>160</v>
      </c>
      <c r="J1227">
        <f>(salidas26[[#This Row],[CANT BARRAS]]*salidas26[[#This Row],[PRECIO BARRA]])</f>
        <v>0</v>
      </c>
      <c r="K1227">
        <v>160</v>
      </c>
      <c r="L1227" t="s">
        <v>465</v>
      </c>
      <c r="M1227" t="s">
        <v>658</v>
      </c>
    </row>
    <row r="1228" spans="1:13">
      <c r="A1228">
        <v>1019</v>
      </c>
      <c r="B1228">
        <v>3012</v>
      </c>
      <c r="C12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48M600 10B/6-7LEDS Y 4 -8LEDS/3V </v>
      </c>
      <c r="D1228" s="32">
        <v>46148</v>
      </c>
      <c r="E12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2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1228">
        <v>2</v>
      </c>
      <c r="I1228">
        <f>(salidas26[[#This Row],[CANT JUEGOS ]]*salidas26[[#This Row],[PRECIO JUEGO]])</f>
        <v>0</v>
      </c>
      <c r="J1228">
        <f>(salidas26[[#This Row],[CANT BARRAS]]*salidas26[[#This Row],[PRECIO BARRA]])</f>
        <v>52</v>
      </c>
      <c r="K1228">
        <v>50</v>
      </c>
      <c r="L1228" t="s">
        <v>465</v>
      </c>
      <c r="M1228" t="s">
        <v>866</v>
      </c>
    </row>
    <row r="1229" spans="1:13">
      <c r="A1229">
        <v>1020</v>
      </c>
      <c r="B1229">
        <v>4000</v>
      </c>
      <c r="C12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229" s="32">
        <v>46148</v>
      </c>
      <c r="E12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29">
        <v>1</v>
      </c>
      <c r="I1229">
        <f>(salidas26[[#This Row],[CANT JUEGOS ]]*salidas26[[#This Row],[PRECIO JUEGO]])</f>
        <v>60</v>
      </c>
      <c r="J1229">
        <f>(salidas26[[#This Row],[CANT BARRAS]]*salidas26[[#This Row],[PRECIO BARRA]])</f>
        <v>0</v>
      </c>
      <c r="K1229">
        <v>60</v>
      </c>
      <c r="L1229" t="s">
        <v>496</v>
      </c>
      <c r="M1229" t="s">
        <v>466</v>
      </c>
    </row>
    <row r="1230" spans="1:13">
      <c r="A1230">
        <v>1021</v>
      </c>
      <c r="B1230">
        <v>2078</v>
      </c>
      <c r="C12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1230" s="32">
        <v>46148</v>
      </c>
      <c r="E12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2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230">
        <v>1</v>
      </c>
      <c r="I1230">
        <f>(salidas26[[#This Row],[CANT JUEGOS ]]*salidas26[[#This Row],[PRECIO JUEGO]])</f>
        <v>250</v>
      </c>
      <c r="J1230">
        <f>(salidas26[[#This Row],[CANT BARRAS]]*salidas26[[#This Row],[PRECIO BARRA]])</f>
        <v>0</v>
      </c>
      <c r="K1230">
        <v>260</v>
      </c>
      <c r="L1230" t="s">
        <v>496</v>
      </c>
      <c r="M1230" t="s">
        <v>706</v>
      </c>
    </row>
    <row r="1231" spans="1:13">
      <c r="A1231">
        <v>1022</v>
      </c>
      <c r="B1231">
        <v>2015</v>
      </c>
      <c r="C12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1231" s="32">
        <v>46148</v>
      </c>
      <c r="E12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31">
        <v>1</v>
      </c>
      <c r="I1231">
        <f>(salidas26[[#This Row],[CANT JUEGOS ]]*salidas26[[#This Row],[PRECIO JUEGO]])</f>
        <v>160</v>
      </c>
      <c r="J1231">
        <f>(salidas26[[#This Row],[CANT BARRAS]]*salidas26[[#This Row],[PRECIO BARRA]])</f>
        <v>0</v>
      </c>
      <c r="K1231">
        <v>150</v>
      </c>
      <c r="L1231" t="s">
        <v>496</v>
      </c>
      <c r="M1231" t="s">
        <v>468</v>
      </c>
    </row>
    <row r="1232" spans="1:13">
      <c r="A1232">
        <v>1023</v>
      </c>
      <c r="B1232">
        <v>2009</v>
      </c>
      <c r="C12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UN40D5500/2B</v>
      </c>
      <c r="D1232" s="32">
        <v>46148</v>
      </c>
      <c r="E12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1232">
        <v>1</v>
      </c>
      <c r="I1232">
        <f>(salidas26[[#This Row],[CANT JUEGOS ]]*salidas26[[#This Row],[PRECIO JUEGO]])</f>
        <v>180</v>
      </c>
      <c r="J1232">
        <f>(salidas26[[#This Row],[CANT BARRAS]]*salidas26[[#This Row],[PRECIO BARRA]])</f>
        <v>0</v>
      </c>
      <c r="K1232">
        <v>150</v>
      </c>
      <c r="L1232" t="s">
        <v>465</v>
      </c>
      <c r="M1232" t="s">
        <v>481</v>
      </c>
    </row>
    <row r="1233" spans="1:13">
      <c r="A1233">
        <v>1024</v>
      </c>
      <c r="B1233">
        <v>8033</v>
      </c>
      <c r="C12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233" s="32">
        <v>46148</v>
      </c>
      <c r="E12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33">
        <v>1</v>
      </c>
      <c r="I1233">
        <f>(salidas26[[#This Row],[CANT JUEGOS ]]*salidas26[[#This Row],[PRECIO JUEGO]])</f>
        <v>150</v>
      </c>
      <c r="J1233">
        <f>(salidas26[[#This Row],[CANT BARRAS]]*salidas26[[#This Row],[PRECIO BARRA]])</f>
        <v>0</v>
      </c>
      <c r="K1233">
        <v>140</v>
      </c>
      <c r="L1233" t="s">
        <v>496</v>
      </c>
      <c r="M1233" t="s">
        <v>707</v>
      </c>
    </row>
    <row r="1234" spans="1:13">
      <c r="A1234">
        <v>1025</v>
      </c>
      <c r="B1234">
        <v>8055</v>
      </c>
      <c r="C12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234" s="32">
        <v>46148</v>
      </c>
      <c r="E12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34">
        <v>1</v>
      </c>
      <c r="I1234">
        <f>(salidas26[[#This Row],[CANT JUEGOS ]]*salidas26[[#This Row],[PRECIO JUEGO]])</f>
        <v>180</v>
      </c>
      <c r="J1234">
        <f>(salidas26[[#This Row],[CANT BARRAS]]*salidas26[[#This Row],[PRECIO BARRA]])</f>
        <v>0</v>
      </c>
      <c r="K1234">
        <v>180</v>
      </c>
      <c r="L1234" t="s">
        <v>496</v>
      </c>
      <c r="M1234" t="s">
        <v>707</v>
      </c>
    </row>
    <row r="1235" spans="1:13">
      <c r="A1235">
        <v>1026</v>
      </c>
      <c r="B1235">
        <v>6019</v>
      </c>
      <c r="C12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MASTER G MGU5010X 8B/6L-50V2 SKYWORT</v>
      </c>
      <c r="D1235" s="32">
        <v>46148</v>
      </c>
      <c r="E12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2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235">
        <v>1</v>
      </c>
      <c r="I1235">
        <f>(salidas26[[#This Row],[CANT JUEGOS ]]*salidas26[[#This Row],[PRECIO JUEGO]])</f>
        <v>300</v>
      </c>
      <c r="J1235">
        <f>(salidas26[[#This Row],[CANT BARRAS]]*salidas26[[#This Row],[PRECIO BARRA]])</f>
        <v>0</v>
      </c>
      <c r="K1235">
        <v>250</v>
      </c>
      <c r="L1235" t="s">
        <v>465</v>
      </c>
      <c r="M1235" t="s">
        <v>867</v>
      </c>
    </row>
    <row r="1236" spans="1:13">
      <c r="A1236">
        <v>1027</v>
      </c>
      <c r="B1236">
        <v>6000</v>
      </c>
      <c r="C12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236" s="32">
        <v>46148</v>
      </c>
      <c r="E12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36">
        <v>1</v>
      </c>
      <c r="I1236">
        <f>(salidas26[[#This Row],[CANT JUEGOS ]]*salidas26[[#This Row],[PRECIO JUEGO]])</f>
        <v>60</v>
      </c>
      <c r="J1236">
        <f>(salidas26[[#This Row],[CANT BARRAS]]*salidas26[[#This Row],[PRECIO BARRA]])</f>
        <v>0</v>
      </c>
      <c r="K1236">
        <v>50</v>
      </c>
      <c r="L1236" t="s">
        <v>465</v>
      </c>
      <c r="M1236" t="s">
        <v>867</v>
      </c>
    </row>
    <row r="1237" spans="1:13">
      <c r="A1237">
        <v>1028</v>
      </c>
      <c r="B1237">
        <v>8015</v>
      </c>
      <c r="C12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237" s="32">
        <v>46148</v>
      </c>
      <c r="E12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37">
        <v>1</v>
      </c>
      <c r="I1237">
        <f>(salidas26[[#This Row],[CANT JUEGOS ]]*salidas26[[#This Row],[PRECIO JUEGO]])</f>
        <v>60</v>
      </c>
      <c r="J1237">
        <f>(salidas26[[#This Row],[CANT BARRAS]]*salidas26[[#This Row],[PRECIO BARRA]])</f>
        <v>0</v>
      </c>
      <c r="K1237">
        <v>50</v>
      </c>
      <c r="L1237" t="s">
        <v>496</v>
      </c>
      <c r="M1237" t="s">
        <v>474</v>
      </c>
    </row>
    <row r="1238" spans="1:13">
      <c r="A1238">
        <v>1029</v>
      </c>
      <c r="B1238">
        <v>6000</v>
      </c>
      <c r="C12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238" s="32">
        <v>46148</v>
      </c>
      <c r="E12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38">
        <v>1</v>
      </c>
      <c r="I1238">
        <f>(salidas26[[#This Row],[CANT JUEGOS ]]*salidas26[[#This Row],[PRECIO JUEGO]])</f>
        <v>60</v>
      </c>
      <c r="J1238">
        <f>(salidas26[[#This Row],[CANT BARRAS]]*salidas26[[#This Row],[PRECIO BARRA]])</f>
        <v>0</v>
      </c>
      <c r="K1238">
        <v>50</v>
      </c>
      <c r="L1238" t="s">
        <v>496</v>
      </c>
      <c r="M1238" t="s">
        <v>474</v>
      </c>
    </row>
    <row r="1239" spans="1:13">
      <c r="A1239">
        <v>1030</v>
      </c>
      <c r="B1239">
        <v>8055</v>
      </c>
      <c r="C12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239" s="32">
        <v>46148</v>
      </c>
      <c r="E12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39">
        <v>1</v>
      </c>
      <c r="I1239">
        <f>(salidas26[[#This Row],[CANT JUEGOS ]]*salidas26[[#This Row],[PRECIO JUEGO]])</f>
        <v>180</v>
      </c>
      <c r="J1239">
        <f>(salidas26[[#This Row],[CANT BARRAS]]*salidas26[[#This Row],[PRECIO BARRA]])</f>
        <v>0</v>
      </c>
      <c r="K1239">
        <v>170</v>
      </c>
      <c r="L1239" t="s">
        <v>496</v>
      </c>
      <c r="M1239" t="s">
        <v>474</v>
      </c>
    </row>
    <row r="1240" spans="1:13">
      <c r="A1240">
        <v>1031</v>
      </c>
      <c r="B1240">
        <v>8076</v>
      </c>
      <c r="C12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XIAOMI L55M6A</v>
      </c>
      <c r="D1240" s="32">
        <v>46148</v>
      </c>
      <c r="E12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2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240">
        <v>1</v>
      </c>
      <c r="I1240">
        <f>(salidas26[[#This Row],[CANT JUEGOS ]]*salidas26[[#This Row],[PRECIO JUEGO]])</f>
        <v>300</v>
      </c>
      <c r="J1240">
        <f>(salidas26[[#This Row],[CANT BARRAS]]*salidas26[[#This Row],[PRECIO BARRA]])</f>
        <v>0</v>
      </c>
      <c r="K1240">
        <v>300</v>
      </c>
      <c r="L1240" t="s">
        <v>496</v>
      </c>
      <c r="M1240" t="s">
        <v>868</v>
      </c>
    </row>
    <row r="1241" spans="1:13">
      <c r="A1241">
        <v>1032</v>
      </c>
      <c r="B1241">
        <v>8070</v>
      </c>
      <c r="C12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JVC KB527</v>
      </c>
      <c r="D1241" s="32">
        <v>46149</v>
      </c>
      <c r="E12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2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241">
        <v>1</v>
      </c>
      <c r="I1241">
        <f>(salidas26[[#This Row],[CANT JUEGOS ]]*salidas26[[#This Row],[PRECIO JUEGO]])</f>
        <v>250</v>
      </c>
      <c r="J1241">
        <f>(salidas26[[#This Row],[CANT BARRAS]]*salidas26[[#This Row],[PRECIO BARRA]])</f>
        <v>0</v>
      </c>
      <c r="M1241" t="s">
        <v>466</v>
      </c>
    </row>
    <row r="1242" spans="1:13">
      <c r="A1242">
        <v>1033</v>
      </c>
      <c r="B1242">
        <v>1075</v>
      </c>
      <c r="C12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1242" s="32">
        <v>46149</v>
      </c>
      <c r="E12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2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42">
        <v>1</v>
      </c>
      <c r="I1242">
        <f>(salidas26[[#This Row],[CANT JUEGOS ]]*salidas26[[#This Row],[PRECIO JUEGO]])</f>
        <v>240</v>
      </c>
      <c r="J1242">
        <f>(salidas26[[#This Row],[CANT BARRAS]]*salidas26[[#This Row],[PRECIO BARRA]])</f>
        <v>0</v>
      </c>
      <c r="K1242">
        <v>234</v>
      </c>
      <c r="L1242" t="s">
        <v>496</v>
      </c>
      <c r="M1242" t="s">
        <v>509</v>
      </c>
    </row>
    <row r="1243" spans="1:13">
      <c r="A1243">
        <v>1034</v>
      </c>
      <c r="B1243">
        <v>8024</v>
      </c>
      <c r="C12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1243" s="32">
        <v>46149</v>
      </c>
      <c r="E12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243">
        <v>1</v>
      </c>
      <c r="I1243">
        <f>(salidas26[[#This Row],[CANT JUEGOS ]]*salidas26[[#This Row],[PRECIO JUEGO]])</f>
        <v>150</v>
      </c>
      <c r="J1243">
        <f>(salidas26[[#This Row],[CANT BARRAS]]*salidas26[[#This Row],[PRECIO BARRA]])</f>
        <v>0</v>
      </c>
      <c r="K1243">
        <v>130</v>
      </c>
      <c r="L1243" t="s">
        <v>465</v>
      </c>
      <c r="M1243" t="s">
        <v>627</v>
      </c>
    </row>
    <row r="1244" spans="1:13">
      <c r="A1244">
        <v>1035</v>
      </c>
      <c r="B1244">
        <v>1033</v>
      </c>
      <c r="C12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244" s="32">
        <v>46149</v>
      </c>
      <c r="E12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244">
        <v>1</v>
      </c>
      <c r="I1244">
        <f>(salidas26[[#This Row],[CANT JUEGOS ]]*salidas26[[#This Row],[PRECIO JUEGO]])</f>
        <v>180</v>
      </c>
      <c r="J1244">
        <f>(salidas26[[#This Row],[CANT BARRAS]]*salidas26[[#This Row],[PRECIO BARRA]])</f>
        <v>0</v>
      </c>
      <c r="K1244">
        <v>170</v>
      </c>
      <c r="L1244" t="s">
        <v>465</v>
      </c>
      <c r="M1244" t="s">
        <v>483</v>
      </c>
    </row>
    <row r="1245" spans="1:13">
      <c r="A1245">
        <v>1036</v>
      </c>
      <c r="B1245" t="s">
        <v>850</v>
      </c>
      <c r="C12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55BU/AU 8000</v>
      </c>
      <c r="D1245" s="32">
        <v>46149</v>
      </c>
      <c r="E12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24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245">
        <v>1</v>
      </c>
      <c r="I1245">
        <f>(salidas26[[#This Row],[CANT JUEGOS ]]*salidas26[[#This Row],[PRECIO JUEGO]])</f>
        <v>250</v>
      </c>
      <c r="J1245" t="e">
        <f>(salidas26[[#This Row],[CANT BARRAS]]*salidas26[[#This Row],[PRECIO BARRA]])</f>
        <v>#VALUE!</v>
      </c>
      <c r="K1245">
        <v>250</v>
      </c>
      <c r="L1245" t="s">
        <v>465</v>
      </c>
      <c r="M1245" t="s">
        <v>466</v>
      </c>
    </row>
    <row r="1246" spans="1:13">
      <c r="A1246">
        <v>1037</v>
      </c>
      <c r="B1246">
        <v>8015</v>
      </c>
      <c r="C12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246" s="32">
        <v>46149</v>
      </c>
      <c r="E12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46">
        <v>1</v>
      </c>
      <c r="I1246">
        <f>(salidas26[[#This Row],[CANT JUEGOS ]]*salidas26[[#This Row],[PRECIO JUEGO]])</f>
        <v>60</v>
      </c>
      <c r="J1246">
        <f>(salidas26[[#This Row],[CANT BARRAS]]*salidas26[[#This Row],[PRECIO BARRA]])</f>
        <v>0</v>
      </c>
      <c r="K1246">
        <v>50</v>
      </c>
      <c r="L1246" t="s">
        <v>465</v>
      </c>
      <c r="M1246" t="s">
        <v>792</v>
      </c>
    </row>
    <row r="1247" spans="1:13">
      <c r="A1247">
        <v>1038</v>
      </c>
      <c r="B1247">
        <v>2000</v>
      </c>
      <c r="C12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247" s="32">
        <v>46149</v>
      </c>
      <c r="E12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2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247">
        <v>1</v>
      </c>
      <c r="I1247">
        <f>(salidas26[[#This Row],[CANT JUEGOS ]]*salidas26[[#This Row],[PRECIO JUEGO]])</f>
        <v>80</v>
      </c>
      <c r="J1247">
        <f>(salidas26[[#This Row],[CANT BARRAS]]*salidas26[[#This Row],[PRECIO BARRA]])</f>
        <v>0</v>
      </c>
      <c r="K1247">
        <v>80</v>
      </c>
      <c r="L1247" t="s">
        <v>496</v>
      </c>
      <c r="M1247" t="s">
        <v>707</v>
      </c>
    </row>
    <row r="1248" spans="1:13">
      <c r="A1248">
        <v>1039</v>
      </c>
      <c r="B1248">
        <v>4011</v>
      </c>
      <c r="C12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248" s="32">
        <v>46149</v>
      </c>
      <c r="E12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48">
        <v>1</v>
      </c>
      <c r="I1248">
        <f>(salidas26[[#This Row],[CANT JUEGOS ]]*salidas26[[#This Row],[PRECIO JUEGO]])</f>
        <v>160</v>
      </c>
      <c r="J1248">
        <f>(salidas26[[#This Row],[CANT BARRAS]]*salidas26[[#This Row],[PRECIO BARRA]])</f>
        <v>0</v>
      </c>
      <c r="K1248">
        <v>1180</v>
      </c>
      <c r="L1248" t="s">
        <v>465</v>
      </c>
      <c r="M1248" t="s">
        <v>869</v>
      </c>
    </row>
    <row r="1249" spans="1:13">
      <c r="A1249">
        <v>1044</v>
      </c>
      <c r="B1249">
        <v>6006</v>
      </c>
      <c r="C12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SKYWORTH TOSHIBA /3B</v>
      </c>
      <c r="D1249" s="32">
        <v>46150</v>
      </c>
      <c r="E12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140</v>
      </c>
      <c r="F12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46.666666666666664</v>
      </c>
      <c r="G1249">
        <v>2</v>
      </c>
      <c r="I1249">
        <f>(salidas26[[#This Row],[CANT JUEGOS ]]*salidas26[[#This Row],[PRECIO JUEGO]])</f>
        <v>280</v>
      </c>
      <c r="J1249">
        <f>(salidas26[[#This Row],[CANT BARRAS]]*salidas26[[#This Row],[PRECIO BARRA]])</f>
        <v>0</v>
      </c>
      <c r="K1249">
        <v>224</v>
      </c>
      <c r="L1249" t="s">
        <v>465</v>
      </c>
      <c r="M1249" t="s">
        <v>497</v>
      </c>
    </row>
    <row r="1250" spans="1:13">
      <c r="A1250">
        <v>1045</v>
      </c>
      <c r="B1250">
        <v>8124</v>
      </c>
      <c r="C12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1250" s="32">
        <v>46150</v>
      </c>
      <c r="E12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2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250">
        <v>20</v>
      </c>
      <c r="I1250">
        <f>(salidas26[[#This Row],[CANT JUEGOS ]]*salidas26[[#This Row],[PRECIO JUEGO]])</f>
        <v>0</v>
      </c>
      <c r="J1250">
        <f>(salidas26[[#This Row],[CANT BARRAS]]*salidas26[[#This Row],[PRECIO BARRA]])</f>
        <v>70</v>
      </c>
      <c r="K1250">
        <v>56</v>
      </c>
      <c r="L1250" t="s">
        <v>465</v>
      </c>
      <c r="M1250" t="s">
        <v>497</v>
      </c>
    </row>
    <row r="1251" spans="1:13">
      <c r="A1251">
        <v>1046</v>
      </c>
      <c r="B1251">
        <v>7004</v>
      </c>
      <c r="C12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251" s="32">
        <v>46150</v>
      </c>
      <c r="E12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51">
        <v>1</v>
      </c>
      <c r="I1251">
        <f>(salidas26[[#This Row],[CANT JUEGOS ]]*salidas26[[#This Row],[PRECIO JUEGO]])</f>
        <v>150</v>
      </c>
      <c r="J1251">
        <f>(salidas26[[#This Row],[CANT BARRAS]]*salidas26[[#This Row],[PRECIO BARRA]])</f>
        <v>0</v>
      </c>
      <c r="K1251">
        <v>130</v>
      </c>
      <c r="L1251" t="s">
        <v>465</v>
      </c>
      <c r="M1251" t="s">
        <v>595</v>
      </c>
    </row>
    <row r="1252" spans="1:13">
      <c r="A1252">
        <v>1047</v>
      </c>
      <c r="B1252">
        <v>2012</v>
      </c>
      <c r="C12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252" s="32">
        <v>46150</v>
      </c>
      <c r="E12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52">
        <v>1</v>
      </c>
      <c r="I1252">
        <f>(salidas26[[#This Row],[CANT JUEGOS ]]*salidas26[[#This Row],[PRECIO JUEGO]])</f>
        <v>160</v>
      </c>
      <c r="J1252">
        <f>(salidas26[[#This Row],[CANT BARRAS]]*salidas26[[#This Row],[PRECIO BARRA]])</f>
        <v>0</v>
      </c>
      <c r="K1252">
        <v>150</v>
      </c>
      <c r="L1252" t="s">
        <v>465</v>
      </c>
      <c r="M1252" t="s">
        <v>523</v>
      </c>
    </row>
    <row r="1253" spans="1:13">
      <c r="A1253">
        <v>1048</v>
      </c>
      <c r="B1253">
        <v>8015</v>
      </c>
      <c r="C12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253" s="32">
        <v>46150</v>
      </c>
      <c r="E12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53">
        <v>1</v>
      </c>
      <c r="I1253">
        <f>(salidas26[[#This Row],[CANT JUEGOS ]]*salidas26[[#This Row],[PRECIO JUEGO]])</f>
        <v>60</v>
      </c>
      <c r="J1253">
        <f>(salidas26[[#This Row],[CANT BARRAS]]*salidas26[[#This Row],[PRECIO BARRA]])</f>
        <v>0</v>
      </c>
      <c r="K1253">
        <v>50</v>
      </c>
      <c r="L1253" t="s">
        <v>465</v>
      </c>
      <c r="M1253" t="s">
        <v>483</v>
      </c>
    </row>
    <row r="1254" spans="1:13">
      <c r="A1254">
        <v>1049</v>
      </c>
      <c r="B1254">
        <v>6022</v>
      </c>
      <c r="C12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254" s="32">
        <v>46150</v>
      </c>
      <c r="E12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2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254">
        <v>1</v>
      </c>
      <c r="I1254">
        <f>(salidas26[[#This Row],[CANT JUEGOS ]]*salidas26[[#This Row],[PRECIO JUEGO]])</f>
        <v>350</v>
      </c>
      <c r="J1254">
        <f>(salidas26[[#This Row],[CANT BARRAS]]*salidas26[[#This Row],[PRECIO BARRA]])</f>
        <v>0</v>
      </c>
      <c r="K1254">
        <v>340</v>
      </c>
      <c r="L1254" t="s">
        <v>496</v>
      </c>
      <c r="M1254" t="s">
        <v>822</v>
      </c>
    </row>
    <row r="1255" spans="1:13">
      <c r="A1255">
        <v>1051</v>
      </c>
      <c r="B1255">
        <v>7000</v>
      </c>
      <c r="C12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255" s="32">
        <v>46150</v>
      </c>
      <c r="E12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55">
        <v>1</v>
      </c>
      <c r="I1255">
        <f>(salidas26[[#This Row],[CANT JUEGOS ]]*salidas26[[#This Row],[PRECIO JUEGO]])</f>
        <v>60</v>
      </c>
      <c r="J1255">
        <f>(salidas26[[#This Row],[CANT BARRAS]]*salidas26[[#This Row],[PRECIO BARRA]])</f>
        <v>0</v>
      </c>
      <c r="K1255">
        <v>50</v>
      </c>
      <c r="L1255" t="s">
        <v>465</v>
      </c>
      <c r="M1255" t="s">
        <v>523</v>
      </c>
    </row>
    <row r="1256" spans="1:13">
      <c r="A1256">
        <v>1052</v>
      </c>
      <c r="B1256">
        <v>8055</v>
      </c>
      <c r="C12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256" s="32">
        <v>46150</v>
      </c>
      <c r="E12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256">
        <v>1</v>
      </c>
      <c r="I1256">
        <f>(salidas26[[#This Row],[CANT JUEGOS ]]*salidas26[[#This Row],[PRECIO JUEGO]])</f>
        <v>180</v>
      </c>
      <c r="J1256">
        <f>(salidas26[[#This Row],[CANT BARRAS]]*salidas26[[#This Row],[PRECIO BARRA]])</f>
        <v>0</v>
      </c>
      <c r="K1256">
        <v>170</v>
      </c>
      <c r="L1256" t="s">
        <v>465</v>
      </c>
      <c r="M1256" t="s">
        <v>481</v>
      </c>
    </row>
    <row r="1257" spans="1:13">
      <c r="A1257">
        <v>1053</v>
      </c>
      <c r="B1257">
        <v>8033</v>
      </c>
      <c r="C12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257" s="32">
        <v>46150</v>
      </c>
      <c r="E12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57">
        <v>1</v>
      </c>
      <c r="I1257">
        <f>(salidas26[[#This Row],[CANT JUEGOS ]]*salidas26[[#This Row],[PRECIO JUEGO]])</f>
        <v>150</v>
      </c>
      <c r="J1257">
        <f>(salidas26[[#This Row],[CANT BARRAS]]*salidas26[[#This Row],[PRECIO BARRA]])</f>
        <v>0</v>
      </c>
      <c r="K1257">
        <v>140</v>
      </c>
      <c r="L1257" t="s">
        <v>465</v>
      </c>
      <c r="M1257" t="s">
        <v>870</v>
      </c>
    </row>
    <row r="1258" spans="1:13">
      <c r="A1258">
        <v>1054</v>
      </c>
      <c r="B1258">
        <v>7015</v>
      </c>
      <c r="C12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1258" s="32">
        <v>46150</v>
      </c>
      <c r="E12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2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58">
        <v>1</v>
      </c>
      <c r="I1258">
        <f>(salidas26[[#This Row],[CANT JUEGOS ]]*salidas26[[#This Row],[PRECIO JUEGO]])</f>
        <v>200</v>
      </c>
      <c r="J1258">
        <f>(salidas26[[#This Row],[CANT BARRAS]]*salidas26[[#This Row],[PRECIO BARRA]])</f>
        <v>0</v>
      </c>
      <c r="K1258">
        <v>180</v>
      </c>
      <c r="L1258" t="s">
        <v>465</v>
      </c>
      <c r="M1258" t="s">
        <v>541</v>
      </c>
    </row>
    <row r="1259" spans="1:13">
      <c r="A1259">
        <v>1055</v>
      </c>
      <c r="B1259">
        <v>1033</v>
      </c>
      <c r="C12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259" s="32">
        <v>46150</v>
      </c>
      <c r="E12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259">
        <v>1</v>
      </c>
      <c r="I1259">
        <f>(salidas26[[#This Row],[CANT JUEGOS ]]*salidas26[[#This Row],[PRECIO JUEGO]])</f>
        <v>180</v>
      </c>
      <c r="J1259">
        <f>(salidas26[[#This Row],[CANT BARRAS]]*salidas26[[#This Row],[PRECIO BARRA]])</f>
        <v>0</v>
      </c>
      <c r="K1259">
        <v>170</v>
      </c>
      <c r="L1259" t="s">
        <v>465</v>
      </c>
      <c r="M1259" t="s">
        <v>541</v>
      </c>
    </row>
    <row r="1260" spans="1:13">
      <c r="A1260">
        <v>1056</v>
      </c>
      <c r="B1260">
        <v>2015</v>
      </c>
      <c r="C12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1260" s="32">
        <v>46151</v>
      </c>
      <c r="E12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60">
        <v>1</v>
      </c>
      <c r="I1260">
        <f>(salidas26[[#This Row],[CANT JUEGOS ]]*salidas26[[#This Row],[PRECIO JUEGO]])</f>
        <v>160</v>
      </c>
      <c r="J1260">
        <f>(salidas26[[#This Row],[CANT BARRAS]]*salidas26[[#This Row],[PRECIO BARRA]])</f>
        <v>0</v>
      </c>
      <c r="K1260">
        <v>112</v>
      </c>
      <c r="L1260" t="s">
        <v>465</v>
      </c>
      <c r="M1260" t="s">
        <v>471</v>
      </c>
    </row>
    <row r="1261" spans="1:13">
      <c r="A1261">
        <v>1057</v>
      </c>
      <c r="B1261">
        <v>8067</v>
      </c>
      <c r="C12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261" s="32">
        <v>46151</v>
      </c>
      <c r="E12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2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261">
        <v>1</v>
      </c>
      <c r="I1261">
        <f>(salidas26[[#This Row],[CANT JUEGOS ]]*salidas26[[#This Row],[PRECIO JUEGO]])</f>
        <v>220</v>
      </c>
      <c r="J1261">
        <f>(salidas26[[#This Row],[CANT BARRAS]]*salidas26[[#This Row],[PRECIO BARRA]])</f>
        <v>0</v>
      </c>
      <c r="K1261">
        <v>220</v>
      </c>
      <c r="L1261" t="s">
        <v>465</v>
      </c>
      <c r="M1261" t="s">
        <v>481</v>
      </c>
    </row>
    <row r="1262" spans="1:13">
      <c r="A1262">
        <v>1060</v>
      </c>
      <c r="B1262">
        <v>8130</v>
      </c>
      <c r="C12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1262" s="32">
        <v>46151</v>
      </c>
      <c r="E12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2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262">
        <v>20</v>
      </c>
      <c r="I1262">
        <f>(salidas26[[#This Row],[CANT JUEGOS ]]*salidas26[[#This Row],[PRECIO JUEGO]])</f>
        <v>0</v>
      </c>
      <c r="J1262">
        <f>(salidas26[[#This Row],[CANT BARRAS]]*salidas26[[#This Row],[PRECIO BARRA]])</f>
        <v>70</v>
      </c>
      <c r="K1262">
        <v>70</v>
      </c>
      <c r="L1262" t="s">
        <v>465</v>
      </c>
      <c r="M1262" t="s">
        <v>628</v>
      </c>
    </row>
    <row r="1263" spans="1:13">
      <c r="A1263">
        <v>1061</v>
      </c>
      <c r="B1263">
        <v>8094</v>
      </c>
      <c r="C12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AIWA CHIQ CROWN 15L/3V/6B DIF180º</v>
      </c>
      <c r="D1263" s="32">
        <v>46153</v>
      </c>
      <c r="E12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26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263">
        <v>1</v>
      </c>
      <c r="I1263">
        <f>(salidas26[[#This Row],[CANT JUEGOS ]]*salidas26[[#This Row],[PRECIO JUEGO]])</f>
        <v>320</v>
      </c>
      <c r="J1263" t="e">
        <f>(salidas26[[#This Row],[CANT BARRAS]]*salidas26[[#This Row],[PRECIO BARRA]])</f>
        <v>#VALUE!</v>
      </c>
      <c r="K1263">
        <v>224</v>
      </c>
      <c r="L1263" t="s">
        <v>465</v>
      </c>
      <c r="M1263" t="s">
        <v>471</v>
      </c>
    </row>
    <row r="1264" spans="1:13">
      <c r="A1264">
        <v>1062</v>
      </c>
      <c r="B1264">
        <v>8095</v>
      </c>
      <c r="C12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1264" s="32">
        <v>46153</v>
      </c>
      <c r="E12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2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64">
        <v>1</v>
      </c>
      <c r="I1264">
        <f>(salidas26[[#This Row],[CANT JUEGOS ]]*salidas26[[#This Row],[PRECIO JUEGO]])</f>
        <v>300</v>
      </c>
      <c r="J1264">
        <f>(salidas26[[#This Row],[CANT BARRAS]]*salidas26[[#This Row],[PRECIO BARRA]])</f>
        <v>0</v>
      </c>
      <c r="K1264">
        <v>300</v>
      </c>
      <c r="L1264" t="s">
        <v>465</v>
      </c>
      <c r="M1264" t="s">
        <v>523</v>
      </c>
    </row>
    <row r="1265" spans="1:13">
      <c r="A1265">
        <v>1063</v>
      </c>
      <c r="B1265">
        <v>3003</v>
      </c>
      <c r="C12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265" s="32">
        <v>46153</v>
      </c>
      <c r="E12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265">
        <v>1</v>
      </c>
      <c r="I1265">
        <f>(salidas26[[#This Row],[CANT JUEGOS ]]*salidas26[[#This Row],[PRECIO JUEGO]])</f>
        <v>160</v>
      </c>
      <c r="J1265">
        <f>(salidas26[[#This Row],[CANT BARRAS]]*salidas26[[#This Row],[PRECIO BARRA]])</f>
        <v>0</v>
      </c>
      <c r="K1265">
        <v>140</v>
      </c>
      <c r="L1265" t="s">
        <v>465</v>
      </c>
      <c r="M1265" t="s">
        <v>871</v>
      </c>
    </row>
    <row r="1266" spans="1:13">
      <c r="A1266">
        <v>1064</v>
      </c>
      <c r="B1266">
        <v>2075</v>
      </c>
      <c r="C12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266" s="32">
        <v>46153</v>
      </c>
      <c r="E12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2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266">
        <v>1</v>
      </c>
      <c r="I1266">
        <f>(salidas26[[#This Row],[CANT JUEGOS ]]*salidas26[[#This Row],[PRECIO JUEGO]])</f>
        <v>200</v>
      </c>
      <c r="J1266">
        <f>(salidas26[[#This Row],[CANT BARRAS]]*salidas26[[#This Row],[PRECIO BARRA]])</f>
        <v>0</v>
      </c>
      <c r="K1266">
        <v>180</v>
      </c>
      <c r="L1266" t="s">
        <v>496</v>
      </c>
      <c r="M1266" t="s">
        <v>466</v>
      </c>
    </row>
    <row r="1267" spans="1:13">
      <c r="A1267">
        <v>1065</v>
      </c>
      <c r="B1267">
        <v>6000</v>
      </c>
      <c r="C12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267" s="32">
        <v>46153</v>
      </c>
      <c r="E12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67">
        <v>2</v>
      </c>
      <c r="I1267">
        <f>(salidas26[[#This Row],[CANT JUEGOS ]]*salidas26[[#This Row],[PRECIO JUEGO]])</f>
        <v>120</v>
      </c>
      <c r="J1267">
        <f>(salidas26[[#This Row],[CANT BARRAS]]*salidas26[[#This Row],[PRECIO BARRA]])</f>
        <v>0</v>
      </c>
      <c r="K1267">
        <v>96</v>
      </c>
      <c r="L1267" t="s">
        <v>465</v>
      </c>
      <c r="M1267" t="s">
        <v>497</v>
      </c>
    </row>
    <row r="1268" spans="1:13">
      <c r="A1268">
        <v>1066</v>
      </c>
      <c r="B1268">
        <v>4003</v>
      </c>
      <c r="C12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268" s="32">
        <v>46153</v>
      </c>
      <c r="E12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2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68">
        <v>2</v>
      </c>
      <c r="I1268">
        <f>(salidas26[[#This Row],[CANT JUEGOS ]]*salidas26[[#This Row],[PRECIO JUEGO]])</f>
        <v>180</v>
      </c>
      <c r="J1268">
        <f>(salidas26[[#This Row],[CANT BARRAS]]*salidas26[[#This Row],[PRECIO BARRA]])</f>
        <v>0</v>
      </c>
      <c r="K1268">
        <v>144</v>
      </c>
      <c r="L1268" t="s">
        <v>465</v>
      </c>
      <c r="M1268" t="s">
        <v>497</v>
      </c>
    </row>
    <row r="1269" spans="1:13">
      <c r="A1269">
        <v>1067</v>
      </c>
      <c r="B1269">
        <v>8012</v>
      </c>
      <c r="C12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269" s="32">
        <v>46153</v>
      </c>
      <c r="E12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2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69">
        <v>2</v>
      </c>
      <c r="I1269">
        <f>(salidas26[[#This Row],[CANT JUEGOS ]]*salidas26[[#This Row],[PRECIO JUEGO]])</f>
        <v>200</v>
      </c>
      <c r="J1269">
        <f>(salidas26[[#This Row],[CANT BARRAS]]*salidas26[[#This Row],[PRECIO BARRA]])</f>
        <v>0</v>
      </c>
      <c r="K1269">
        <v>160</v>
      </c>
      <c r="L1269" t="s">
        <v>465</v>
      </c>
      <c r="M1269" t="s">
        <v>497</v>
      </c>
    </row>
    <row r="1270" spans="1:13">
      <c r="A1270">
        <v>1068</v>
      </c>
      <c r="B1270">
        <v>8097</v>
      </c>
      <c r="C12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 PREMIER 10B/6L/3V</v>
      </c>
      <c r="D1270" s="32">
        <v>46153</v>
      </c>
      <c r="E12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12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38</v>
      </c>
      <c r="G1270">
        <v>1</v>
      </c>
      <c r="I1270">
        <f>(salidas26[[#This Row],[CANT JUEGOS ]]*salidas26[[#This Row],[PRECIO JUEGO]])</f>
        <v>380</v>
      </c>
      <c r="J1270">
        <f>(salidas26[[#This Row],[CANT BARRAS]]*salidas26[[#This Row],[PRECIO BARRA]])</f>
        <v>0</v>
      </c>
      <c r="K1270">
        <v>304</v>
      </c>
      <c r="L1270" t="s">
        <v>465</v>
      </c>
      <c r="M1270" t="s">
        <v>497</v>
      </c>
    </row>
    <row r="1271" spans="1:13">
      <c r="A1271">
        <v>1069</v>
      </c>
      <c r="B1271">
        <v>4010</v>
      </c>
      <c r="C12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271" s="32">
        <v>46153</v>
      </c>
      <c r="E12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71">
        <v>1</v>
      </c>
      <c r="I1271">
        <f>(salidas26[[#This Row],[CANT JUEGOS ]]*salidas26[[#This Row],[PRECIO JUEGO]])</f>
        <v>160</v>
      </c>
      <c r="J1271">
        <f>(salidas26[[#This Row],[CANT BARRAS]]*salidas26[[#This Row],[PRECIO BARRA]])</f>
        <v>0</v>
      </c>
      <c r="K1271">
        <v>160</v>
      </c>
      <c r="L1271" t="s">
        <v>496</v>
      </c>
      <c r="M1271" t="s">
        <v>542</v>
      </c>
    </row>
    <row r="1272" spans="1:13">
      <c r="A1272">
        <v>1070</v>
      </c>
      <c r="B1272">
        <v>5012</v>
      </c>
      <c r="C12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KDL-40R455 SONY/10B</v>
      </c>
      <c r="D1272" s="32">
        <v>46153</v>
      </c>
      <c r="E12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2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272">
        <v>1</v>
      </c>
      <c r="I1272">
        <f>(salidas26[[#This Row],[CANT JUEGOS ]]*salidas26[[#This Row],[PRECIO JUEGO]])</f>
        <v>200</v>
      </c>
      <c r="J1272">
        <f>(salidas26[[#This Row],[CANT BARRAS]]*salidas26[[#This Row],[PRECIO BARRA]])</f>
        <v>0</v>
      </c>
      <c r="K1272">
        <v>200</v>
      </c>
      <c r="L1272" t="s">
        <v>496</v>
      </c>
      <c r="M1272" t="s">
        <v>670</v>
      </c>
    </row>
    <row r="1273" spans="1:13">
      <c r="A1273">
        <v>1071</v>
      </c>
      <c r="B1273">
        <v>8033</v>
      </c>
      <c r="C12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273" s="32">
        <v>46153</v>
      </c>
      <c r="E12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73">
        <v>1</v>
      </c>
      <c r="I1273">
        <f>(salidas26[[#This Row],[CANT JUEGOS ]]*salidas26[[#This Row],[PRECIO JUEGO]])</f>
        <v>150</v>
      </c>
      <c r="J1273">
        <f>(salidas26[[#This Row],[CANT BARRAS]]*salidas26[[#This Row],[PRECIO BARRA]])</f>
        <v>0</v>
      </c>
      <c r="K1273">
        <v>150</v>
      </c>
      <c r="L1273" t="s">
        <v>465</v>
      </c>
      <c r="M1273" t="s">
        <v>872</v>
      </c>
    </row>
    <row r="1274" spans="1:13">
      <c r="A1274">
        <v>1072</v>
      </c>
      <c r="B1274">
        <v>8033</v>
      </c>
      <c r="C12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274" s="32">
        <v>46153</v>
      </c>
      <c r="E12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74">
        <v>1</v>
      </c>
      <c r="I1274">
        <f>(salidas26[[#This Row],[CANT JUEGOS ]]*salidas26[[#This Row],[PRECIO JUEGO]])</f>
        <v>150</v>
      </c>
      <c r="J1274">
        <f>(salidas26[[#This Row],[CANT BARRAS]]*salidas26[[#This Row],[PRECIO BARRA]])</f>
        <v>0</v>
      </c>
      <c r="K1274">
        <v>150</v>
      </c>
      <c r="L1274" t="s">
        <v>496</v>
      </c>
      <c r="M1274" t="s">
        <v>664</v>
      </c>
    </row>
    <row r="1275" spans="1:13">
      <c r="A1275">
        <v>1073</v>
      </c>
      <c r="B1275">
        <v>3003</v>
      </c>
      <c r="C12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275" s="32">
        <v>46154</v>
      </c>
      <c r="E12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275">
        <v>1</v>
      </c>
      <c r="H1275">
        <v>5</v>
      </c>
      <c r="I1275">
        <f>(salidas26[[#This Row],[CANT JUEGOS ]]*salidas26[[#This Row],[PRECIO JUEGO]])</f>
        <v>160</v>
      </c>
      <c r="J1275">
        <f>(salidas26[[#This Row],[CANT BARRAS]]*salidas26[[#This Row],[PRECIO BARRA]])</f>
        <v>200</v>
      </c>
      <c r="K1275">
        <v>126</v>
      </c>
      <c r="L1275" t="s">
        <v>465</v>
      </c>
      <c r="M1275" t="s">
        <v>471</v>
      </c>
    </row>
    <row r="1276" spans="1:13">
      <c r="A1276">
        <v>1074</v>
      </c>
      <c r="B1276">
        <v>3001</v>
      </c>
      <c r="C12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1276" s="32">
        <v>46154</v>
      </c>
      <c r="E12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2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276">
        <v>2</v>
      </c>
      <c r="I1276">
        <f>(salidas26[[#This Row],[CANT JUEGOS ]]*salidas26[[#This Row],[PRECIO JUEGO]])</f>
        <v>200</v>
      </c>
      <c r="J1276">
        <f>(salidas26[[#This Row],[CANT BARRAS]]*salidas26[[#This Row],[PRECIO BARRA]])</f>
        <v>0</v>
      </c>
      <c r="K1276">
        <v>160</v>
      </c>
      <c r="L1276" t="s">
        <v>465</v>
      </c>
      <c r="M1276" t="s">
        <v>497</v>
      </c>
    </row>
    <row r="1277" spans="1:13">
      <c r="A1277">
        <v>1075</v>
      </c>
      <c r="B1277">
        <v>1132</v>
      </c>
      <c r="C12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55UH8500/2B</v>
      </c>
      <c r="D1277" s="32">
        <v>46154</v>
      </c>
      <c r="E12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2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277">
        <v>1</v>
      </c>
      <c r="I1277">
        <f>(salidas26[[#This Row],[CANT JUEGOS ]]*salidas26[[#This Row],[PRECIO JUEGO]])</f>
        <v>260</v>
      </c>
      <c r="J1277">
        <f>(salidas26[[#This Row],[CANT BARRAS]]*salidas26[[#This Row],[PRECIO BARRA]])</f>
        <v>0</v>
      </c>
      <c r="K1277">
        <v>208</v>
      </c>
      <c r="L1277" t="s">
        <v>873</v>
      </c>
      <c r="M1277" t="s">
        <v>497</v>
      </c>
    </row>
    <row r="1278" spans="1:13">
      <c r="A1278">
        <v>1076</v>
      </c>
      <c r="B1278">
        <v>1033</v>
      </c>
      <c r="C12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278" s="32">
        <v>46154</v>
      </c>
      <c r="E12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278">
        <v>1</v>
      </c>
      <c r="I1278">
        <f>(salidas26[[#This Row],[CANT JUEGOS ]]*salidas26[[#This Row],[PRECIO JUEGO]])</f>
        <v>180</v>
      </c>
      <c r="J1278">
        <f>(salidas26[[#This Row],[CANT BARRAS]]*salidas26[[#This Row],[PRECIO BARRA]])</f>
        <v>0</v>
      </c>
      <c r="K1278">
        <v>180</v>
      </c>
      <c r="L1278" t="s">
        <v>496</v>
      </c>
      <c r="M1278" t="s">
        <v>509</v>
      </c>
    </row>
    <row r="1279" spans="1:13">
      <c r="A1279">
        <v>1077</v>
      </c>
      <c r="B1279">
        <v>1015</v>
      </c>
      <c r="C12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279" s="32">
        <v>46154</v>
      </c>
      <c r="E12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2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279">
        <v>1</v>
      </c>
      <c r="I1279">
        <f>(salidas26[[#This Row],[CANT JUEGOS ]]*salidas26[[#This Row],[PRECIO JUEGO]])</f>
        <v>80</v>
      </c>
      <c r="J1279">
        <f>(salidas26[[#This Row],[CANT BARRAS]]*salidas26[[#This Row],[PRECIO BARRA]])</f>
        <v>0</v>
      </c>
      <c r="K1279">
        <v>90</v>
      </c>
      <c r="L1279" t="s">
        <v>496</v>
      </c>
      <c r="M1279" t="s">
        <v>509</v>
      </c>
    </row>
    <row r="1280" spans="1:13">
      <c r="A1280">
        <v>1078</v>
      </c>
      <c r="B1280">
        <v>4010</v>
      </c>
      <c r="C12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280" s="32">
        <v>46154</v>
      </c>
      <c r="E12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280">
        <v>1</v>
      </c>
      <c r="I1280">
        <f>(salidas26[[#This Row],[CANT JUEGOS ]]*salidas26[[#This Row],[PRECIO JUEGO]])</f>
        <v>160</v>
      </c>
      <c r="J1280">
        <f>(salidas26[[#This Row],[CANT BARRAS]]*salidas26[[#This Row],[PRECIO BARRA]])</f>
        <v>0</v>
      </c>
      <c r="K1280">
        <v>160</v>
      </c>
      <c r="L1280" t="s">
        <v>465</v>
      </c>
      <c r="M1280" t="s">
        <v>481</v>
      </c>
    </row>
    <row r="1281" spans="1:13">
      <c r="A1281">
        <v>1079</v>
      </c>
      <c r="B1281">
        <v>8130</v>
      </c>
      <c r="C12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LUPA NORMAL 6V/2W S/C</v>
      </c>
      <c r="D1281" s="32">
        <v>46154</v>
      </c>
      <c r="E12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2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281">
        <v>14</v>
      </c>
      <c r="I1281">
        <f>(salidas26[[#This Row],[CANT JUEGOS ]]*salidas26[[#This Row],[PRECIO JUEGO]])</f>
        <v>0</v>
      </c>
      <c r="J1281">
        <f>(salidas26[[#This Row],[CANT BARRAS]]*salidas26[[#This Row],[PRECIO BARRA]])</f>
        <v>49</v>
      </c>
      <c r="K1281">
        <v>50</v>
      </c>
      <c r="L1281" t="s">
        <v>465</v>
      </c>
      <c r="M1281" t="s">
        <v>470</v>
      </c>
    </row>
    <row r="1282" spans="1:13">
      <c r="A1282">
        <v>1080</v>
      </c>
      <c r="B1282">
        <v>2093</v>
      </c>
      <c r="C12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UN60FH6003/12B</v>
      </c>
      <c r="D1282" s="32">
        <v>46154</v>
      </c>
      <c r="E12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2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282">
        <v>1</v>
      </c>
      <c r="I1282">
        <f>(salidas26[[#This Row],[CANT JUEGOS ]]*salidas26[[#This Row],[PRECIO JUEGO]])</f>
        <v>400</v>
      </c>
      <c r="J1282">
        <f>(salidas26[[#This Row],[CANT BARRAS]]*salidas26[[#This Row],[PRECIO BARRA]])</f>
        <v>0</v>
      </c>
      <c r="K1282">
        <v>380</v>
      </c>
      <c r="L1282" t="s">
        <v>465</v>
      </c>
      <c r="M1282" t="s">
        <v>466</v>
      </c>
    </row>
    <row r="1283" spans="1:13">
      <c r="A1283">
        <v>1081</v>
      </c>
      <c r="B1283">
        <v>5010</v>
      </c>
      <c r="C12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1283" s="32">
        <v>46154</v>
      </c>
      <c r="E12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283">
        <v>1</v>
      </c>
      <c r="I1283">
        <f>(salidas26[[#This Row],[CANT JUEGOS ]]*salidas26[[#This Row],[PRECIO JUEGO]])</f>
        <v>180</v>
      </c>
      <c r="J1283">
        <f>(salidas26[[#This Row],[CANT BARRAS]]*salidas26[[#This Row],[PRECIO BARRA]])</f>
        <v>0</v>
      </c>
      <c r="M1283" t="s">
        <v>471</v>
      </c>
    </row>
    <row r="1284" spans="1:13">
      <c r="A1284">
        <v>1082</v>
      </c>
      <c r="B1284">
        <v>6000</v>
      </c>
      <c r="C12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284" s="32">
        <v>46155</v>
      </c>
      <c r="E12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84">
        <v>1</v>
      </c>
      <c r="I1284">
        <f>(salidas26[[#This Row],[CANT JUEGOS ]]*salidas26[[#This Row],[PRECIO JUEGO]])</f>
        <v>60</v>
      </c>
      <c r="J1284">
        <f>(salidas26[[#This Row],[CANT BARRAS]]*salidas26[[#This Row],[PRECIO BARRA]])</f>
        <v>0</v>
      </c>
      <c r="K1284">
        <v>50</v>
      </c>
      <c r="L1284" t="s">
        <v>465</v>
      </c>
      <c r="M1284" t="s">
        <v>481</v>
      </c>
    </row>
    <row r="1285" spans="1:13">
      <c r="A1285">
        <v>1083</v>
      </c>
      <c r="B1285">
        <v>4009</v>
      </c>
      <c r="C12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285" s="32">
        <v>46155</v>
      </c>
      <c r="E12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2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285">
        <v>1</v>
      </c>
      <c r="I1285">
        <f>(salidas26[[#This Row],[CANT JUEGOS ]]*salidas26[[#This Row],[PRECIO JUEGO]])</f>
        <v>160</v>
      </c>
      <c r="J1285">
        <f>(salidas26[[#This Row],[CANT BARRAS]]*salidas26[[#This Row],[PRECIO BARRA]])</f>
        <v>0</v>
      </c>
      <c r="K1285">
        <v>150</v>
      </c>
      <c r="L1285" t="s">
        <v>496</v>
      </c>
      <c r="M1285" t="s">
        <v>822</v>
      </c>
    </row>
    <row r="1286" spans="1:13">
      <c r="A1286">
        <v>1084</v>
      </c>
      <c r="B1286">
        <v>3006</v>
      </c>
      <c r="C12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286" s="32">
        <v>46155</v>
      </c>
      <c r="E12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286">
        <v>1</v>
      </c>
      <c r="I1286">
        <f>(salidas26[[#This Row],[CANT JUEGOS ]]*salidas26[[#This Row],[PRECIO JUEGO]])</f>
        <v>180</v>
      </c>
      <c r="J1286">
        <f>(salidas26[[#This Row],[CANT BARRAS]]*salidas26[[#This Row],[PRECIO BARRA]])</f>
        <v>0</v>
      </c>
      <c r="K1286">
        <v>180</v>
      </c>
      <c r="L1286" t="s">
        <v>496</v>
      </c>
      <c r="M1286" t="s">
        <v>822</v>
      </c>
    </row>
    <row r="1287" spans="1:13">
      <c r="A1287">
        <v>1085</v>
      </c>
      <c r="B1287">
        <v>8006</v>
      </c>
      <c r="C12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27 PULG</v>
      </c>
      <c r="D1287" s="32">
        <v>46155</v>
      </c>
      <c r="E12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2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287">
        <v>1</v>
      </c>
      <c r="I1287">
        <f>(salidas26[[#This Row],[CANT JUEGOS ]]*salidas26[[#This Row],[PRECIO JUEGO]])</f>
        <v>80</v>
      </c>
      <c r="J1287">
        <f>(salidas26[[#This Row],[CANT BARRAS]]*salidas26[[#This Row],[PRECIO BARRA]])</f>
        <v>0</v>
      </c>
      <c r="K1287">
        <v>60</v>
      </c>
      <c r="L1287" t="s">
        <v>496</v>
      </c>
      <c r="M1287" t="s">
        <v>822</v>
      </c>
    </row>
    <row r="1288" spans="1:13">
      <c r="A1288">
        <v>1086</v>
      </c>
      <c r="B1288">
        <v>8033</v>
      </c>
      <c r="C12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288" s="32">
        <v>46155</v>
      </c>
      <c r="E12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2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288">
        <v>1</v>
      </c>
      <c r="I1288">
        <f>(salidas26[[#This Row],[CANT JUEGOS ]]*salidas26[[#This Row],[PRECIO JUEGO]])</f>
        <v>150</v>
      </c>
      <c r="J1288">
        <f>(salidas26[[#This Row],[CANT BARRAS]]*salidas26[[#This Row],[PRECIO BARRA]])</f>
        <v>0</v>
      </c>
      <c r="K1288">
        <v>150</v>
      </c>
      <c r="L1288" t="s">
        <v>564</v>
      </c>
      <c r="M1288" t="s">
        <v>481</v>
      </c>
    </row>
    <row r="1289" spans="1:13">
      <c r="A1289">
        <v>1087</v>
      </c>
      <c r="B1289">
        <v>6015</v>
      </c>
      <c r="C12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289" s="32">
        <v>46155</v>
      </c>
      <c r="E12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2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289">
        <v>1</v>
      </c>
      <c r="I1289">
        <f>(salidas26[[#This Row],[CANT JUEGOS ]]*salidas26[[#This Row],[PRECIO JUEGO]])</f>
        <v>220</v>
      </c>
      <c r="J1289">
        <f>(salidas26[[#This Row],[CANT BARRAS]]*salidas26[[#This Row],[PRECIO BARRA]])</f>
        <v>0</v>
      </c>
      <c r="K1289">
        <v>200</v>
      </c>
      <c r="L1289" t="s">
        <v>564</v>
      </c>
      <c r="M1289" t="s">
        <v>797</v>
      </c>
    </row>
    <row r="1290" spans="1:13">
      <c r="A1290">
        <v>1088</v>
      </c>
      <c r="B1290">
        <v>6000</v>
      </c>
      <c r="C12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290" s="32">
        <v>46155</v>
      </c>
      <c r="E12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0">
        <v>1</v>
      </c>
      <c r="I1290">
        <f>(salidas26[[#This Row],[CANT JUEGOS ]]*salidas26[[#This Row],[PRECIO JUEGO]])</f>
        <v>60</v>
      </c>
      <c r="J1290">
        <f>(salidas26[[#This Row],[CANT BARRAS]]*salidas26[[#This Row],[PRECIO BARRA]])</f>
        <v>0</v>
      </c>
      <c r="K1290">
        <v>50</v>
      </c>
      <c r="L1290" t="s">
        <v>465</v>
      </c>
      <c r="M1290" t="s">
        <v>730</v>
      </c>
    </row>
    <row r="1291" spans="1:13">
      <c r="A1291">
        <v>1090</v>
      </c>
      <c r="B1291">
        <v>1111</v>
      </c>
      <c r="C12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UK 6300-UM7100 /3B</v>
      </c>
      <c r="D1291" s="32">
        <v>46155</v>
      </c>
      <c r="E12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2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93.333333333333329</v>
      </c>
      <c r="G1291">
        <v>1</v>
      </c>
      <c r="I1291">
        <f>(salidas26[[#This Row],[CANT JUEGOS ]]*salidas26[[#This Row],[PRECIO JUEGO]])</f>
        <v>280</v>
      </c>
      <c r="J1291">
        <f>(salidas26[[#This Row],[CANT BARRAS]]*salidas26[[#This Row],[PRECIO BARRA]])</f>
        <v>0</v>
      </c>
      <c r="K1291">
        <v>100</v>
      </c>
      <c r="M1291" t="s">
        <v>874</v>
      </c>
    </row>
    <row r="1292" spans="1:13">
      <c r="A1292">
        <v>1092</v>
      </c>
      <c r="B1292">
        <v>8123</v>
      </c>
      <c r="C12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1292" s="32">
        <v>46155</v>
      </c>
      <c r="E12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2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292">
        <v>50</v>
      </c>
      <c r="I1292">
        <f>(salidas26[[#This Row],[CANT JUEGOS ]]*salidas26[[#This Row],[PRECIO JUEGO]])</f>
        <v>0</v>
      </c>
      <c r="J1292">
        <f>(salidas26[[#This Row],[CANT BARRAS]]*salidas26[[#This Row],[PRECIO BARRA]])</f>
        <v>175</v>
      </c>
      <c r="K1292">
        <v>170</v>
      </c>
      <c r="L1292" t="s">
        <v>496</v>
      </c>
      <c r="M1292" t="s">
        <v>466</v>
      </c>
    </row>
    <row r="1293" spans="1:13">
      <c r="A1293">
        <v>1093</v>
      </c>
      <c r="B1293">
        <v>6016</v>
      </c>
      <c r="C12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293" s="32">
        <v>46155</v>
      </c>
      <c r="E12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2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3">
        <v>1</v>
      </c>
      <c r="I1293">
        <f>(salidas26[[#This Row],[CANT JUEGOS ]]*salidas26[[#This Row],[PRECIO JUEGO]])</f>
        <v>240</v>
      </c>
      <c r="J1293">
        <f>(salidas26[[#This Row],[CANT BARRAS]]*salidas26[[#This Row],[PRECIO BARRA]])</f>
        <v>0</v>
      </c>
      <c r="K1293">
        <v>220</v>
      </c>
      <c r="L1293" t="s">
        <v>465</v>
      </c>
      <c r="M1293" t="s">
        <v>595</v>
      </c>
    </row>
    <row r="1294" spans="1:13">
      <c r="A1294">
        <v>1094</v>
      </c>
      <c r="B1294">
        <v>1033</v>
      </c>
      <c r="C12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294" s="32">
        <v>46155</v>
      </c>
      <c r="E12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294">
        <v>1</v>
      </c>
      <c r="I1294">
        <f>(salidas26[[#This Row],[CANT JUEGOS ]]*salidas26[[#This Row],[PRECIO JUEGO]])</f>
        <v>180</v>
      </c>
      <c r="J1294">
        <f>(salidas26[[#This Row],[CANT BARRAS]]*salidas26[[#This Row],[PRECIO BARRA]])</f>
        <v>0</v>
      </c>
      <c r="K1294">
        <v>180</v>
      </c>
      <c r="L1294" t="s">
        <v>465</v>
      </c>
      <c r="M1294" t="s">
        <v>466</v>
      </c>
    </row>
    <row r="1295" spans="1:13">
      <c r="A1295">
        <v>1095</v>
      </c>
      <c r="B1295">
        <v>1075</v>
      </c>
      <c r="C12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1295" s="32">
        <v>46155</v>
      </c>
      <c r="E12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2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5">
        <v>1</v>
      </c>
      <c r="I1295">
        <f>(salidas26[[#This Row],[CANT JUEGOS ]]*salidas26[[#This Row],[PRECIO JUEGO]])</f>
        <v>240</v>
      </c>
      <c r="J1295">
        <f>(salidas26[[#This Row],[CANT BARRAS]]*salidas26[[#This Row],[PRECIO BARRA]])</f>
        <v>0</v>
      </c>
      <c r="K1295">
        <v>220</v>
      </c>
      <c r="L1295" t="s">
        <v>465</v>
      </c>
      <c r="M1295" t="s">
        <v>824</v>
      </c>
    </row>
    <row r="1296" spans="1:13">
      <c r="A1296">
        <v>1096</v>
      </c>
      <c r="B1296">
        <v>4000</v>
      </c>
      <c r="C12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296" s="32">
        <v>46155</v>
      </c>
      <c r="E12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2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6">
        <v>1</v>
      </c>
      <c r="I1296">
        <f>(salidas26[[#This Row],[CANT JUEGOS ]]*salidas26[[#This Row],[PRECIO JUEGO]])</f>
        <v>60</v>
      </c>
      <c r="J1296">
        <f>(salidas26[[#This Row],[CANT BARRAS]]*salidas26[[#This Row],[PRECIO BARRA]])</f>
        <v>0</v>
      </c>
      <c r="K1296">
        <v>50</v>
      </c>
      <c r="L1296" t="s">
        <v>465</v>
      </c>
      <c r="M1296" t="s">
        <v>658</v>
      </c>
    </row>
    <row r="1297" spans="1:13">
      <c r="A1297">
        <v>1097</v>
      </c>
      <c r="B1297">
        <v>3000</v>
      </c>
      <c r="C12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297" s="32">
        <v>46155</v>
      </c>
      <c r="E12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2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7">
        <v>1</v>
      </c>
      <c r="I1297">
        <f>(salidas26[[#This Row],[CANT JUEGOS ]]*salidas26[[#This Row],[PRECIO JUEGO]])</f>
        <v>90</v>
      </c>
      <c r="J1297">
        <f>(salidas26[[#This Row],[CANT BARRAS]]*salidas26[[#This Row],[PRECIO BARRA]])</f>
        <v>0</v>
      </c>
      <c r="K1297">
        <v>90</v>
      </c>
      <c r="L1297" t="s">
        <v>496</v>
      </c>
      <c r="M1297" t="s">
        <v>469</v>
      </c>
    </row>
    <row r="1298" spans="1:13">
      <c r="A1298">
        <v>1098</v>
      </c>
      <c r="B1298">
        <v>1012</v>
      </c>
      <c r="C12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298" s="32">
        <v>46156</v>
      </c>
      <c r="E12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2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298">
        <v>1</v>
      </c>
      <c r="I1298">
        <f>(salidas26[[#This Row],[CANT JUEGOS ]]*salidas26[[#This Row],[PRECIO JUEGO]])</f>
        <v>90</v>
      </c>
      <c r="J1298">
        <f>(salidas26[[#This Row],[CANT BARRAS]]*salidas26[[#This Row],[PRECIO BARRA]])</f>
        <v>0</v>
      </c>
      <c r="K1298">
        <v>90</v>
      </c>
      <c r="L1298" t="s">
        <v>465</v>
      </c>
      <c r="M1298" t="s">
        <v>482</v>
      </c>
    </row>
    <row r="1299" spans="1:13">
      <c r="A1299">
        <v>1099</v>
      </c>
      <c r="B1299">
        <v>1063</v>
      </c>
      <c r="C12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D1299" s="32">
        <v>46156</v>
      </c>
      <c r="E12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2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1299">
        <v>1</v>
      </c>
      <c r="H1299">
        <v>4</v>
      </c>
      <c r="I1299">
        <f>(salidas26[[#This Row],[CANT JUEGOS ]]*salidas26[[#This Row],[PRECIO JUEGO]])</f>
        <v>180</v>
      </c>
      <c r="J1299">
        <f>(salidas26[[#This Row],[CANT BARRAS]]*salidas26[[#This Row],[PRECIO BARRA]])</f>
        <v>144</v>
      </c>
      <c r="K1299">
        <v>160</v>
      </c>
      <c r="L1299" t="s">
        <v>465</v>
      </c>
      <c r="M1299" t="s">
        <v>470</v>
      </c>
    </row>
    <row r="1300" spans="1:13">
      <c r="A1300">
        <v>1100</v>
      </c>
      <c r="B1300">
        <v>4011</v>
      </c>
      <c r="C13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300" s="32">
        <v>46156</v>
      </c>
      <c r="E13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3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300">
        <v>1</v>
      </c>
      <c r="I1300">
        <f>(salidas26[[#This Row],[CANT JUEGOS ]]*salidas26[[#This Row],[PRECIO JUEGO]])</f>
        <v>160</v>
      </c>
      <c r="J1300">
        <f>(salidas26[[#This Row],[CANT BARRAS]]*salidas26[[#This Row],[PRECIO BARRA]])</f>
        <v>0</v>
      </c>
      <c r="K1300">
        <v>180</v>
      </c>
      <c r="L1300" t="s">
        <v>465</v>
      </c>
      <c r="M1300" t="s">
        <v>481</v>
      </c>
    </row>
    <row r="1301" spans="1:13">
      <c r="A1301">
        <v>1101</v>
      </c>
      <c r="B1301">
        <v>8015</v>
      </c>
      <c r="C13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01" s="32">
        <v>46156</v>
      </c>
      <c r="E13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01">
        <v>1</v>
      </c>
      <c r="I1301">
        <f>(salidas26[[#This Row],[CANT JUEGOS ]]*salidas26[[#This Row],[PRECIO JUEGO]])</f>
        <v>60</v>
      </c>
      <c r="J1301">
        <f>(salidas26[[#This Row],[CANT BARRAS]]*salidas26[[#This Row],[PRECIO BARRA]])</f>
        <v>0</v>
      </c>
      <c r="K1301">
        <v>50</v>
      </c>
      <c r="L1301" t="s">
        <v>465</v>
      </c>
      <c r="M1301" t="s">
        <v>481</v>
      </c>
    </row>
    <row r="1302" spans="1:13">
      <c r="A1302">
        <v>1102</v>
      </c>
      <c r="B1302">
        <v>6001</v>
      </c>
      <c r="C13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D1302" s="32">
        <v>46156</v>
      </c>
      <c r="E13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3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302">
        <v>1</v>
      </c>
      <c r="I1302">
        <f>(salidas26[[#This Row],[CANT JUEGOS ]]*salidas26[[#This Row],[PRECIO JUEGO]])</f>
        <v>80</v>
      </c>
      <c r="J1302">
        <f>(salidas26[[#This Row],[CANT BARRAS]]*salidas26[[#This Row],[PRECIO BARRA]])</f>
        <v>0</v>
      </c>
      <c r="K1302">
        <v>50</v>
      </c>
      <c r="L1302" t="s">
        <v>465</v>
      </c>
      <c r="M1302" t="s">
        <v>523</v>
      </c>
    </row>
    <row r="1303" spans="1:13">
      <c r="A1303">
        <v>1103</v>
      </c>
      <c r="B1303">
        <v>3000</v>
      </c>
      <c r="C13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303" s="32">
        <v>46156</v>
      </c>
      <c r="E13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3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03">
        <v>1</v>
      </c>
      <c r="I1303">
        <f>(salidas26[[#This Row],[CANT JUEGOS ]]*salidas26[[#This Row],[PRECIO JUEGO]])</f>
        <v>90</v>
      </c>
      <c r="J1303">
        <f>(salidas26[[#This Row],[CANT BARRAS]]*salidas26[[#This Row],[PRECIO BARRA]])</f>
        <v>0</v>
      </c>
      <c r="K1303">
        <v>90</v>
      </c>
      <c r="L1303" t="s">
        <v>465</v>
      </c>
      <c r="M1303" t="s">
        <v>523</v>
      </c>
    </row>
    <row r="1304" spans="1:13">
      <c r="A1304">
        <v>1104</v>
      </c>
      <c r="B1304">
        <v>8055</v>
      </c>
      <c r="C13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304" s="32">
        <v>46156</v>
      </c>
      <c r="E13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04">
        <v>1</v>
      </c>
      <c r="I1304">
        <f>(salidas26[[#This Row],[CANT JUEGOS ]]*salidas26[[#This Row],[PRECIO JUEGO]])</f>
        <v>180</v>
      </c>
      <c r="J1304">
        <f>(salidas26[[#This Row],[CANT BARRAS]]*salidas26[[#This Row],[PRECIO BARRA]])</f>
        <v>0</v>
      </c>
      <c r="M1304" t="s">
        <v>471</v>
      </c>
    </row>
    <row r="1305" spans="1:13">
      <c r="A1305">
        <v>1105</v>
      </c>
      <c r="B1305">
        <v>2000</v>
      </c>
      <c r="C13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305" s="32">
        <v>46156</v>
      </c>
      <c r="E13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3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305">
        <v>1</v>
      </c>
      <c r="I1305">
        <f>(salidas26[[#This Row],[CANT JUEGOS ]]*salidas26[[#This Row],[PRECIO JUEGO]])</f>
        <v>80</v>
      </c>
      <c r="J1305">
        <f>(salidas26[[#This Row],[CANT BARRAS]]*salidas26[[#This Row],[PRECIO BARRA]])</f>
        <v>0</v>
      </c>
      <c r="K1305">
        <v>75</v>
      </c>
      <c r="L1305" t="s">
        <v>465</v>
      </c>
      <c r="M1305" t="s">
        <v>487</v>
      </c>
    </row>
    <row r="1306" spans="1:13">
      <c r="A1306">
        <v>1106</v>
      </c>
      <c r="B1306">
        <v>8025</v>
      </c>
      <c r="C13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CHANCHONG 10L/5B</v>
      </c>
      <c r="D1306" s="32">
        <v>46156</v>
      </c>
      <c r="E13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66.666666666666671</v>
      </c>
      <c r="G1306">
        <v>1</v>
      </c>
      <c r="I1306">
        <f>(salidas26[[#This Row],[CANT JUEGOS ]]*salidas26[[#This Row],[PRECIO JUEGO]])</f>
        <v>200</v>
      </c>
      <c r="J1306">
        <f>(salidas26[[#This Row],[CANT BARRAS]]*salidas26[[#This Row],[PRECIO BARRA]])</f>
        <v>0</v>
      </c>
      <c r="K1306">
        <v>190</v>
      </c>
      <c r="L1306" t="s">
        <v>465</v>
      </c>
      <c r="M1306" t="s">
        <v>523</v>
      </c>
    </row>
    <row r="1307" spans="1:13">
      <c r="A1307">
        <v>1107</v>
      </c>
      <c r="B1307">
        <v>6016</v>
      </c>
      <c r="C13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307" s="32">
        <v>46157</v>
      </c>
      <c r="E13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3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07">
        <v>1</v>
      </c>
      <c r="I1307">
        <f>(salidas26[[#This Row],[CANT JUEGOS ]]*salidas26[[#This Row],[PRECIO JUEGO]])</f>
        <v>240</v>
      </c>
      <c r="J1307">
        <f>(salidas26[[#This Row],[CANT BARRAS]]*salidas26[[#This Row],[PRECIO BARRA]])</f>
        <v>0</v>
      </c>
      <c r="K1307">
        <v>200</v>
      </c>
      <c r="L1307" t="s">
        <v>496</v>
      </c>
      <c r="M1307" t="s">
        <v>507</v>
      </c>
    </row>
    <row r="1308" spans="1:13">
      <c r="A1308">
        <v>1108</v>
      </c>
      <c r="B1308">
        <v>6012</v>
      </c>
      <c r="C13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1308" s="32">
        <v>46157</v>
      </c>
      <c r="E13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308">
        <v>1</v>
      </c>
      <c r="I1308">
        <f>(salidas26[[#This Row],[CANT JUEGOS ]]*salidas26[[#This Row],[PRECIO JUEGO]])</f>
        <v>220</v>
      </c>
      <c r="J1308">
        <f>(salidas26[[#This Row],[CANT BARRAS]]*salidas26[[#This Row],[PRECIO BARRA]])</f>
        <v>0</v>
      </c>
      <c r="K1308">
        <v>210</v>
      </c>
      <c r="L1308" t="s">
        <v>465</v>
      </c>
      <c r="M1308" t="s">
        <v>466</v>
      </c>
    </row>
    <row r="1309" spans="1:13">
      <c r="A1309">
        <v>1109</v>
      </c>
      <c r="B1309">
        <v>1012</v>
      </c>
      <c r="C13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309" s="32">
        <v>46157</v>
      </c>
      <c r="E13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3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09">
        <v>1</v>
      </c>
      <c r="I1309">
        <f>(salidas26[[#This Row],[CANT JUEGOS ]]*salidas26[[#This Row],[PRECIO JUEGO]])</f>
        <v>90</v>
      </c>
      <c r="J1309">
        <f>(salidas26[[#This Row],[CANT BARRAS]]*salidas26[[#This Row],[PRECIO BARRA]])</f>
        <v>0</v>
      </c>
      <c r="K1309">
        <v>90</v>
      </c>
      <c r="L1309" t="s">
        <v>465</v>
      </c>
      <c r="M1309" t="s">
        <v>470</v>
      </c>
    </row>
    <row r="1310" spans="1:13">
      <c r="A1310">
        <v>1110</v>
      </c>
      <c r="B1310">
        <v>1033</v>
      </c>
      <c r="C13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310" s="32">
        <v>46157</v>
      </c>
      <c r="E13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310">
        <v>1</v>
      </c>
      <c r="I1310">
        <f>(salidas26[[#This Row],[CANT JUEGOS ]]*salidas26[[#This Row],[PRECIO JUEGO]])</f>
        <v>180</v>
      </c>
      <c r="J1310">
        <f>(salidas26[[#This Row],[CANT BARRAS]]*salidas26[[#This Row],[PRECIO BARRA]])</f>
        <v>0</v>
      </c>
      <c r="K1310">
        <v>170</v>
      </c>
      <c r="L1310" t="s">
        <v>465</v>
      </c>
      <c r="M1310" t="s">
        <v>470</v>
      </c>
    </row>
    <row r="1311" spans="1:13">
      <c r="A1311">
        <v>1111</v>
      </c>
      <c r="B1311">
        <v>8015</v>
      </c>
      <c r="C13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11" s="32">
        <v>46157</v>
      </c>
      <c r="E13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11">
        <v>1</v>
      </c>
      <c r="I1311">
        <f>(salidas26[[#This Row],[CANT JUEGOS ]]*salidas26[[#This Row],[PRECIO JUEGO]])</f>
        <v>60</v>
      </c>
      <c r="J1311">
        <f>(salidas26[[#This Row],[CANT BARRAS]]*salidas26[[#This Row],[PRECIO BARRA]])</f>
        <v>0</v>
      </c>
      <c r="K1311">
        <v>60</v>
      </c>
      <c r="L1311" t="s">
        <v>465</v>
      </c>
      <c r="M1311" t="s">
        <v>875</v>
      </c>
    </row>
    <row r="1312" spans="1:13">
      <c r="A1312">
        <v>1112</v>
      </c>
      <c r="B1312" t="s">
        <v>839</v>
      </c>
      <c r="C13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 GMGUF55WK</v>
      </c>
      <c r="D1312" s="32">
        <v>46157</v>
      </c>
      <c r="E13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31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312">
        <v>1</v>
      </c>
      <c r="I1312">
        <f>(salidas26[[#This Row],[CANT JUEGOS ]]*salidas26[[#This Row],[PRECIO JUEGO]])</f>
        <v>320</v>
      </c>
      <c r="J1312" t="e">
        <f>(salidas26[[#This Row],[CANT BARRAS]]*salidas26[[#This Row],[PRECIO BARRA]])</f>
        <v>#VALUE!</v>
      </c>
      <c r="K1312">
        <v>300</v>
      </c>
      <c r="L1312" t="s">
        <v>496</v>
      </c>
      <c r="M1312" t="s">
        <v>466</v>
      </c>
    </row>
    <row r="1313" spans="1:13">
      <c r="A1313">
        <v>1113</v>
      </c>
      <c r="B1313">
        <v>8057</v>
      </c>
      <c r="C13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313" s="32">
        <v>46157</v>
      </c>
      <c r="E13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13">
        <v>1</v>
      </c>
      <c r="I1313">
        <f>(salidas26[[#This Row],[CANT JUEGOS ]]*salidas26[[#This Row],[PRECIO JUEGO]])</f>
        <v>200</v>
      </c>
      <c r="J1313">
        <f>(salidas26[[#This Row],[CANT BARRAS]]*salidas26[[#This Row],[PRECIO BARRA]])</f>
        <v>0</v>
      </c>
      <c r="K1313">
        <v>200</v>
      </c>
      <c r="L1313" t="s">
        <v>496</v>
      </c>
      <c r="M1313" t="s">
        <v>466</v>
      </c>
    </row>
    <row r="1314" spans="1:13">
      <c r="A1314">
        <v>1114</v>
      </c>
      <c r="B1314">
        <v>4010</v>
      </c>
      <c r="C13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314" s="32">
        <v>46157</v>
      </c>
      <c r="E13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3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314">
        <v>1</v>
      </c>
      <c r="I1314">
        <f>(salidas26[[#This Row],[CANT JUEGOS ]]*salidas26[[#This Row],[PRECIO JUEGO]])</f>
        <v>160</v>
      </c>
      <c r="J1314">
        <f>(salidas26[[#This Row],[CANT BARRAS]]*salidas26[[#This Row],[PRECIO BARRA]])</f>
        <v>0</v>
      </c>
      <c r="K1314">
        <v>128</v>
      </c>
      <c r="L1314" t="s">
        <v>496</v>
      </c>
      <c r="M1314" t="s">
        <v>497</v>
      </c>
    </row>
    <row r="1315" spans="1:13">
      <c r="A1315">
        <v>1115</v>
      </c>
      <c r="B1315">
        <v>6132</v>
      </c>
      <c r="C13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SKYWORTH-65 UB7500 10B</v>
      </c>
      <c r="D1315" s="32">
        <v>46157</v>
      </c>
      <c r="E13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3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42</v>
      </c>
      <c r="G1315">
        <v>1</v>
      </c>
      <c r="I1315">
        <f>(salidas26[[#This Row],[CANT JUEGOS ]]*salidas26[[#This Row],[PRECIO JUEGO]])</f>
        <v>420</v>
      </c>
      <c r="J1315">
        <f>(salidas26[[#This Row],[CANT BARRAS]]*salidas26[[#This Row],[PRECIO BARRA]])</f>
        <v>0</v>
      </c>
      <c r="K1315">
        <v>336</v>
      </c>
      <c r="L1315" t="s">
        <v>496</v>
      </c>
      <c r="M1315" t="s">
        <v>497</v>
      </c>
    </row>
    <row r="1316" spans="1:13">
      <c r="A1316">
        <v>1116</v>
      </c>
      <c r="B1316">
        <v>2012</v>
      </c>
      <c r="C13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316" s="32">
        <v>46157</v>
      </c>
      <c r="E13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3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316">
        <v>1</v>
      </c>
      <c r="I1316">
        <f>(salidas26[[#This Row],[CANT JUEGOS ]]*salidas26[[#This Row],[PRECIO JUEGO]])</f>
        <v>160</v>
      </c>
      <c r="J1316">
        <f>(salidas26[[#This Row],[CANT BARRAS]]*salidas26[[#This Row],[PRECIO BARRA]])</f>
        <v>0</v>
      </c>
      <c r="K1316">
        <v>160</v>
      </c>
      <c r="L1316" t="s">
        <v>465</v>
      </c>
      <c r="M1316" t="s">
        <v>470</v>
      </c>
    </row>
    <row r="1317" spans="1:13">
      <c r="A1317">
        <v>1117</v>
      </c>
      <c r="B1317">
        <v>2024</v>
      </c>
      <c r="C13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317" s="32">
        <v>46157</v>
      </c>
      <c r="E13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17">
        <v>2</v>
      </c>
      <c r="H1317">
        <v>1</v>
      </c>
      <c r="I1317">
        <f>(salidas26[[#This Row],[CANT JUEGOS ]]*salidas26[[#This Row],[PRECIO JUEGO]])</f>
        <v>360</v>
      </c>
      <c r="J1317">
        <f>(salidas26[[#This Row],[CANT BARRAS]]*salidas26[[#This Row],[PRECIO BARRA]])</f>
        <v>60</v>
      </c>
      <c r="K1317">
        <v>200</v>
      </c>
      <c r="L1317" t="s">
        <v>465</v>
      </c>
      <c r="M1317" t="s">
        <v>481</v>
      </c>
    </row>
    <row r="1318" spans="1:13">
      <c r="A1318">
        <v>1118</v>
      </c>
      <c r="B1318">
        <v>1069</v>
      </c>
      <c r="C13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318" s="32">
        <v>46153</v>
      </c>
      <c r="E13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3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318">
        <v>1</v>
      </c>
      <c r="I1318">
        <f>(salidas26[[#This Row],[CANT JUEGOS ]]*salidas26[[#This Row],[PRECIO JUEGO]])</f>
        <v>250</v>
      </c>
      <c r="J1318">
        <f>(salidas26[[#This Row],[CANT BARRAS]]*salidas26[[#This Row],[PRECIO BARRA]])</f>
        <v>0</v>
      </c>
      <c r="K1318">
        <v>200</v>
      </c>
      <c r="L1318" t="s">
        <v>826</v>
      </c>
      <c r="M1318" t="s">
        <v>706</v>
      </c>
    </row>
    <row r="1319" spans="1:13">
      <c r="A1319">
        <v>1119</v>
      </c>
      <c r="B1319">
        <v>2003</v>
      </c>
      <c r="C13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319" s="32">
        <v>46157</v>
      </c>
      <c r="E13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3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319">
        <v>1</v>
      </c>
      <c r="I1319">
        <f>(salidas26[[#This Row],[CANT JUEGOS ]]*salidas26[[#This Row],[PRECIO JUEGO]])</f>
        <v>130</v>
      </c>
      <c r="J1319">
        <f>(salidas26[[#This Row],[CANT BARRAS]]*salidas26[[#This Row],[PRECIO BARRA]])</f>
        <v>0</v>
      </c>
      <c r="K1319">
        <v>120</v>
      </c>
      <c r="L1319" t="s">
        <v>465</v>
      </c>
      <c r="M1319" t="s">
        <v>660</v>
      </c>
    </row>
    <row r="1320" spans="1:13">
      <c r="A1320">
        <v>1120</v>
      </c>
      <c r="B1320">
        <v>8024</v>
      </c>
      <c r="C13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1320" s="32">
        <v>46157</v>
      </c>
      <c r="E13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320">
        <v>1</v>
      </c>
      <c r="I1320">
        <f>(salidas26[[#This Row],[CANT JUEGOS ]]*salidas26[[#This Row],[PRECIO JUEGO]])</f>
        <v>150</v>
      </c>
      <c r="J1320">
        <f>(salidas26[[#This Row],[CANT BARRAS]]*salidas26[[#This Row],[PRECIO BARRA]])</f>
        <v>0</v>
      </c>
      <c r="K1320">
        <v>150</v>
      </c>
      <c r="L1320" t="s">
        <v>465</v>
      </c>
      <c r="M1320" t="s">
        <v>481</v>
      </c>
    </row>
    <row r="1321" spans="1:13">
      <c r="A1321">
        <v>1121</v>
      </c>
      <c r="B1321">
        <v>5018</v>
      </c>
      <c r="C13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321" s="32">
        <v>46158</v>
      </c>
      <c r="E13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321">
        <v>1</v>
      </c>
      <c r="I1321">
        <f>(salidas26[[#This Row],[CANT JUEGOS ]]*salidas26[[#This Row],[PRECIO JUEGO]])</f>
        <v>200</v>
      </c>
      <c r="J1321">
        <f>(salidas26[[#This Row],[CANT BARRAS]]*salidas26[[#This Row],[PRECIO BARRA]])</f>
        <v>0</v>
      </c>
      <c r="K1321">
        <v>180</v>
      </c>
      <c r="L1321" t="s">
        <v>496</v>
      </c>
      <c r="M1321" t="s">
        <v>474</v>
      </c>
    </row>
    <row r="1322" spans="1:13">
      <c r="A1322">
        <v>1122</v>
      </c>
      <c r="B1322">
        <v>8015</v>
      </c>
      <c r="C13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22" s="32">
        <v>46158</v>
      </c>
      <c r="E13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22">
        <v>2</v>
      </c>
      <c r="I1322">
        <f>(salidas26[[#This Row],[CANT JUEGOS ]]*salidas26[[#This Row],[PRECIO JUEGO]])</f>
        <v>120</v>
      </c>
      <c r="J1322">
        <f>(salidas26[[#This Row],[CANT BARRAS]]*salidas26[[#This Row],[PRECIO BARRA]])</f>
        <v>0</v>
      </c>
      <c r="K1322">
        <v>100</v>
      </c>
      <c r="L1322" t="s">
        <v>496</v>
      </c>
      <c r="M1322" t="s">
        <v>474</v>
      </c>
    </row>
    <row r="1323" spans="1:13">
      <c r="A1323">
        <v>1123</v>
      </c>
      <c r="B1323">
        <v>4018</v>
      </c>
      <c r="C13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1323" s="32">
        <v>46158</v>
      </c>
      <c r="E13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323">
        <v>1</v>
      </c>
      <c r="I1323">
        <f>(salidas26[[#This Row],[CANT JUEGOS ]]*salidas26[[#This Row],[PRECIO JUEGO]])</f>
        <v>200</v>
      </c>
      <c r="J1323">
        <f>(salidas26[[#This Row],[CANT BARRAS]]*salidas26[[#This Row],[PRECIO BARRA]])</f>
        <v>0</v>
      </c>
      <c r="K1323">
        <v>160</v>
      </c>
      <c r="L1323" t="s">
        <v>465</v>
      </c>
      <c r="M1323" t="s">
        <v>497</v>
      </c>
    </row>
    <row r="1324" spans="1:13">
      <c r="A1324">
        <v>1124</v>
      </c>
      <c r="B1324">
        <v>6033</v>
      </c>
      <c r="C13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 HISENSE K5500UW 4B EDGE</v>
      </c>
      <c r="D1324" s="32">
        <v>46158</v>
      </c>
      <c r="E13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3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87.5</v>
      </c>
      <c r="G1324">
        <v>1</v>
      </c>
      <c r="I1324">
        <f>(salidas26[[#This Row],[CANT JUEGOS ]]*salidas26[[#This Row],[PRECIO JUEGO]])</f>
        <v>350</v>
      </c>
      <c r="J1324">
        <f>(salidas26[[#This Row],[CANT BARRAS]]*salidas26[[#This Row],[PRECIO BARRA]])</f>
        <v>0</v>
      </c>
      <c r="K1324">
        <v>280</v>
      </c>
      <c r="L1324" t="s">
        <v>465</v>
      </c>
      <c r="M1324" t="s">
        <v>497</v>
      </c>
    </row>
    <row r="1325" spans="1:13">
      <c r="A1325">
        <v>1125</v>
      </c>
      <c r="B1325">
        <v>2075</v>
      </c>
      <c r="C13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325" s="32">
        <v>46160</v>
      </c>
      <c r="E13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325">
        <v>1</v>
      </c>
      <c r="I1325">
        <f>(salidas26[[#This Row],[CANT JUEGOS ]]*salidas26[[#This Row],[PRECIO JUEGO]])</f>
        <v>200</v>
      </c>
      <c r="J1325">
        <f>(salidas26[[#This Row],[CANT BARRAS]]*salidas26[[#This Row],[PRECIO BARRA]])</f>
        <v>0</v>
      </c>
      <c r="K1325">
        <v>200</v>
      </c>
      <c r="L1325" t="s">
        <v>465</v>
      </c>
      <c r="M1325" t="s">
        <v>466</v>
      </c>
    </row>
    <row r="1326" spans="1:13">
      <c r="A1326">
        <v>1126</v>
      </c>
      <c r="B1326">
        <v>2099</v>
      </c>
      <c r="C13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UN65NU7100/2B</v>
      </c>
      <c r="D1326" s="32">
        <v>46160</v>
      </c>
      <c r="E13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3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326">
        <v>1</v>
      </c>
      <c r="I1326">
        <f>(salidas26[[#This Row],[CANT JUEGOS ]]*salidas26[[#This Row],[PRECIO JUEGO]])</f>
        <v>260</v>
      </c>
      <c r="J1326">
        <f>(salidas26[[#This Row],[CANT BARRAS]]*salidas26[[#This Row],[PRECIO BARRA]])</f>
        <v>0</v>
      </c>
      <c r="K1326">
        <v>250</v>
      </c>
      <c r="L1326" t="s">
        <v>496</v>
      </c>
      <c r="M1326" t="s">
        <v>806</v>
      </c>
    </row>
    <row r="1327" spans="1:13">
      <c r="A1327">
        <v>1127</v>
      </c>
      <c r="B1327">
        <v>2075</v>
      </c>
      <c r="C13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327" s="32">
        <v>46160</v>
      </c>
      <c r="E13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327">
        <v>1</v>
      </c>
      <c r="I1327">
        <f>(salidas26[[#This Row],[CANT JUEGOS ]]*salidas26[[#This Row],[PRECIO JUEGO]])</f>
        <v>200</v>
      </c>
      <c r="J1327">
        <f>(salidas26[[#This Row],[CANT BARRAS]]*salidas26[[#This Row],[PRECIO BARRA]])</f>
        <v>0</v>
      </c>
      <c r="K1327">
        <v>180</v>
      </c>
      <c r="L1327" t="s">
        <v>496</v>
      </c>
      <c r="M1327" t="s">
        <v>507</v>
      </c>
    </row>
    <row r="1328" spans="1:13">
      <c r="A1328">
        <v>1128</v>
      </c>
      <c r="B1328">
        <v>8073</v>
      </c>
      <c r="C13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DISMAC 4B/9L TV-6747SF50SFW 50 (PREMIER)</v>
      </c>
      <c r="D1328" s="32">
        <v>46160</v>
      </c>
      <c r="E13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328">
        <v>1</v>
      </c>
      <c r="I1328">
        <f>(salidas26[[#This Row],[CANT JUEGOS ]]*salidas26[[#This Row],[PRECIO JUEGO]])</f>
        <v>220</v>
      </c>
      <c r="J1328">
        <f>(salidas26[[#This Row],[CANT BARRAS]]*salidas26[[#This Row],[PRECIO BARRA]])</f>
        <v>0</v>
      </c>
      <c r="K1328">
        <v>200</v>
      </c>
      <c r="L1328" t="s">
        <v>465</v>
      </c>
      <c r="M1328" t="s">
        <v>481</v>
      </c>
    </row>
    <row r="1329" spans="1:13">
      <c r="A1329">
        <v>1129</v>
      </c>
      <c r="B1329">
        <v>4015</v>
      </c>
      <c r="C13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49-DAeWO/ 9B EL JUEGO 1 PIN</v>
      </c>
      <c r="D1329" s="32">
        <v>46160</v>
      </c>
      <c r="E13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1329">
        <v>1</v>
      </c>
      <c r="I1329">
        <f>(salidas26[[#This Row],[CANT JUEGOS ]]*salidas26[[#This Row],[PRECIO JUEGO]])</f>
        <v>200</v>
      </c>
      <c r="J1329">
        <f>(salidas26[[#This Row],[CANT BARRAS]]*salidas26[[#This Row],[PRECIO BARRA]])</f>
        <v>0</v>
      </c>
      <c r="K1329">
        <v>200</v>
      </c>
      <c r="L1329" t="s">
        <v>496</v>
      </c>
      <c r="M1329" t="s">
        <v>474</v>
      </c>
    </row>
    <row r="1330" spans="1:13">
      <c r="A1330">
        <v>1130</v>
      </c>
      <c r="B1330">
        <v>7012</v>
      </c>
      <c r="C13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 9L/ 4B</v>
      </c>
      <c r="D1330" s="32">
        <v>46160</v>
      </c>
      <c r="E13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30">
        <v>1</v>
      </c>
      <c r="I1330">
        <f>(salidas26[[#This Row],[CANT JUEGOS ]]*salidas26[[#This Row],[PRECIO JUEGO]])</f>
        <v>200</v>
      </c>
      <c r="J1330">
        <f>(salidas26[[#This Row],[CANT BARRAS]]*salidas26[[#This Row],[PRECIO BARRA]])</f>
        <v>0</v>
      </c>
      <c r="K1330">
        <v>200</v>
      </c>
      <c r="L1330" t="s">
        <v>496</v>
      </c>
      <c r="M1330" t="s">
        <v>474</v>
      </c>
    </row>
    <row r="1331" spans="1:13">
      <c r="A1331">
        <v>1131</v>
      </c>
      <c r="B1331">
        <v>1117</v>
      </c>
      <c r="C13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331" s="32">
        <v>46160</v>
      </c>
      <c r="E13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3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331">
        <v>1</v>
      </c>
      <c r="I1331">
        <f>(salidas26[[#This Row],[CANT JUEGOS ]]*salidas26[[#This Row],[PRECIO JUEGO]])</f>
        <v>350</v>
      </c>
      <c r="J1331">
        <f>(salidas26[[#This Row],[CANT BARRAS]]*salidas26[[#This Row],[PRECIO BARRA]])</f>
        <v>0</v>
      </c>
      <c r="K1331">
        <v>320</v>
      </c>
      <c r="L1331" t="s">
        <v>496</v>
      </c>
      <c r="M1331" t="s">
        <v>466</v>
      </c>
    </row>
    <row r="1332" spans="1:13">
      <c r="A1332">
        <v>1132</v>
      </c>
      <c r="B1332">
        <v>8081</v>
      </c>
      <c r="C13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55CHINO12L/3B-MG4S55X-TC-55GX500P PANASONIC 4B</v>
      </c>
      <c r="D1332" s="32">
        <v>46160</v>
      </c>
      <c r="E13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3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332">
        <v>1</v>
      </c>
      <c r="I1332">
        <f>(salidas26[[#This Row],[CANT JUEGOS ]]*salidas26[[#This Row],[PRECIO JUEGO]])</f>
        <v>300</v>
      </c>
      <c r="J1332">
        <f>(salidas26[[#This Row],[CANT BARRAS]]*salidas26[[#This Row],[PRECIO BARRA]])</f>
        <v>0</v>
      </c>
      <c r="K1332">
        <v>280</v>
      </c>
      <c r="L1332" t="s">
        <v>496</v>
      </c>
      <c r="M1332" t="s">
        <v>466</v>
      </c>
    </row>
    <row r="1333" spans="1:13">
      <c r="A1333">
        <v>1133</v>
      </c>
      <c r="B1333">
        <v>1069</v>
      </c>
      <c r="C13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333" s="32">
        <v>46160</v>
      </c>
      <c r="E13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3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333">
        <v>1</v>
      </c>
      <c r="I1333">
        <f>(salidas26[[#This Row],[CANT JUEGOS ]]*salidas26[[#This Row],[PRECIO JUEGO]])</f>
        <v>250</v>
      </c>
      <c r="J1333">
        <f>(salidas26[[#This Row],[CANT BARRAS]]*salidas26[[#This Row],[PRECIO BARRA]])</f>
        <v>0</v>
      </c>
      <c r="K1333">
        <v>230</v>
      </c>
      <c r="L1333" t="s">
        <v>465</v>
      </c>
      <c r="M1333" t="s">
        <v>523</v>
      </c>
    </row>
    <row r="1334" spans="1:13">
      <c r="A1334">
        <v>1134</v>
      </c>
      <c r="B1334">
        <v>6016</v>
      </c>
      <c r="C13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334" s="32">
        <v>46160</v>
      </c>
      <c r="E13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3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34">
        <v>1</v>
      </c>
      <c r="I1334">
        <f>(salidas26[[#This Row],[CANT JUEGOS ]]*salidas26[[#This Row],[PRECIO JUEGO]])</f>
        <v>240</v>
      </c>
      <c r="J1334">
        <f>(salidas26[[#This Row],[CANT BARRAS]]*salidas26[[#This Row],[PRECIO BARRA]])</f>
        <v>0</v>
      </c>
      <c r="K1334">
        <v>220</v>
      </c>
      <c r="L1334" t="s">
        <v>496</v>
      </c>
      <c r="M1334" t="s">
        <v>474</v>
      </c>
    </row>
    <row r="1335" spans="1:13">
      <c r="A1335">
        <v>1135</v>
      </c>
      <c r="B1335" t="s">
        <v>856</v>
      </c>
      <c r="C13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TB 7000 SKYWORTH 2B/7LED </v>
      </c>
      <c r="D1335" s="32">
        <v>46160</v>
      </c>
      <c r="E13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3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335">
        <v>1</v>
      </c>
      <c r="I1335">
        <f>(salidas26[[#This Row],[CANT JUEGOS ]]*salidas26[[#This Row],[PRECIO JUEGO]])</f>
        <v>60</v>
      </c>
      <c r="J1335" t="e">
        <f>(salidas26[[#This Row],[CANT BARRAS]]*salidas26[[#This Row],[PRECIO BARRA]])</f>
        <v>#VALUE!</v>
      </c>
      <c r="K1335">
        <v>60</v>
      </c>
      <c r="L1335" t="s">
        <v>465</v>
      </c>
      <c r="M1335" t="s">
        <v>474</v>
      </c>
    </row>
    <row r="1336" spans="1:13">
      <c r="A1336">
        <v>1136</v>
      </c>
      <c r="B1336">
        <v>8067</v>
      </c>
      <c r="C13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336" s="32">
        <v>46161</v>
      </c>
      <c r="E13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336">
        <v>1</v>
      </c>
      <c r="I1336">
        <f>(salidas26[[#This Row],[CANT JUEGOS ]]*salidas26[[#This Row],[PRECIO JUEGO]])</f>
        <v>220</v>
      </c>
      <c r="J1336">
        <f>(salidas26[[#This Row],[CANT BARRAS]]*salidas26[[#This Row],[PRECIO BARRA]])</f>
        <v>0</v>
      </c>
      <c r="K1336">
        <v>220</v>
      </c>
      <c r="L1336" t="s">
        <v>465</v>
      </c>
      <c r="M1336" t="s">
        <v>542</v>
      </c>
    </row>
    <row r="1337" spans="1:13">
      <c r="A1337">
        <v>1137</v>
      </c>
      <c r="B1337">
        <v>4010</v>
      </c>
      <c r="C13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337" s="32">
        <v>46161</v>
      </c>
      <c r="E13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3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337">
        <v>1</v>
      </c>
      <c r="I1337">
        <f>(salidas26[[#This Row],[CANT JUEGOS ]]*salidas26[[#This Row],[PRECIO JUEGO]])</f>
        <v>160</v>
      </c>
      <c r="J1337">
        <f>(salidas26[[#This Row],[CANT BARRAS]]*salidas26[[#This Row],[PRECIO BARRA]])</f>
        <v>0</v>
      </c>
      <c r="M1337" t="s">
        <v>471</v>
      </c>
    </row>
    <row r="1338" spans="1:13">
      <c r="A1338">
        <v>1138</v>
      </c>
      <c r="B1338">
        <v>1033</v>
      </c>
      <c r="C13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338" s="32">
        <v>46161</v>
      </c>
      <c r="E13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338">
        <v>1</v>
      </c>
      <c r="I1338">
        <f>(salidas26[[#This Row],[CANT JUEGOS ]]*salidas26[[#This Row],[PRECIO JUEGO]])</f>
        <v>180</v>
      </c>
      <c r="J1338">
        <f>(salidas26[[#This Row],[CANT BARRAS]]*salidas26[[#This Row],[PRECIO BARRA]])</f>
        <v>0</v>
      </c>
      <c r="K1338">
        <v>180</v>
      </c>
      <c r="L1338" t="s">
        <v>465</v>
      </c>
      <c r="M1338" t="s">
        <v>628</v>
      </c>
    </row>
    <row r="1339" spans="1:13">
      <c r="A1339">
        <v>1139</v>
      </c>
      <c r="B1339">
        <v>1150</v>
      </c>
      <c r="C13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65UK6300 /4B</v>
      </c>
      <c r="D1339" s="32">
        <v>46161</v>
      </c>
      <c r="E13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3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112.5</v>
      </c>
      <c r="G1339">
        <v>1</v>
      </c>
      <c r="I1339">
        <f>(salidas26[[#This Row],[CANT JUEGOS ]]*salidas26[[#This Row],[PRECIO JUEGO]])</f>
        <v>450</v>
      </c>
      <c r="J1339">
        <f>(salidas26[[#This Row],[CANT BARRAS]]*salidas26[[#This Row],[PRECIO BARRA]])</f>
        <v>0</v>
      </c>
      <c r="K1339">
        <v>430</v>
      </c>
      <c r="L1339" t="s">
        <v>496</v>
      </c>
      <c r="M1339" t="s">
        <v>867</v>
      </c>
    </row>
    <row r="1340" spans="1:13">
      <c r="A1340">
        <v>1140</v>
      </c>
      <c r="B1340">
        <v>5027</v>
      </c>
      <c r="C13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KDL-47R505A/1B</v>
      </c>
      <c r="D1340" s="32">
        <v>46161</v>
      </c>
      <c r="E13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340">
        <v>1</v>
      </c>
      <c r="I1340">
        <f>(salidas26[[#This Row],[CANT JUEGOS ]]*salidas26[[#This Row],[PRECIO JUEGO]])</f>
        <v>150</v>
      </c>
      <c r="J1340">
        <f>(salidas26[[#This Row],[CANT BARRAS]]*salidas26[[#This Row],[PRECIO BARRA]])</f>
        <v>0</v>
      </c>
      <c r="K1340">
        <v>150</v>
      </c>
      <c r="L1340" t="s">
        <v>496</v>
      </c>
      <c r="M1340" t="s">
        <v>469</v>
      </c>
    </row>
    <row r="1341" spans="1:13">
      <c r="A1341">
        <v>1141</v>
      </c>
      <c r="B1341">
        <v>6015</v>
      </c>
      <c r="C13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341" s="32">
        <v>46161</v>
      </c>
      <c r="E13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341">
        <v>1</v>
      </c>
      <c r="I1341">
        <f>(salidas26[[#This Row],[CANT JUEGOS ]]*salidas26[[#This Row],[PRECIO JUEGO]])</f>
        <v>220</v>
      </c>
      <c r="J1341">
        <f>(salidas26[[#This Row],[CANT BARRAS]]*salidas26[[#This Row],[PRECIO BARRA]])</f>
        <v>0</v>
      </c>
      <c r="K1341">
        <v>220</v>
      </c>
      <c r="L1341" t="s">
        <v>465</v>
      </c>
      <c r="M1341" t="s">
        <v>876</v>
      </c>
    </row>
    <row r="1342" spans="1:13">
      <c r="A1342">
        <v>1142</v>
      </c>
      <c r="B1342">
        <v>6000</v>
      </c>
      <c r="C13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342" s="32">
        <v>46161</v>
      </c>
      <c r="E13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42">
        <v>1</v>
      </c>
      <c r="I1342">
        <f>(salidas26[[#This Row],[CANT JUEGOS ]]*salidas26[[#This Row],[PRECIO JUEGO]])</f>
        <v>60</v>
      </c>
      <c r="J1342">
        <f>(salidas26[[#This Row],[CANT BARRAS]]*salidas26[[#This Row],[PRECIO BARRA]])</f>
        <v>0</v>
      </c>
      <c r="K1342">
        <v>50</v>
      </c>
      <c r="L1342" t="s">
        <v>465</v>
      </c>
      <c r="M1342" t="s">
        <v>542</v>
      </c>
    </row>
    <row r="1343" spans="1:13">
      <c r="A1343">
        <v>1143</v>
      </c>
      <c r="B1343">
        <v>6012</v>
      </c>
      <c r="C13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1343" s="32">
        <v>46161</v>
      </c>
      <c r="E13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343">
        <v>1</v>
      </c>
      <c r="I1343">
        <f>(salidas26[[#This Row],[CANT JUEGOS ]]*salidas26[[#This Row],[PRECIO JUEGO]])</f>
        <v>220</v>
      </c>
      <c r="J1343">
        <f>(salidas26[[#This Row],[CANT BARRAS]]*salidas26[[#This Row],[PRECIO BARRA]])</f>
        <v>0</v>
      </c>
      <c r="K1343">
        <v>230</v>
      </c>
      <c r="L1343" t="s">
        <v>465</v>
      </c>
      <c r="M1343" t="s">
        <v>566</v>
      </c>
    </row>
    <row r="1344" spans="1:13">
      <c r="A1344">
        <v>1144</v>
      </c>
      <c r="B1344">
        <v>8015</v>
      </c>
      <c r="C13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44" s="32">
        <v>46161</v>
      </c>
      <c r="E13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44">
        <v>1</v>
      </c>
      <c r="I1344">
        <f>(salidas26[[#This Row],[CANT JUEGOS ]]*salidas26[[#This Row],[PRECIO JUEGO]])</f>
        <v>60</v>
      </c>
      <c r="J1344">
        <f>(salidas26[[#This Row],[CANT BARRAS]]*salidas26[[#This Row],[PRECIO BARRA]])</f>
        <v>0</v>
      </c>
      <c r="K1344">
        <v>50</v>
      </c>
      <c r="L1344" t="s">
        <v>496</v>
      </c>
      <c r="M1344" t="s">
        <v>566</v>
      </c>
    </row>
    <row r="1345" spans="1:13">
      <c r="A1345">
        <v>1145</v>
      </c>
      <c r="B1345">
        <v>8033</v>
      </c>
      <c r="C13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345" s="32">
        <v>46161</v>
      </c>
      <c r="E13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45">
        <v>1</v>
      </c>
      <c r="I1345">
        <f>(salidas26[[#This Row],[CANT JUEGOS ]]*salidas26[[#This Row],[PRECIO JUEGO]])</f>
        <v>150</v>
      </c>
      <c r="J1345">
        <f>(salidas26[[#This Row],[CANT BARRAS]]*salidas26[[#This Row],[PRECIO BARRA]])</f>
        <v>0</v>
      </c>
      <c r="K1345">
        <v>150</v>
      </c>
      <c r="L1345" t="s">
        <v>496</v>
      </c>
      <c r="M1345" t="s">
        <v>566</v>
      </c>
    </row>
    <row r="1346" spans="1:13">
      <c r="A1346">
        <v>1146</v>
      </c>
      <c r="B1346">
        <v>8057</v>
      </c>
      <c r="C13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346" s="32">
        <v>46162</v>
      </c>
      <c r="E13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46">
        <v>1</v>
      </c>
      <c r="I1346">
        <f>(salidas26[[#This Row],[CANT JUEGOS ]]*salidas26[[#This Row],[PRECIO JUEGO]])</f>
        <v>200</v>
      </c>
      <c r="J1346">
        <f>(salidas26[[#This Row],[CANT BARRAS]]*salidas26[[#This Row],[PRECIO BARRA]])</f>
        <v>0</v>
      </c>
      <c r="K1346">
        <v>200</v>
      </c>
      <c r="L1346" t="s">
        <v>496</v>
      </c>
      <c r="M1346" t="s">
        <v>466</v>
      </c>
    </row>
    <row r="1347" spans="1:13">
      <c r="A1347">
        <v>1147</v>
      </c>
      <c r="B1347">
        <v>7015</v>
      </c>
      <c r="C13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1347" s="32">
        <v>46162</v>
      </c>
      <c r="E13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47">
        <v>1</v>
      </c>
      <c r="I1347">
        <f>(salidas26[[#This Row],[CANT JUEGOS ]]*salidas26[[#This Row],[PRECIO JUEGO]])</f>
        <v>200</v>
      </c>
      <c r="J1347">
        <f>(salidas26[[#This Row],[CANT BARRAS]]*salidas26[[#This Row],[PRECIO BARRA]])</f>
        <v>0</v>
      </c>
      <c r="K1347">
        <v>210</v>
      </c>
      <c r="L1347" t="s">
        <v>496</v>
      </c>
      <c r="M1347" t="s">
        <v>481</v>
      </c>
    </row>
    <row r="1348" spans="1:13">
      <c r="A1348">
        <v>1148</v>
      </c>
      <c r="B1348">
        <v>8056</v>
      </c>
      <c r="C13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348" s="32">
        <v>46162</v>
      </c>
      <c r="E13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48">
        <v>1</v>
      </c>
      <c r="I1348">
        <f>(salidas26[[#This Row],[CANT JUEGOS ]]*salidas26[[#This Row],[PRECIO JUEGO]])</f>
        <v>180</v>
      </c>
      <c r="J1348">
        <f>(salidas26[[#This Row],[CANT BARRAS]]*salidas26[[#This Row],[PRECIO BARRA]])</f>
        <v>0</v>
      </c>
      <c r="K1348">
        <v>180</v>
      </c>
      <c r="L1348" t="s">
        <v>465</v>
      </c>
      <c r="M1348" t="s">
        <v>628</v>
      </c>
    </row>
    <row r="1349" spans="1:13">
      <c r="A1349">
        <v>1149</v>
      </c>
      <c r="B1349">
        <v>5000</v>
      </c>
      <c r="C13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KDL-32R425A SONY/3B</v>
      </c>
      <c r="D1349" s="32">
        <v>46161</v>
      </c>
      <c r="E13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3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49">
        <v>1</v>
      </c>
      <c r="I1349">
        <f>(salidas26[[#This Row],[CANT JUEGOS ]]*salidas26[[#This Row],[PRECIO JUEGO]])</f>
        <v>90</v>
      </c>
      <c r="J1349">
        <f>(salidas26[[#This Row],[CANT BARRAS]]*salidas26[[#This Row],[PRECIO BARRA]])</f>
        <v>0</v>
      </c>
      <c r="K1349">
        <v>90</v>
      </c>
      <c r="L1349" t="s">
        <v>496</v>
      </c>
      <c r="M1349" t="s">
        <v>474</v>
      </c>
    </row>
    <row r="1350" spans="1:13">
      <c r="A1350">
        <v>1150</v>
      </c>
      <c r="B1350">
        <v>2000</v>
      </c>
      <c r="C13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350" s="32">
        <v>46162</v>
      </c>
      <c r="E13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3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350">
        <v>1</v>
      </c>
      <c r="I1350">
        <f>(salidas26[[#This Row],[CANT JUEGOS ]]*salidas26[[#This Row],[PRECIO JUEGO]])</f>
        <v>80</v>
      </c>
      <c r="J1350">
        <f>(salidas26[[#This Row],[CANT BARRAS]]*salidas26[[#This Row],[PRECIO BARRA]])</f>
        <v>0</v>
      </c>
      <c r="K1350">
        <v>80</v>
      </c>
      <c r="L1350" t="s">
        <v>465</v>
      </c>
      <c r="M1350" t="s">
        <v>481</v>
      </c>
    </row>
    <row r="1351" spans="1:13">
      <c r="A1351">
        <v>1151</v>
      </c>
      <c r="B1351">
        <v>2012</v>
      </c>
      <c r="C13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351" s="32">
        <v>46162</v>
      </c>
      <c r="E13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3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351">
        <v>1</v>
      </c>
      <c r="I1351">
        <f>(salidas26[[#This Row],[CANT JUEGOS ]]*salidas26[[#This Row],[PRECIO JUEGO]])</f>
        <v>160</v>
      </c>
      <c r="J1351">
        <f>(salidas26[[#This Row],[CANT BARRAS]]*salidas26[[#This Row],[PRECIO BARRA]])</f>
        <v>0</v>
      </c>
      <c r="K1351">
        <v>160</v>
      </c>
      <c r="L1351" t="s">
        <v>465</v>
      </c>
      <c r="M1351" t="s">
        <v>508</v>
      </c>
    </row>
    <row r="1352" spans="1:13">
      <c r="A1352">
        <v>1152</v>
      </c>
      <c r="B1352">
        <v>8067</v>
      </c>
      <c r="C13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352" s="32">
        <v>46161</v>
      </c>
      <c r="E13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352">
        <v>1</v>
      </c>
      <c r="I1352">
        <f>(salidas26[[#This Row],[CANT JUEGOS ]]*salidas26[[#This Row],[PRECIO JUEGO]])</f>
        <v>220</v>
      </c>
      <c r="J1352">
        <f>(salidas26[[#This Row],[CANT BARRAS]]*salidas26[[#This Row],[PRECIO BARRA]])</f>
        <v>0</v>
      </c>
      <c r="K1352">
        <v>220</v>
      </c>
      <c r="L1352" t="s">
        <v>496</v>
      </c>
      <c r="M1352" t="s">
        <v>509</v>
      </c>
    </row>
    <row r="1353" spans="1:13">
      <c r="A1353">
        <v>1153</v>
      </c>
      <c r="B1353">
        <v>1102</v>
      </c>
      <c r="C13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1353" s="32">
        <v>46161</v>
      </c>
      <c r="E13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3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1353">
        <v>1</v>
      </c>
      <c r="I1353">
        <f>(salidas26[[#This Row],[CANT JUEGOS ]]*salidas26[[#This Row],[PRECIO JUEGO]])</f>
        <v>280</v>
      </c>
      <c r="J1353">
        <f>(salidas26[[#This Row],[CANT BARRAS]]*salidas26[[#This Row],[PRECIO BARRA]])</f>
        <v>0</v>
      </c>
      <c r="K1353">
        <v>270</v>
      </c>
      <c r="L1353" t="s">
        <v>496</v>
      </c>
      <c r="M1353" t="s">
        <v>509</v>
      </c>
    </row>
    <row r="1354" spans="1:13">
      <c r="A1354">
        <v>1154</v>
      </c>
      <c r="B1354">
        <v>6027</v>
      </c>
      <c r="C13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354" s="32">
        <v>46157</v>
      </c>
      <c r="E13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3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354">
        <v>1</v>
      </c>
      <c r="I1354">
        <f>(salidas26[[#This Row],[CANT JUEGOS ]]*salidas26[[#This Row],[PRECIO JUEGO]])</f>
        <v>280</v>
      </c>
      <c r="J1354">
        <f>(salidas26[[#This Row],[CANT BARRAS]]*salidas26[[#This Row],[PRECIO BARRA]])</f>
        <v>0</v>
      </c>
      <c r="K1354">
        <v>250</v>
      </c>
      <c r="L1354" t="s">
        <v>465</v>
      </c>
      <c r="M1354" t="s">
        <v>471</v>
      </c>
    </row>
    <row r="1355" spans="1:13">
      <c r="A1355">
        <v>1155</v>
      </c>
      <c r="B1355">
        <v>4021</v>
      </c>
      <c r="C13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1355" s="32">
        <v>46162</v>
      </c>
      <c r="E13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355">
        <v>1</v>
      </c>
      <c r="I1355">
        <f>(salidas26[[#This Row],[CANT JUEGOS ]]*salidas26[[#This Row],[PRECIO JUEGO]])</f>
        <v>200</v>
      </c>
      <c r="J1355">
        <f>(salidas26[[#This Row],[CANT BARRAS]]*salidas26[[#This Row],[PRECIO BARRA]])</f>
        <v>0</v>
      </c>
      <c r="K1355">
        <v>220</v>
      </c>
      <c r="L1355" t="s">
        <v>465</v>
      </c>
      <c r="M1355" t="s">
        <v>628</v>
      </c>
    </row>
    <row r="1356" spans="1:13">
      <c r="A1356">
        <v>1156</v>
      </c>
      <c r="B1356">
        <v>8033</v>
      </c>
      <c r="C13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356" s="32">
        <v>46162</v>
      </c>
      <c r="E13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56">
        <v>1</v>
      </c>
      <c r="I1356">
        <f>(salidas26[[#This Row],[CANT JUEGOS ]]*salidas26[[#This Row],[PRECIO JUEGO]])</f>
        <v>150</v>
      </c>
      <c r="J1356">
        <f>(salidas26[[#This Row],[CANT BARRAS]]*salidas26[[#This Row],[PRECIO BARRA]])</f>
        <v>0</v>
      </c>
      <c r="K1356">
        <v>140</v>
      </c>
      <c r="L1356" t="s">
        <v>465</v>
      </c>
      <c r="M1356" t="s">
        <v>523</v>
      </c>
    </row>
    <row r="1357" spans="1:13">
      <c r="A1357">
        <v>1157</v>
      </c>
      <c r="B1357">
        <v>8015</v>
      </c>
      <c r="C13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57" s="32">
        <v>46162</v>
      </c>
      <c r="E13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57">
        <v>2</v>
      </c>
      <c r="I1357">
        <f>(salidas26[[#This Row],[CANT JUEGOS ]]*salidas26[[#This Row],[PRECIO JUEGO]])</f>
        <v>120</v>
      </c>
      <c r="J1357">
        <f>(salidas26[[#This Row],[CANT BARRAS]]*salidas26[[#This Row],[PRECIO BARRA]])</f>
        <v>0</v>
      </c>
      <c r="K1357">
        <v>100</v>
      </c>
      <c r="L1357" t="s">
        <v>496</v>
      </c>
      <c r="M1357" t="s">
        <v>474</v>
      </c>
    </row>
    <row r="1358" spans="1:13">
      <c r="A1358">
        <v>1158</v>
      </c>
      <c r="B1358">
        <v>6000</v>
      </c>
      <c r="C13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358" s="32">
        <v>46162</v>
      </c>
      <c r="E13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58">
        <v>2</v>
      </c>
      <c r="I1358">
        <f>(salidas26[[#This Row],[CANT JUEGOS ]]*salidas26[[#This Row],[PRECIO JUEGO]])</f>
        <v>120</v>
      </c>
      <c r="J1358">
        <f>(salidas26[[#This Row],[CANT BARRAS]]*salidas26[[#This Row],[PRECIO BARRA]])</f>
        <v>0</v>
      </c>
      <c r="K1358">
        <v>100</v>
      </c>
      <c r="L1358" t="s">
        <v>496</v>
      </c>
      <c r="M1358" t="s">
        <v>474</v>
      </c>
    </row>
    <row r="1359" spans="1:13">
      <c r="A1359">
        <v>1159</v>
      </c>
      <c r="B1359">
        <v>1138</v>
      </c>
      <c r="C13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359" s="32">
        <v>46163</v>
      </c>
      <c r="E13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3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359">
        <v>1</v>
      </c>
      <c r="I1359">
        <f>(salidas26[[#This Row],[CANT JUEGOS ]]*salidas26[[#This Row],[PRECIO JUEGO]])</f>
        <v>280</v>
      </c>
      <c r="J1359">
        <f>(salidas26[[#This Row],[CANT BARRAS]]*salidas26[[#This Row],[PRECIO BARRA]])</f>
        <v>0</v>
      </c>
      <c r="K1359">
        <v>260</v>
      </c>
      <c r="L1359" t="s">
        <v>496</v>
      </c>
      <c r="M1359" t="s">
        <v>474</v>
      </c>
    </row>
    <row r="1360" spans="1:13">
      <c r="A1360">
        <v>1160</v>
      </c>
      <c r="B1360">
        <v>8100</v>
      </c>
      <c r="C13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360" s="32">
        <v>46163</v>
      </c>
      <c r="E13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3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60">
        <v>1</v>
      </c>
      <c r="I1360">
        <f>(salidas26[[#This Row],[CANT JUEGOS ]]*salidas26[[#This Row],[PRECIO JUEGO]])</f>
        <v>300</v>
      </c>
      <c r="J1360">
        <f>(salidas26[[#This Row],[CANT BARRAS]]*salidas26[[#This Row],[PRECIO BARRA]])</f>
        <v>0</v>
      </c>
      <c r="K1360">
        <v>300</v>
      </c>
      <c r="L1360" t="s">
        <v>465</v>
      </c>
      <c r="M1360" t="s">
        <v>466</v>
      </c>
    </row>
    <row r="1361" spans="1:13">
      <c r="A1361">
        <v>1161</v>
      </c>
      <c r="B1361">
        <v>2000</v>
      </c>
      <c r="C13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361" s="32">
        <v>46163</v>
      </c>
      <c r="E13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3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361">
        <v>1</v>
      </c>
      <c r="I1361">
        <f>(salidas26[[#This Row],[CANT JUEGOS ]]*salidas26[[#This Row],[PRECIO JUEGO]])</f>
        <v>80</v>
      </c>
      <c r="J1361">
        <f>(salidas26[[#This Row],[CANT BARRAS]]*salidas26[[#This Row],[PRECIO BARRA]])</f>
        <v>0</v>
      </c>
      <c r="K1361">
        <v>75</v>
      </c>
      <c r="L1361" t="s">
        <v>465</v>
      </c>
      <c r="M1361" t="s">
        <v>487</v>
      </c>
    </row>
    <row r="1362" spans="1:13">
      <c r="A1362">
        <v>1162</v>
      </c>
      <c r="B1362">
        <v>8015</v>
      </c>
      <c r="C13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62" s="32">
        <v>46163</v>
      </c>
      <c r="E13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62">
        <v>1</v>
      </c>
      <c r="I1362">
        <f>(salidas26[[#This Row],[CANT JUEGOS ]]*salidas26[[#This Row],[PRECIO JUEGO]])</f>
        <v>60</v>
      </c>
      <c r="J1362">
        <f>(salidas26[[#This Row],[CANT BARRAS]]*salidas26[[#This Row],[PRECIO BARRA]])</f>
        <v>0</v>
      </c>
      <c r="K1362">
        <v>60</v>
      </c>
      <c r="L1362" t="s">
        <v>465</v>
      </c>
      <c r="M1362" t="s">
        <v>803</v>
      </c>
    </row>
    <row r="1363" spans="1:13">
      <c r="A1363">
        <v>1163</v>
      </c>
      <c r="B1363">
        <v>1069</v>
      </c>
      <c r="C13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363" s="32">
        <v>46163</v>
      </c>
      <c r="E13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3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363">
        <v>1</v>
      </c>
      <c r="I1363">
        <f>(salidas26[[#This Row],[CANT JUEGOS ]]*salidas26[[#This Row],[PRECIO JUEGO]])</f>
        <v>250</v>
      </c>
      <c r="J1363">
        <f>(salidas26[[#This Row],[CANT BARRAS]]*salidas26[[#This Row],[PRECIO BARRA]])</f>
        <v>0</v>
      </c>
      <c r="K1363">
        <v>240</v>
      </c>
      <c r="L1363" t="s">
        <v>496</v>
      </c>
      <c r="M1363" t="s">
        <v>707</v>
      </c>
    </row>
    <row r="1364" spans="1:13">
      <c r="A1364">
        <v>1164</v>
      </c>
      <c r="B1364">
        <v>4000</v>
      </c>
      <c r="C13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364" s="32">
        <v>46163</v>
      </c>
      <c r="E13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64">
        <v>1</v>
      </c>
      <c r="I1364">
        <f>(salidas26[[#This Row],[CANT JUEGOS ]]*salidas26[[#This Row],[PRECIO JUEGO]])</f>
        <v>60</v>
      </c>
      <c r="J1364">
        <f>(salidas26[[#This Row],[CANT BARRAS]]*salidas26[[#This Row],[PRECIO BARRA]])</f>
        <v>0</v>
      </c>
      <c r="K1364">
        <v>50</v>
      </c>
      <c r="L1364" t="s">
        <v>465</v>
      </c>
      <c r="M1364" t="s">
        <v>466</v>
      </c>
    </row>
    <row r="1365" spans="1:13">
      <c r="A1365">
        <v>1165</v>
      </c>
      <c r="B1365">
        <v>1063</v>
      </c>
      <c r="C13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D1365" s="32">
        <v>46163</v>
      </c>
      <c r="E13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1365">
        <v>1</v>
      </c>
      <c r="I1365">
        <f>(salidas26[[#This Row],[CANT JUEGOS ]]*salidas26[[#This Row],[PRECIO JUEGO]])</f>
        <v>180</v>
      </c>
      <c r="J1365">
        <f>(salidas26[[#This Row],[CANT BARRAS]]*salidas26[[#This Row],[PRECIO BARRA]])</f>
        <v>0</v>
      </c>
      <c r="K1365">
        <v>180</v>
      </c>
      <c r="L1365" t="s">
        <v>496</v>
      </c>
      <c r="M1365" t="s">
        <v>877</v>
      </c>
    </row>
    <row r="1366" spans="1:13">
      <c r="A1366">
        <v>1166</v>
      </c>
      <c r="B1366">
        <v>2024</v>
      </c>
      <c r="C13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366" s="32">
        <v>46163</v>
      </c>
      <c r="E13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66">
        <v>1</v>
      </c>
      <c r="I1366">
        <f>(salidas26[[#This Row],[CANT JUEGOS ]]*salidas26[[#This Row],[PRECIO JUEGO]])</f>
        <v>180</v>
      </c>
      <c r="J1366">
        <f>(salidas26[[#This Row],[CANT BARRAS]]*salidas26[[#This Row],[PRECIO BARRA]])</f>
        <v>0</v>
      </c>
      <c r="K1366">
        <v>180</v>
      </c>
      <c r="L1366" t="s">
        <v>465</v>
      </c>
      <c r="M1366" t="s">
        <v>547</v>
      </c>
    </row>
    <row r="1367" spans="1:13">
      <c r="A1367">
        <v>1167</v>
      </c>
      <c r="B1367">
        <v>8021</v>
      </c>
      <c r="C13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367" s="32">
        <v>46164</v>
      </c>
      <c r="E13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67">
        <v>2</v>
      </c>
      <c r="I1367">
        <f>(salidas26[[#This Row],[CANT JUEGOS ]]*salidas26[[#This Row],[PRECIO JUEGO]])</f>
        <v>120</v>
      </c>
      <c r="J1367">
        <f>(salidas26[[#This Row],[CANT BARRAS]]*salidas26[[#This Row],[PRECIO BARRA]])</f>
        <v>0</v>
      </c>
      <c r="K1367">
        <v>100</v>
      </c>
      <c r="L1367" t="s">
        <v>465</v>
      </c>
      <c r="M1367" t="s">
        <v>797</v>
      </c>
    </row>
    <row r="1368" spans="1:13">
      <c r="A1368">
        <v>1168</v>
      </c>
      <c r="B1368">
        <v>7000</v>
      </c>
      <c r="C13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368" s="32">
        <v>46164</v>
      </c>
      <c r="E13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68">
        <v>2</v>
      </c>
      <c r="I1368">
        <f>(salidas26[[#This Row],[CANT JUEGOS ]]*salidas26[[#This Row],[PRECIO JUEGO]])</f>
        <v>120</v>
      </c>
      <c r="J1368">
        <f>(salidas26[[#This Row],[CANT BARRAS]]*salidas26[[#This Row],[PRECIO BARRA]])</f>
        <v>0</v>
      </c>
      <c r="K1368">
        <v>100</v>
      </c>
      <c r="L1368" t="s">
        <v>465</v>
      </c>
      <c r="M1368" t="s">
        <v>797</v>
      </c>
    </row>
    <row r="1369" spans="1:13">
      <c r="A1369">
        <v>1169</v>
      </c>
      <c r="B1369">
        <v>8000</v>
      </c>
      <c r="C13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1369" s="32">
        <v>46164</v>
      </c>
      <c r="E13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69">
        <v>1</v>
      </c>
      <c r="H1369">
        <v>1</v>
      </c>
      <c r="I1369">
        <f>(salidas26[[#This Row],[CANT JUEGOS ]]*salidas26[[#This Row],[PRECIO JUEGO]])</f>
        <v>60</v>
      </c>
      <c r="J1369">
        <f>(salidas26[[#This Row],[CANT BARRAS]]*salidas26[[#This Row],[PRECIO BARRA]])</f>
        <v>30</v>
      </c>
      <c r="M1369" t="s">
        <v>471</v>
      </c>
    </row>
    <row r="1370" spans="1:13">
      <c r="A1370">
        <v>1170</v>
      </c>
      <c r="B1370">
        <v>6034</v>
      </c>
      <c r="C13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HISENSE A6GSA 6B/8L/3V</v>
      </c>
      <c r="D1370" s="32">
        <v>46164</v>
      </c>
      <c r="E13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380</v>
      </c>
      <c r="F13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63.333333333333336</v>
      </c>
      <c r="G1370">
        <v>1</v>
      </c>
      <c r="I1370">
        <f>(salidas26[[#This Row],[CANT JUEGOS ]]*salidas26[[#This Row],[PRECIO JUEGO]])</f>
        <v>380</v>
      </c>
      <c r="J1370">
        <f>(salidas26[[#This Row],[CANT BARRAS]]*salidas26[[#This Row],[PRECIO BARRA]])</f>
        <v>0</v>
      </c>
      <c r="K1370">
        <v>350</v>
      </c>
      <c r="L1370" t="s">
        <v>496</v>
      </c>
      <c r="M1370" t="s">
        <v>822</v>
      </c>
    </row>
    <row r="1371" spans="1:13">
      <c r="A1371">
        <v>1171</v>
      </c>
      <c r="B1371">
        <v>8056</v>
      </c>
      <c r="C13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8L/6V/3B</v>
      </c>
      <c r="D1371" s="32">
        <v>46164</v>
      </c>
      <c r="E13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71">
        <v>1</v>
      </c>
      <c r="I1371">
        <f>(salidas26[[#This Row],[CANT JUEGOS ]]*salidas26[[#This Row],[PRECIO JUEGO]])</f>
        <v>180</v>
      </c>
      <c r="J1371">
        <f>(salidas26[[#This Row],[CANT BARRAS]]*salidas26[[#This Row],[PRECIO BARRA]])</f>
        <v>0</v>
      </c>
      <c r="K1371">
        <v>170</v>
      </c>
      <c r="L1371" t="s">
        <v>465</v>
      </c>
      <c r="M1371" t="s">
        <v>878</v>
      </c>
    </row>
    <row r="1372" spans="1:13">
      <c r="A1372">
        <v>1172</v>
      </c>
      <c r="B1372">
        <v>4000</v>
      </c>
      <c r="C13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372" s="32">
        <v>46164</v>
      </c>
      <c r="E13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72">
        <v>1</v>
      </c>
      <c r="I1372">
        <f>(salidas26[[#This Row],[CANT JUEGOS ]]*salidas26[[#This Row],[PRECIO JUEGO]])</f>
        <v>60</v>
      </c>
      <c r="J1372">
        <f>(salidas26[[#This Row],[CANT BARRAS]]*salidas26[[#This Row],[PRECIO BARRA]])</f>
        <v>0</v>
      </c>
      <c r="K1372">
        <v>50</v>
      </c>
      <c r="L1372" t="s">
        <v>465</v>
      </c>
      <c r="M1372" t="s">
        <v>466</v>
      </c>
    </row>
    <row r="1373" spans="1:13">
      <c r="A1373">
        <v>1173</v>
      </c>
      <c r="B1373">
        <v>2078</v>
      </c>
      <c r="C13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1373" s="32">
        <v>46164</v>
      </c>
      <c r="E13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3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373">
        <v>1</v>
      </c>
      <c r="H1373">
        <v>1</v>
      </c>
      <c r="I1373">
        <f>(salidas26[[#This Row],[CANT JUEGOS ]]*salidas26[[#This Row],[PRECIO JUEGO]])</f>
        <v>250</v>
      </c>
      <c r="J1373">
        <f>(salidas26[[#This Row],[CANT BARRAS]]*salidas26[[#This Row],[PRECIO BARRA]])</f>
        <v>62.5</v>
      </c>
      <c r="K1373">
        <v>300</v>
      </c>
      <c r="L1373" t="s">
        <v>496</v>
      </c>
      <c r="M1373" t="s">
        <v>474</v>
      </c>
    </row>
    <row r="1374" spans="1:13">
      <c r="A1374">
        <v>1174</v>
      </c>
      <c r="B1374">
        <v>6000</v>
      </c>
      <c r="C13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374" s="32">
        <v>46164</v>
      </c>
      <c r="E13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74">
        <v>1</v>
      </c>
      <c r="I1374">
        <f>(salidas26[[#This Row],[CANT JUEGOS ]]*salidas26[[#This Row],[PRECIO JUEGO]])</f>
        <v>60</v>
      </c>
      <c r="J1374">
        <f>(salidas26[[#This Row],[CANT BARRAS]]*salidas26[[#This Row],[PRECIO BARRA]])</f>
        <v>0</v>
      </c>
      <c r="K1374">
        <v>50</v>
      </c>
      <c r="L1374" t="s">
        <v>496</v>
      </c>
      <c r="M1374" t="s">
        <v>474</v>
      </c>
    </row>
    <row r="1375" spans="1:13">
      <c r="A1375">
        <v>1175</v>
      </c>
      <c r="B1375">
        <v>8055</v>
      </c>
      <c r="C13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375" s="32">
        <v>46165</v>
      </c>
      <c r="E13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75">
        <v>1</v>
      </c>
      <c r="I1375">
        <f>(salidas26[[#This Row],[CANT JUEGOS ]]*salidas26[[#This Row],[PRECIO JUEGO]])</f>
        <v>180</v>
      </c>
      <c r="J1375">
        <f>(salidas26[[#This Row],[CANT BARRAS]]*salidas26[[#This Row],[PRECIO BARRA]])</f>
        <v>0</v>
      </c>
      <c r="K1375">
        <v>140</v>
      </c>
      <c r="L1375" t="s">
        <v>496</v>
      </c>
      <c r="M1375" t="s">
        <v>474</v>
      </c>
    </row>
    <row r="1376" spans="1:13">
      <c r="A1376">
        <v>1176</v>
      </c>
      <c r="B1376">
        <v>8015</v>
      </c>
      <c r="C13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76" s="32">
        <v>46164</v>
      </c>
      <c r="E13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76">
        <v>1</v>
      </c>
      <c r="I1376">
        <f>(salidas26[[#This Row],[CANT JUEGOS ]]*salidas26[[#This Row],[PRECIO JUEGO]])</f>
        <v>60</v>
      </c>
      <c r="J1376">
        <f>(salidas26[[#This Row],[CANT BARRAS]]*salidas26[[#This Row],[PRECIO BARRA]])</f>
        <v>0</v>
      </c>
      <c r="K1376">
        <v>50</v>
      </c>
      <c r="L1376" t="s">
        <v>465</v>
      </c>
      <c r="M1376" t="s">
        <v>523</v>
      </c>
    </row>
    <row r="1377" spans="1:13">
      <c r="A1377">
        <v>1177</v>
      </c>
      <c r="B1377">
        <v>8025</v>
      </c>
      <c r="C13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CHANCHONG 10L/5B</v>
      </c>
      <c r="D1377" s="32">
        <v>46164</v>
      </c>
      <c r="E13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66.666666666666671</v>
      </c>
      <c r="G1377">
        <v>1</v>
      </c>
      <c r="I1377">
        <f>(salidas26[[#This Row],[CANT JUEGOS ]]*salidas26[[#This Row],[PRECIO JUEGO]])</f>
        <v>200</v>
      </c>
      <c r="J1377">
        <f>(salidas26[[#This Row],[CANT BARRAS]]*salidas26[[#This Row],[PRECIO BARRA]])</f>
        <v>0</v>
      </c>
      <c r="K1377">
        <v>200</v>
      </c>
      <c r="L1377" t="s">
        <v>496</v>
      </c>
      <c r="M1377" t="s">
        <v>474</v>
      </c>
    </row>
    <row r="1378" spans="1:13">
      <c r="A1378">
        <v>1178</v>
      </c>
      <c r="B1378">
        <v>7012</v>
      </c>
      <c r="C13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 9L/ 4B</v>
      </c>
      <c r="D1378" s="32">
        <v>46164</v>
      </c>
      <c r="E13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78">
        <v>1</v>
      </c>
      <c r="H1378">
        <v>1</v>
      </c>
      <c r="I1378">
        <f>(salidas26[[#This Row],[CANT JUEGOS ]]*salidas26[[#This Row],[PRECIO JUEGO]])</f>
        <v>200</v>
      </c>
      <c r="J1378">
        <f>(salidas26[[#This Row],[CANT BARRAS]]*salidas26[[#This Row],[PRECIO BARRA]])</f>
        <v>50</v>
      </c>
      <c r="K1378">
        <v>50</v>
      </c>
      <c r="L1378" t="s">
        <v>465</v>
      </c>
      <c r="M1378" t="s">
        <v>481</v>
      </c>
    </row>
    <row r="1379" spans="1:13">
      <c r="A1379">
        <v>1179</v>
      </c>
      <c r="B1379">
        <v>2075</v>
      </c>
      <c r="C13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379" s="32">
        <v>46164</v>
      </c>
      <c r="E13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3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379">
        <v>1</v>
      </c>
      <c r="I1379">
        <f>(salidas26[[#This Row],[CANT JUEGOS ]]*salidas26[[#This Row],[PRECIO JUEGO]])</f>
        <v>200</v>
      </c>
      <c r="J1379">
        <f>(salidas26[[#This Row],[CANT BARRAS]]*salidas26[[#This Row],[PRECIO BARRA]])</f>
        <v>0</v>
      </c>
      <c r="K1379">
        <v>180</v>
      </c>
      <c r="L1379" t="s">
        <v>496</v>
      </c>
      <c r="M1379" t="s">
        <v>542</v>
      </c>
    </row>
    <row r="1380" spans="1:13">
      <c r="A1380">
        <v>1180</v>
      </c>
      <c r="B1380">
        <v>6021</v>
      </c>
      <c r="C13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1380" s="32">
        <v>46165</v>
      </c>
      <c r="E13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3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380">
        <v>1</v>
      </c>
      <c r="I1380">
        <f>(salidas26[[#This Row],[CANT JUEGOS ]]*salidas26[[#This Row],[PRECIO JUEGO]])</f>
        <v>300</v>
      </c>
      <c r="J1380">
        <f>(salidas26[[#This Row],[CANT BARRAS]]*salidas26[[#This Row],[PRECIO BARRA]])</f>
        <v>0</v>
      </c>
      <c r="K1380">
        <v>280</v>
      </c>
      <c r="L1380" t="s">
        <v>465</v>
      </c>
      <c r="M1380" t="s">
        <v>474</v>
      </c>
    </row>
    <row r="1381" spans="1:13">
      <c r="A1381">
        <v>1181</v>
      </c>
      <c r="B1381">
        <v>4010</v>
      </c>
      <c r="C13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381" s="32">
        <v>46165</v>
      </c>
      <c r="E13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3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381">
        <v>1</v>
      </c>
      <c r="I1381">
        <f>(salidas26[[#This Row],[CANT JUEGOS ]]*salidas26[[#This Row],[PRECIO JUEGO]])</f>
        <v>160</v>
      </c>
      <c r="J1381">
        <f>(salidas26[[#This Row],[CANT BARRAS]]*salidas26[[#This Row],[PRECIO BARRA]])</f>
        <v>0</v>
      </c>
      <c r="K1381">
        <v>180</v>
      </c>
      <c r="L1381" t="s">
        <v>496</v>
      </c>
      <c r="M1381" t="s">
        <v>707</v>
      </c>
    </row>
    <row r="1382" spans="1:13">
      <c r="A1382">
        <v>1182</v>
      </c>
      <c r="B1382">
        <v>2003</v>
      </c>
      <c r="C13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382" s="32">
        <v>46165</v>
      </c>
      <c r="E13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3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382">
        <v>2</v>
      </c>
      <c r="I1382">
        <f>(salidas26[[#This Row],[CANT JUEGOS ]]*salidas26[[#This Row],[PRECIO JUEGO]])</f>
        <v>260</v>
      </c>
      <c r="J1382">
        <f>(salidas26[[#This Row],[CANT BARRAS]]*salidas26[[#This Row],[PRECIO BARRA]])</f>
        <v>0</v>
      </c>
      <c r="K1382">
        <v>208</v>
      </c>
      <c r="L1382" t="s">
        <v>465</v>
      </c>
      <c r="M1382" t="s">
        <v>497</v>
      </c>
    </row>
    <row r="1383" spans="1:13">
      <c r="A1383">
        <v>1183</v>
      </c>
      <c r="B1383">
        <v>8014</v>
      </c>
      <c r="C13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PREMIER 5L/6V/2B</v>
      </c>
      <c r="D1383" s="32">
        <v>46165</v>
      </c>
      <c r="E13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8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383">
        <v>1</v>
      </c>
      <c r="I1383">
        <f>(salidas26[[#This Row],[CANT JUEGOS ]]*salidas26[[#This Row],[PRECIO JUEGO]])</f>
        <v>60</v>
      </c>
      <c r="J1383" t="e">
        <f>(salidas26[[#This Row],[CANT BARRAS]]*salidas26[[#This Row],[PRECIO BARRA]])</f>
        <v>#VALUE!</v>
      </c>
      <c r="K1383">
        <v>50</v>
      </c>
      <c r="L1383" t="s">
        <v>465</v>
      </c>
      <c r="M1383" t="s">
        <v>730</v>
      </c>
    </row>
    <row r="1384" spans="1:13">
      <c r="A1384">
        <v>1184</v>
      </c>
      <c r="B1384">
        <v>8101</v>
      </c>
      <c r="C13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LT-65 KB608 JVC /12B</v>
      </c>
      <c r="D1384" s="32">
        <v>46165</v>
      </c>
      <c r="E13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3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384">
        <v>1</v>
      </c>
      <c r="I1384">
        <f>(salidas26[[#This Row],[CANT JUEGOS ]]*salidas26[[#This Row],[PRECIO JUEGO]])</f>
        <v>400</v>
      </c>
      <c r="J1384">
        <f>(salidas26[[#This Row],[CANT BARRAS]]*salidas26[[#This Row],[PRECIO BARRA]])</f>
        <v>0</v>
      </c>
      <c r="K1384">
        <v>400</v>
      </c>
      <c r="L1384" t="s">
        <v>879</v>
      </c>
      <c r="M1384" t="s">
        <v>628</v>
      </c>
    </row>
    <row r="1385" spans="1:13">
      <c r="A1385">
        <v>1186</v>
      </c>
      <c r="B1385">
        <v>6027</v>
      </c>
      <c r="C13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385" s="32">
        <v>46165</v>
      </c>
      <c r="E13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3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385">
        <v>1</v>
      </c>
      <c r="H1385">
        <v>3</v>
      </c>
      <c r="I1385">
        <f>(salidas26[[#This Row],[CANT JUEGOS ]]*salidas26[[#This Row],[PRECIO JUEGO]])</f>
        <v>280</v>
      </c>
      <c r="J1385">
        <f>(salidas26[[#This Row],[CANT BARRAS]]*salidas26[[#This Row],[PRECIO BARRA]])</f>
        <v>84</v>
      </c>
      <c r="K1385">
        <v>90</v>
      </c>
      <c r="L1385" t="s">
        <v>465</v>
      </c>
      <c r="M1385" t="s">
        <v>730</v>
      </c>
    </row>
    <row r="1386" spans="1:13">
      <c r="A1386">
        <v>1187</v>
      </c>
      <c r="B1386">
        <v>3000</v>
      </c>
      <c r="C13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386" s="32">
        <v>46165</v>
      </c>
      <c r="E13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3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86">
        <v>1</v>
      </c>
      <c r="I1386">
        <f>(salidas26[[#This Row],[CANT JUEGOS ]]*salidas26[[#This Row],[PRECIO JUEGO]])</f>
        <v>90</v>
      </c>
      <c r="J1386">
        <f>(salidas26[[#This Row],[CANT BARRAS]]*salidas26[[#This Row],[PRECIO BARRA]])</f>
        <v>0</v>
      </c>
      <c r="K1386">
        <v>90</v>
      </c>
      <c r="L1386" t="s">
        <v>879</v>
      </c>
      <c r="M1386" t="s">
        <v>474</v>
      </c>
    </row>
    <row r="1387" spans="1:13">
      <c r="A1387">
        <v>1188</v>
      </c>
      <c r="B1387">
        <v>8055</v>
      </c>
      <c r="C13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387" s="32">
        <v>46165</v>
      </c>
      <c r="E13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387">
        <v>1</v>
      </c>
      <c r="I1387">
        <f>(salidas26[[#This Row],[CANT JUEGOS ]]*salidas26[[#This Row],[PRECIO JUEGO]])</f>
        <v>180</v>
      </c>
      <c r="J1387">
        <f>(salidas26[[#This Row],[CANT BARRAS]]*salidas26[[#This Row],[PRECIO BARRA]])</f>
        <v>0</v>
      </c>
      <c r="K1387">
        <v>160</v>
      </c>
      <c r="L1387" t="s">
        <v>496</v>
      </c>
      <c r="M1387" t="s">
        <v>474</v>
      </c>
    </row>
    <row r="1388" spans="1:13">
      <c r="A1388">
        <v>1189</v>
      </c>
      <c r="B1388">
        <v>2027</v>
      </c>
      <c r="C13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388" s="32">
        <v>46165</v>
      </c>
      <c r="E13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3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388">
        <v>1</v>
      </c>
      <c r="I1388">
        <f>(salidas26[[#This Row],[CANT JUEGOS ]]*salidas26[[#This Row],[PRECIO JUEGO]])</f>
        <v>180</v>
      </c>
      <c r="J1388">
        <f>(salidas26[[#This Row],[CANT BARRAS]]*salidas26[[#This Row],[PRECIO BARRA]])</f>
        <v>0</v>
      </c>
      <c r="K1388">
        <v>180</v>
      </c>
      <c r="L1388" t="s">
        <v>465</v>
      </c>
      <c r="M1388" t="s">
        <v>677</v>
      </c>
    </row>
    <row r="1389" spans="1:13">
      <c r="A1389">
        <v>1191</v>
      </c>
      <c r="B1389">
        <v>8067</v>
      </c>
      <c r="C13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389" s="32">
        <v>46165</v>
      </c>
      <c r="E13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389">
        <v>1</v>
      </c>
      <c r="I1389">
        <f>(salidas26[[#This Row],[CANT JUEGOS ]]*salidas26[[#This Row],[PRECIO JUEGO]])</f>
        <v>220</v>
      </c>
      <c r="J1389">
        <f>(salidas26[[#This Row],[CANT BARRAS]]*salidas26[[#This Row],[PRECIO BARRA]])</f>
        <v>0</v>
      </c>
      <c r="K1389">
        <v>200</v>
      </c>
      <c r="L1389" t="s">
        <v>465</v>
      </c>
      <c r="M1389" t="s">
        <v>880</v>
      </c>
    </row>
    <row r="1390" spans="1:13">
      <c r="A1390">
        <v>1192</v>
      </c>
      <c r="B1390">
        <v>2089</v>
      </c>
      <c r="C13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UN58TU7100 8B/6L 3V-58TU7000</v>
      </c>
      <c r="D1390" s="32">
        <v>46167</v>
      </c>
      <c r="E13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3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390">
        <v>1</v>
      </c>
      <c r="I1390">
        <f>(salidas26[[#This Row],[CANT JUEGOS ]]*salidas26[[#This Row],[PRECIO JUEGO]])</f>
        <v>320</v>
      </c>
      <c r="J1390">
        <f>(salidas26[[#This Row],[CANT BARRAS]]*salidas26[[#This Row],[PRECIO BARRA]])</f>
        <v>0</v>
      </c>
      <c r="K1390">
        <v>300</v>
      </c>
      <c r="L1390" t="s">
        <v>496</v>
      </c>
      <c r="M1390" t="s">
        <v>466</v>
      </c>
    </row>
    <row r="1391" spans="1:13">
      <c r="A1391">
        <v>1193</v>
      </c>
      <c r="B1391">
        <v>1075</v>
      </c>
      <c r="C13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1391" s="32">
        <v>46165</v>
      </c>
      <c r="E13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3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91">
        <v>1</v>
      </c>
      <c r="I1391">
        <f>(salidas26[[#This Row],[CANT JUEGOS ]]*salidas26[[#This Row],[PRECIO JUEGO]])</f>
        <v>240</v>
      </c>
      <c r="J1391">
        <f>(salidas26[[#This Row],[CANT BARRAS]]*salidas26[[#This Row],[PRECIO BARRA]])</f>
        <v>0</v>
      </c>
      <c r="K1391">
        <v>240</v>
      </c>
      <c r="L1391" t="s">
        <v>496</v>
      </c>
      <c r="M1391" t="s">
        <v>474</v>
      </c>
    </row>
    <row r="1392" spans="1:13">
      <c r="A1392">
        <v>1194</v>
      </c>
      <c r="B1392">
        <v>8033</v>
      </c>
      <c r="C13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392" s="32">
        <v>46167</v>
      </c>
      <c r="E13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3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392">
        <v>1</v>
      </c>
      <c r="I1392">
        <f>(salidas26[[#This Row],[CANT JUEGOS ]]*salidas26[[#This Row],[PRECIO JUEGO]])</f>
        <v>150</v>
      </c>
      <c r="J1392">
        <f>(salidas26[[#This Row],[CANT BARRAS]]*salidas26[[#This Row],[PRECIO BARRA]])</f>
        <v>0</v>
      </c>
      <c r="K1392">
        <v>140</v>
      </c>
      <c r="L1392" t="s">
        <v>465</v>
      </c>
      <c r="M1392" t="s">
        <v>660</v>
      </c>
    </row>
    <row r="1393" spans="1:13">
      <c r="A1393">
        <v>1195</v>
      </c>
      <c r="B1393">
        <v>8021</v>
      </c>
      <c r="C13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393" s="32">
        <v>46167</v>
      </c>
      <c r="E13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93">
        <v>1</v>
      </c>
      <c r="I1393">
        <f>(salidas26[[#This Row],[CANT JUEGOS ]]*salidas26[[#This Row],[PRECIO JUEGO]])</f>
        <v>60</v>
      </c>
      <c r="J1393">
        <f>(salidas26[[#This Row],[CANT BARRAS]]*salidas26[[#This Row],[PRECIO BARRA]])</f>
        <v>0</v>
      </c>
      <c r="K1393">
        <v>50</v>
      </c>
      <c r="L1393" t="s">
        <v>465</v>
      </c>
      <c r="M1393" t="s">
        <v>869</v>
      </c>
    </row>
    <row r="1394" spans="1:13">
      <c r="A1394">
        <v>1196</v>
      </c>
      <c r="B1394">
        <v>8015</v>
      </c>
      <c r="C13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94" s="32">
        <v>46167</v>
      </c>
      <c r="E13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94">
        <v>1</v>
      </c>
      <c r="I1394">
        <f>(salidas26[[#This Row],[CANT JUEGOS ]]*salidas26[[#This Row],[PRECIO JUEGO]])</f>
        <v>60</v>
      </c>
      <c r="J1394">
        <f>(salidas26[[#This Row],[CANT BARRAS]]*salidas26[[#This Row],[PRECIO BARRA]])</f>
        <v>0</v>
      </c>
      <c r="K1394">
        <v>50</v>
      </c>
      <c r="L1394" t="s">
        <v>465</v>
      </c>
      <c r="M1394" t="s">
        <v>677</v>
      </c>
    </row>
    <row r="1395" spans="1:13">
      <c r="A1395">
        <v>1197</v>
      </c>
      <c r="B1395">
        <v>8021</v>
      </c>
      <c r="C13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395" s="32">
        <v>46167</v>
      </c>
      <c r="E13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95">
        <v>1</v>
      </c>
      <c r="I1395">
        <f>(salidas26[[#This Row],[CANT JUEGOS ]]*salidas26[[#This Row],[PRECIO JUEGO]])</f>
        <v>60</v>
      </c>
      <c r="J1395">
        <f>(salidas26[[#This Row],[CANT BARRAS]]*salidas26[[#This Row],[PRECIO BARRA]])</f>
        <v>0</v>
      </c>
      <c r="K1395">
        <v>50</v>
      </c>
      <c r="L1395" t="s">
        <v>465</v>
      </c>
      <c r="M1395" t="s">
        <v>730</v>
      </c>
    </row>
    <row r="1396" spans="1:13">
      <c r="A1396">
        <v>1198</v>
      </c>
      <c r="B1396">
        <v>4000</v>
      </c>
      <c r="C13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396" s="32">
        <v>46167</v>
      </c>
      <c r="E13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96">
        <v>1</v>
      </c>
      <c r="I1396">
        <f>(salidas26[[#This Row],[CANT JUEGOS ]]*salidas26[[#This Row],[PRECIO JUEGO]])</f>
        <v>60</v>
      </c>
      <c r="J1396">
        <f>(salidas26[[#This Row],[CANT BARRAS]]*salidas26[[#This Row],[PRECIO BARRA]])</f>
        <v>0</v>
      </c>
      <c r="K1396">
        <v>50</v>
      </c>
      <c r="L1396" t="s">
        <v>465</v>
      </c>
      <c r="M1396" t="s">
        <v>730</v>
      </c>
    </row>
    <row r="1397" spans="1:13">
      <c r="A1397">
        <v>1199</v>
      </c>
      <c r="B1397">
        <v>2099</v>
      </c>
      <c r="C13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UN65NU7100/2B</v>
      </c>
      <c r="D1397" s="32">
        <v>46167</v>
      </c>
      <c r="E13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3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397">
        <v>1</v>
      </c>
      <c r="I1397">
        <f>(salidas26[[#This Row],[CANT JUEGOS ]]*salidas26[[#This Row],[PRECIO JUEGO]])</f>
        <v>260</v>
      </c>
      <c r="J1397">
        <f>(salidas26[[#This Row],[CANT BARRAS]]*salidas26[[#This Row],[PRECIO BARRA]])</f>
        <v>0</v>
      </c>
      <c r="K1397">
        <v>250</v>
      </c>
      <c r="L1397" t="s">
        <v>465</v>
      </c>
      <c r="M1397" t="s">
        <v>481</v>
      </c>
    </row>
    <row r="1398" spans="1:13">
      <c r="A1398">
        <v>1200</v>
      </c>
      <c r="B1398">
        <v>8015</v>
      </c>
      <c r="C13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398" s="32">
        <v>46167</v>
      </c>
      <c r="E13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3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398">
        <v>1</v>
      </c>
      <c r="I1398">
        <f>(salidas26[[#This Row],[CANT JUEGOS ]]*salidas26[[#This Row],[PRECIO JUEGO]])</f>
        <v>60</v>
      </c>
      <c r="J1398">
        <f>(salidas26[[#This Row],[CANT BARRAS]]*salidas26[[#This Row],[PRECIO BARRA]])</f>
        <v>0</v>
      </c>
      <c r="K1398">
        <v>50</v>
      </c>
      <c r="L1398" t="s">
        <v>465</v>
      </c>
      <c r="M1398" t="s">
        <v>677</v>
      </c>
    </row>
    <row r="1399" spans="1:13">
      <c r="A1399">
        <v>1201</v>
      </c>
      <c r="B1399">
        <v>8067</v>
      </c>
      <c r="C13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399" s="32">
        <v>46168</v>
      </c>
      <c r="E13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3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399">
        <v>1</v>
      </c>
      <c r="I1399">
        <f>(salidas26[[#This Row],[CANT JUEGOS ]]*salidas26[[#This Row],[PRECIO JUEGO]])</f>
        <v>220</v>
      </c>
      <c r="J1399">
        <f>(salidas26[[#This Row],[CANT BARRAS]]*salidas26[[#This Row],[PRECIO BARRA]])</f>
        <v>0</v>
      </c>
      <c r="K1399">
        <v>200</v>
      </c>
      <c r="L1399" t="s">
        <v>496</v>
      </c>
      <c r="M1399" t="s">
        <v>881</v>
      </c>
    </row>
    <row r="1400" spans="1:13">
      <c r="A1400">
        <v>1202</v>
      </c>
      <c r="B1400">
        <v>6024</v>
      </c>
      <c r="C14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400" s="32">
        <v>46168</v>
      </c>
      <c r="E14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4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400">
        <v>1</v>
      </c>
      <c r="I1400">
        <f>(salidas26[[#This Row],[CANT JUEGOS ]]*salidas26[[#This Row],[PRECIO JUEGO]])</f>
        <v>300</v>
      </c>
      <c r="J1400">
        <f>(salidas26[[#This Row],[CANT BARRAS]]*salidas26[[#This Row],[PRECIO BARRA]])</f>
        <v>0</v>
      </c>
      <c r="K1400">
        <v>240</v>
      </c>
      <c r="L1400" t="s">
        <v>465</v>
      </c>
      <c r="M1400" t="s">
        <v>497</v>
      </c>
    </row>
    <row r="1401" spans="1:13">
      <c r="A1401">
        <v>1203</v>
      </c>
      <c r="B1401">
        <v>4010</v>
      </c>
      <c r="C14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401" s="32">
        <v>46168</v>
      </c>
      <c r="E14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01">
        <v>1</v>
      </c>
      <c r="I1401">
        <f>(salidas26[[#This Row],[CANT JUEGOS ]]*salidas26[[#This Row],[PRECIO JUEGO]])</f>
        <v>160</v>
      </c>
      <c r="J1401">
        <f>(salidas26[[#This Row],[CANT BARRAS]]*salidas26[[#This Row],[PRECIO BARRA]])</f>
        <v>0</v>
      </c>
      <c r="K1401">
        <v>128</v>
      </c>
      <c r="L1401" t="s">
        <v>465</v>
      </c>
      <c r="M1401" t="s">
        <v>497</v>
      </c>
    </row>
    <row r="1402" spans="1:13">
      <c r="A1402">
        <v>1204</v>
      </c>
      <c r="B1402">
        <v>6012</v>
      </c>
      <c r="C14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1402" s="32">
        <v>46168</v>
      </c>
      <c r="E14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402">
        <v>1</v>
      </c>
      <c r="I1402">
        <f>(salidas26[[#This Row],[CANT JUEGOS ]]*salidas26[[#This Row],[PRECIO JUEGO]])</f>
        <v>220</v>
      </c>
      <c r="J1402">
        <f>(salidas26[[#This Row],[CANT BARRAS]]*salidas26[[#This Row],[PRECIO BARRA]])</f>
        <v>0</v>
      </c>
      <c r="K1402">
        <v>176</v>
      </c>
      <c r="L1402" t="s">
        <v>465</v>
      </c>
      <c r="M1402" t="s">
        <v>497</v>
      </c>
    </row>
    <row r="1403" spans="1:13">
      <c r="A1403">
        <v>1205</v>
      </c>
      <c r="B1403">
        <v>8100</v>
      </c>
      <c r="C14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403" s="32">
        <v>46168</v>
      </c>
      <c r="E14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4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03">
        <v>1</v>
      </c>
      <c r="I1403">
        <f>(salidas26[[#This Row],[CANT JUEGOS ]]*salidas26[[#This Row],[PRECIO JUEGO]])</f>
        <v>300</v>
      </c>
      <c r="J1403">
        <f>(salidas26[[#This Row],[CANT BARRAS]]*salidas26[[#This Row],[PRECIO BARRA]])</f>
        <v>0</v>
      </c>
      <c r="K1403">
        <v>300</v>
      </c>
      <c r="L1403" t="s">
        <v>496</v>
      </c>
      <c r="M1403" t="s">
        <v>882</v>
      </c>
    </row>
    <row r="1404" spans="1:13">
      <c r="A1404">
        <v>1206</v>
      </c>
      <c r="B1404">
        <v>1000</v>
      </c>
      <c r="C14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404" s="32">
        <v>46168</v>
      </c>
      <c r="E14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4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404">
        <v>1</v>
      </c>
      <c r="I1404">
        <f>(salidas26[[#This Row],[CANT JUEGOS ]]*salidas26[[#This Row],[PRECIO JUEGO]])</f>
        <v>80</v>
      </c>
      <c r="J1404">
        <f>(salidas26[[#This Row],[CANT BARRAS]]*salidas26[[#This Row],[PRECIO BARRA]])</f>
        <v>0</v>
      </c>
      <c r="K1404">
        <v>80</v>
      </c>
      <c r="L1404" t="s">
        <v>465</v>
      </c>
      <c r="M1404" t="s">
        <v>883</v>
      </c>
    </row>
    <row r="1405" spans="1:13">
      <c r="A1405">
        <v>1207</v>
      </c>
      <c r="B1405">
        <v>8073</v>
      </c>
      <c r="C14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DISMAC 4B/9L TV-6747SF50SFW 50 (PREMIER)</v>
      </c>
      <c r="D1405" s="32">
        <v>46168</v>
      </c>
      <c r="E14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405">
        <v>4</v>
      </c>
      <c r="I1405">
        <f>(salidas26[[#This Row],[CANT JUEGOS ]]*salidas26[[#This Row],[PRECIO JUEGO]])</f>
        <v>880</v>
      </c>
      <c r="J1405">
        <f>(salidas26[[#This Row],[CANT BARRAS]]*salidas26[[#This Row],[PRECIO BARRA]])</f>
        <v>0</v>
      </c>
      <c r="K1405">
        <v>800</v>
      </c>
      <c r="L1405" t="s">
        <v>496</v>
      </c>
      <c r="M1405" t="s">
        <v>884</v>
      </c>
    </row>
    <row r="1406" spans="1:13">
      <c r="A1406">
        <v>1208</v>
      </c>
      <c r="B1406">
        <v>8057</v>
      </c>
      <c r="C14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406" s="32">
        <v>46168</v>
      </c>
      <c r="E14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06">
        <v>1</v>
      </c>
      <c r="I1406">
        <f>(salidas26[[#This Row],[CANT JUEGOS ]]*salidas26[[#This Row],[PRECIO JUEGO]])</f>
        <v>200</v>
      </c>
      <c r="J1406">
        <f>(salidas26[[#This Row],[CANT BARRAS]]*salidas26[[#This Row],[PRECIO BARRA]])</f>
        <v>0</v>
      </c>
      <c r="K1406">
        <v>190</v>
      </c>
      <c r="L1406" t="s">
        <v>465</v>
      </c>
      <c r="M1406" t="s">
        <v>466</v>
      </c>
    </row>
    <row r="1407" spans="1:13">
      <c r="A1407">
        <v>1209</v>
      </c>
      <c r="B1407">
        <v>8039</v>
      </c>
      <c r="C14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40-CHINO PREMIER 3B/8-8-8/6V</v>
      </c>
      <c r="D1407" s="32">
        <v>46169</v>
      </c>
      <c r="E14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07">
        <v>1</v>
      </c>
      <c r="I1407">
        <f>(salidas26[[#This Row],[CANT JUEGOS ]]*salidas26[[#This Row],[PRECIO JUEGO]])</f>
        <v>150</v>
      </c>
      <c r="J1407">
        <f>(salidas26[[#This Row],[CANT BARRAS]]*salidas26[[#This Row],[PRECIO BARRA]])</f>
        <v>0</v>
      </c>
      <c r="K1407">
        <v>150</v>
      </c>
      <c r="L1407" t="s">
        <v>465</v>
      </c>
      <c r="M1407" t="s">
        <v>804</v>
      </c>
    </row>
    <row r="1408" spans="1:13">
      <c r="A1408">
        <v>1210</v>
      </c>
      <c r="B1408">
        <v>4015</v>
      </c>
      <c r="C14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49-DAeWO/ 9B EL JUEGO 1 PIN</v>
      </c>
      <c r="D1408" s="32">
        <v>46169</v>
      </c>
      <c r="E14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1408">
        <v>1</v>
      </c>
      <c r="I1408">
        <f>(salidas26[[#This Row],[CANT JUEGOS ]]*salidas26[[#This Row],[PRECIO JUEGO]])</f>
        <v>200</v>
      </c>
      <c r="J1408">
        <f>(salidas26[[#This Row],[CANT BARRAS]]*salidas26[[#This Row],[PRECIO BARRA]])</f>
        <v>0</v>
      </c>
      <c r="K1408">
        <v>200</v>
      </c>
      <c r="L1408" t="s">
        <v>465</v>
      </c>
      <c r="M1408" t="s">
        <v>885</v>
      </c>
    </row>
    <row r="1409" spans="1:13">
      <c r="A1409">
        <v>1211</v>
      </c>
      <c r="B1409">
        <v>5038</v>
      </c>
      <c r="C14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KDL-65X725E 2B</v>
      </c>
      <c r="D1409" s="32">
        <v>46169</v>
      </c>
      <c r="E14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4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409">
        <v>1</v>
      </c>
      <c r="I1409">
        <f>(salidas26[[#This Row],[CANT JUEGOS ]]*salidas26[[#This Row],[PRECIO JUEGO]])</f>
        <v>300</v>
      </c>
      <c r="J1409">
        <f>(salidas26[[#This Row],[CANT BARRAS]]*salidas26[[#This Row],[PRECIO BARRA]])</f>
        <v>0</v>
      </c>
      <c r="K1409">
        <v>300</v>
      </c>
      <c r="L1409" t="s">
        <v>465</v>
      </c>
      <c r="M1409" t="s">
        <v>466</v>
      </c>
    </row>
    <row r="1410" spans="1:13">
      <c r="A1410">
        <v>1212</v>
      </c>
      <c r="B1410">
        <v>2075</v>
      </c>
      <c r="C14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410" s="32">
        <v>46169</v>
      </c>
      <c r="E14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410">
        <v>1</v>
      </c>
      <c r="I1410">
        <f>(salidas26[[#This Row],[CANT JUEGOS ]]*salidas26[[#This Row],[PRECIO JUEGO]])</f>
        <v>200</v>
      </c>
      <c r="J1410">
        <f>(salidas26[[#This Row],[CANT BARRAS]]*salidas26[[#This Row],[PRECIO BARRA]])</f>
        <v>0</v>
      </c>
      <c r="K1410">
        <v>190</v>
      </c>
      <c r="L1410" t="s">
        <v>496</v>
      </c>
      <c r="M1410" t="s">
        <v>793</v>
      </c>
    </row>
    <row r="1411" spans="1:13">
      <c r="A1411">
        <v>1213</v>
      </c>
      <c r="B1411">
        <v>1000</v>
      </c>
      <c r="C14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411" s="32">
        <v>46169</v>
      </c>
      <c r="E14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4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411">
        <v>1</v>
      </c>
      <c r="I1411">
        <f>(salidas26[[#This Row],[CANT JUEGOS ]]*salidas26[[#This Row],[PRECIO JUEGO]])</f>
        <v>80</v>
      </c>
      <c r="J1411">
        <f>(salidas26[[#This Row],[CANT BARRAS]]*salidas26[[#This Row],[PRECIO BARRA]])</f>
        <v>0</v>
      </c>
      <c r="K1411">
        <v>70</v>
      </c>
      <c r="L1411" t="s">
        <v>496</v>
      </c>
      <c r="M1411" t="s">
        <v>793</v>
      </c>
    </row>
    <row r="1412" spans="1:13">
      <c r="A1412">
        <v>1214</v>
      </c>
      <c r="B1412">
        <v>1012</v>
      </c>
      <c r="C14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412" s="32">
        <v>46170</v>
      </c>
      <c r="E14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4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12">
        <v>1</v>
      </c>
      <c r="I1412">
        <f>(salidas26[[#This Row],[CANT JUEGOS ]]*salidas26[[#This Row],[PRECIO JUEGO]])</f>
        <v>90</v>
      </c>
      <c r="J1412">
        <f>(salidas26[[#This Row],[CANT BARRAS]]*salidas26[[#This Row],[PRECIO BARRA]])</f>
        <v>0</v>
      </c>
      <c r="K1412">
        <v>90</v>
      </c>
      <c r="L1412" t="s">
        <v>465</v>
      </c>
      <c r="M1412" t="s">
        <v>470</v>
      </c>
    </row>
    <row r="1413" spans="1:13">
      <c r="A1413">
        <v>1215</v>
      </c>
      <c r="B1413">
        <v>3030</v>
      </c>
      <c r="C14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B8500  10L/14B  </v>
      </c>
      <c r="D1413" s="32">
        <v>46170</v>
      </c>
      <c r="E14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4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22.857142857142858</v>
      </c>
      <c r="G1413">
        <v>1</v>
      </c>
      <c r="I1413">
        <f>(salidas26[[#This Row],[CANT JUEGOS ]]*salidas26[[#This Row],[PRECIO JUEGO]])</f>
        <v>320</v>
      </c>
      <c r="J1413">
        <f>(salidas26[[#This Row],[CANT BARRAS]]*salidas26[[#This Row],[PRECIO BARRA]])</f>
        <v>0</v>
      </c>
      <c r="K1413">
        <v>300</v>
      </c>
      <c r="L1413" t="s">
        <v>465</v>
      </c>
      <c r="M1413" t="s">
        <v>466</v>
      </c>
    </row>
    <row r="1414" spans="1:13">
      <c r="A1414">
        <v>1216</v>
      </c>
      <c r="B1414">
        <v>8069</v>
      </c>
      <c r="C14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414" s="32">
        <v>46170</v>
      </c>
      <c r="E14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414">
        <v>1</v>
      </c>
      <c r="I1414">
        <f>(salidas26[[#This Row],[CANT JUEGOS ]]*salidas26[[#This Row],[PRECIO JUEGO]])</f>
        <v>220</v>
      </c>
      <c r="J1414">
        <f>(salidas26[[#This Row],[CANT BARRAS]]*salidas26[[#This Row],[PRECIO BARRA]])</f>
        <v>0</v>
      </c>
      <c r="K1414">
        <v>200</v>
      </c>
      <c r="L1414" t="s">
        <v>465</v>
      </c>
      <c r="M1414" t="s">
        <v>660</v>
      </c>
    </row>
    <row r="1415" spans="1:13">
      <c r="A1415">
        <v>1217</v>
      </c>
      <c r="B1415">
        <v>2019</v>
      </c>
      <c r="C14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H5100-40 H4200</v>
      </c>
      <c r="D1415" s="32">
        <v>46170</v>
      </c>
      <c r="E14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1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415">
        <v>1</v>
      </c>
      <c r="I1415">
        <f>(salidas26[[#This Row],[CANT JUEGOS ]]*salidas26[[#This Row],[PRECIO JUEGO]])</f>
        <v>160</v>
      </c>
      <c r="J1415" t="e">
        <f>(salidas26[[#This Row],[CANT BARRAS]]*salidas26[[#This Row],[PRECIO BARRA]])</f>
        <v>#VALUE!</v>
      </c>
      <c r="K1415">
        <v>140</v>
      </c>
      <c r="L1415" t="s">
        <v>496</v>
      </c>
      <c r="M1415" t="s">
        <v>822</v>
      </c>
    </row>
    <row r="1416" spans="1:13">
      <c r="A1416">
        <v>1218</v>
      </c>
      <c r="B1416">
        <v>1138</v>
      </c>
      <c r="C14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416" s="32">
        <v>46170</v>
      </c>
      <c r="E14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4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416">
        <v>1</v>
      </c>
      <c r="I1416">
        <f>(salidas26[[#This Row],[CANT JUEGOS ]]*salidas26[[#This Row],[PRECIO JUEGO]])</f>
        <v>280</v>
      </c>
      <c r="J1416">
        <f>(salidas26[[#This Row],[CANT BARRAS]]*salidas26[[#This Row],[PRECIO BARRA]])</f>
        <v>0</v>
      </c>
      <c r="K1416">
        <v>260</v>
      </c>
      <c r="L1416" t="s">
        <v>465</v>
      </c>
      <c r="M1416" t="s">
        <v>876</v>
      </c>
    </row>
    <row r="1417" spans="1:13">
      <c r="A1417">
        <v>1219</v>
      </c>
      <c r="B1417">
        <v>5036</v>
      </c>
      <c r="C14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KDL-60X695E/5L/10B</v>
      </c>
      <c r="D1417" s="32">
        <v>46170</v>
      </c>
      <c r="E14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4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</v>
      </c>
      <c r="G1417">
        <v>1</v>
      </c>
      <c r="I1417">
        <f>(salidas26[[#This Row],[CANT JUEGOS ]]*salidas26[[#This Row],[PRECIO JUEGO]])</f>
        <v>320</v>
      </c>
      <c r="J1417">
        <f>(salidas26[[#This Row],[CANT BARRAS]]*salidas26[[#This Row],[PRECIO BARRA]])</f>
        <v>0</v>
      </c>
      <c r="K1417">
        <v>310</v>
      </c>
      <c r="L1417" t="s">
        <v>465</v>
      </c>
      <c r="M1417" t="s">
        <v>466</v>
      </c>
    </row>
    <row r="1418" spans="1:13">
      <c r="A1418">
        <v>1222</v>
      </c>
      <c r="B1418">
        <v>6009</v>
      </c>
      <c r="C14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418" s="32">
        <v>46170</v>
      </c>
      <c r="E14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418">
        <v>6</v>
      </c>
      <c r="I1418">
        <f>(salidas26[[#This Row],[CANT JUEGOS ]]*salidas26[[#This Row],[PRECIO JUEGO]])</f>
        <v>0</v>
      </c>
      <c r="J1418">
        <f>(salidas26[[#This Row],[CANT BARRAS]]*salidas26[[#This Row],[PRECIO BARRA]])</f>
        <v>135</v>
      </c>
      <c r="K1418">
        <v>150</v>
      </c>
      <c r="L1418" t="s">
        <v>465</v>
      </c>
      <c r="M1418" t="s">
        <v>466</v>
      </c>
    </row>
    <row r="1419" spans="1:13">
      <c r="A1419">
        <v>1223</v>
      </c>
      <c r="B1419">
        <v>2012</v>
      </c>
      <c r="C14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419" s="32">
        <v>46170</v>
      </c>
      <c r="E14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19">
        <v>1</v>
      </c>
      <c r="I1419">
        <f>(salidas26[[#This Row],[CANT JUEGOS ]]*salidas26[[#This Row],[PRECIO JUEGO]])</f>
        <v>160</v>
      </c>
      <c r="J1419">
        <f>(salidas26[[#This Row],[CANT BARRAS]]*salidas26[[#This Row],[PRECIO BARRA]])</f>
        <v>0</v>
      </c>
      <c r="K1419">
        <v>160</v>
      </c>
      <c r="L1419" t="s">
        <v>496</v>
      </c>
      <c r="M1419" t="s">
        <v>474</v>
      </c>
    </row>
    <row r="1420" spans="1:13">
      <c r="A1420">
        <v>1226</v>
      </c>
      <c r="B1420">
        <v>2012</v>
      </c>
      <c r="C14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420" s="32">
        <v>46170</v>
      </c>
      <c r="E14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20">
        <v>1</v>
      </c>
      <c r="I1420">
        <f>(salidas26[[#This Row],[CANT JUEGOS ]]*salidas26[[#This Row],[PRECIO JUEGO]])</f>
        <v>160</v>
      </c>
      <c r="J1420">
        <f>(salidas26[[#This Row],[CANT BARRAS]]*salidas26[[#This Row],[PRECIO BARRA]])</f>
        <v>0</v>
      </c>
      <c r="K1420">
        <v>180</v>
      </c>
      <c r="L1420" t="s">
        <v>465</v>
      </c>
      <c r="M1420" t="s">
        <v>886</v>
      </c>
    </row>
    <row r="1421" spans="1:13">
      <c r="A1421">
        <v>1227</v>
      </c>
      <c r="B1421">
        <v>4011</v>
      </c>
      <c r="C14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421" s="32">
        <v>46202</v>
      </c>
      <c r="E14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21">
        <v>2</v>
      </c>
      <c r="H1421">
        <v>1</v>
      </c>
      <c r="I1421">
        <f>(salidas26[[#This Row],[CANT JUEGOS ]]*salidas26[[#This Row],[PRECIO JUEGO]])</f>
        <v>320</v>
      </c>
      <c r="J1421">
        <f>(salidas26[[#This Row],[CANT BARRAS]]*salidas26[[#This Row],[PRECIO BARRA]])</f>
        <v>53.333333333333336</v>
      </c>
      <c r="K1421">
        <v>200</v>
      </c>
      <c r="L1421" t="s">
        <v>496</v>
      </c>
      <c r="M1421" t="s">
        <v>466</v>
      </c>
    </row>
    <row r="1422" spans="1:13">
      <c r="A1422">
        <v>1228</v>
      </c>
      <c r="B1422">
        <v>6132</v>
      </c>
      <c r="C14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SKYWORTH-65 UB7500 10B</v>
      </c>
      <c r="D1422" s="32">
        <v>46202</v>
      </c>
      <c r="E14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4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42</v>
      </c>
      <c r="G1422">
        <v>1</v>
      </c>
      <c r="I1422">
        <f>(salidas26[[#This Row],[CANT JUEGOS ]]*salidas26[[#This Row],[PRECIO JUEGO]])</f>
        <v>420</v>
      </c>
      <c r="J1422">
        <f>(salidas26[[#This Row],[CANT BARRAS]]*salidas26[[#This Row],[PRECIO BARRA]])</f>
        <v>0</v>
      </c>
      <c r="K1422">
        <v>336</v>
      </c>
      <c r="L1422" t="s">
        <v>465</v>
      </c>
      <c r="M1422" t="s">
        <v>497</v>
      </c>
    </row>
    <row r="1423" spans="1:13">
      <c r="A1423">
        <v>1229</v>
      </c>
      <c r="B1423">
        <v>5028</v>
      </c>
      <c r="C14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KDL-48W655D 4L</v>
      </c>
      <c r="D1423" s="32">
        <v>46202</v>
      </c>
      <c r="E14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4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35.714285714285715</v>
      </c>
      <c r="G1423">
        <v>1</v>
      </c>
      <c r="I1423">
        <f>(salidas26[[#This Row],[CANT JUEGOS ]]*salidas26[[#This Row],[PRECIO JUEGO]])</f>
        <v>250</v>
      </c>
      <c r="J1423">
        <f>(salidas26[[#This Row],[CANT BARRAS]]*salidas26[[#This Row],[PRECIO BARRA]])</f>
        <v>0</v>
      </c>
      <c r="K1423">
        <v>200</v>
      </c>
      <c r="L1423" t="s">
        <v>465</v>
      </c>
      <c r="M1423" t="s">
        <v>497</v>
      </c>
    </row>
    <row r="1424" spans="1:13">
      <c r="A1424">
        <v>1231</v>
      </c>
      <c r="B1424">
        <v>8008</v>
      </c>
      <c r="C14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42 PULG. </v>
      </c>
      <c r="D1424" s="32">
        <v>46202</v>
      </c>
      <c r="E14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24">
        <v>1</v>
      </c>
      <c r="I1424">
        <f>(salidas26[[#This Row],[CANT JUEGOS ]]*salidas26[[#This Row],[PRECIO JUEGO]])</f>
        <v>180</v>
      </c>
      <c r="J1424">
        <f>(salidas26[[#This Row],[CANT BARRAS]]*salidas26[[#This Row],[PRECIO BARRA]])</f>
        <v>0</v>
      </c>
      <c r="K1424">
        <v>200</v>
      </c>
      <c r="L1424" t="s">
        <v>496</v>
      </c>
      <c r="M1424" t="s">
        <v>906</v>
      </c>
    </row>
    <row r="1425" spans="1:13">
      <c r="A1425">
        <v>1232</v>
      </c>
      <c r="B1425">
        <v>8015</v>
      </c>
      <c r="C14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425" s="32">
        <v>46202</v>
      </c>
      <c r="E14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25">
        <v>1</v>
      </c>
      <c r="I1425">
        <f>(salidas26[[#This Row],[CANT JUEGOS ]]*salidas26[[#This Row],[PRECIO JUEGO]])</f>
        <v>60</v>
      </c>
      <c r="J1425">
        <f>(salidas26[[#This Row],[CANT BARRAS]]*salidas26[[#This Row],[PRECIO BARRA]])</f>
        <v>0</v>
      </c>
      <c r="K1425">
        <v>100</v>
      </c>
      <c r="L1425" t="s">
        <v>496</v>
      </c>
      <c r="M1425" t="s">
        <v>474</v>
      </c>
    </row>
    <row r="1426" spans="1:13">
      <c r="A1426">
        <v>1233</v>
      </c>
      <c r="B1426">
        <v>8033</v>
      </c>
      <c r="C14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426" s="32">
        <v>46202</v>
      </c>
      <c r="E14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26">
        <v>1</v>
      </c>
      <c r="I1426">
        <f>(salidas26[[#This Row],[CANT JUEGOS ]]*salidas26[[#This Row],[PRECIO JUEGO]])</f>
        <v>150</v>
      </c>
      <c r="J1426">
        <f>(salidas26[[#This Row],[CANT BARRAS]]*salidas26[[#This Row],[PRECIO BARRA]])</f>
        <v>0</v>
      </c>
      <c r="K1426">
        <v>140</v>
      </c>
      <c r="L1426" t="s">
        <v>496</v>
      </c>
      <c r="M1426" t="s">
        <v>474</v>
      </c>
    </row>
    <row r="1427" spans="1:13">
      <c r="A1427">
        <v>1234</v>
      </c>
      <c r="B1427">
        <v>1015</v>
      </c>
      <c r="C14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427" s="32">
        <v>46202</v>
      </c>
      <c r="E14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4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427">
        <v>2</v>
      </c>
      <c r="I1427">
        <f>(salidas26[[#This Row],[CANT JUEGOS ]]*salidas26[[#This Row],[PRECIO JUEGO]])</f>
        <v>160</v>
      </c>
      <c r="J1427">
        <f>(salidas26[[#This Row],[CANT BARRAS]]*salidas26[[#This Row],[PRECIO BARRA]])</f>
        <v>0</v>
      </c>
      <c r="K1427">
        <v>160</v>
      </c>
      <c r="L1427" t="s">
        <v>465</v>
      </c>
      <c r="M1427" t="s">
        <v>481</v>
      </c>
    </row>
    <row r="1428" spans="1:13">
      <c r="A1428">
        <v>1235</v>
      </c>
      <c r="B1428">
        <v>9001</v>
      </c>
      <c r="C14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/12B-75KB618</v>
      </c>
      <c r="D1428" s="32">
        <v>46202</v>
      </c>
      <c r="E14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4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H1428">
        <v>3</v>
      </c>
      <c r="I1428">
        <f>(salidas26[[#This Row],[CANT JUEGOS ]]*salidas26[[#This Row],[PRECIO JUEGO]])</f>
        <v>0</v>
      </c>
      <c r="J1428">
        <f>(salidas26[[#This Row],[CANT BARRAS]]*salidas26[[#This Row],[PRECIO BARRA]])</f>
        <v>112.5</v>
      </c>
      <c r="K1428">
        <v>160</v>
      </c>
      <c r="L1428" t="s">
        <v>465</v>
      </c>
      <c r="M1428" t="s">
        <v>595</v>
      </c>
    </row>
    <row r="1429" spans="1:13">
      <c r="A1429">
        <v>1236</v>
      </c>
      <c r="B1429">
        <v>1012</v>
      </c>
      <c r="C14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429" s="32">
        <v>46202</v>
      </c>
      <c r="E14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4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29">
        <v>1</v>
      </c>
      <c r="I1429">
        <f>(salidas26[[#This Row],[CANT JUEGOS ]]*salidas26[[#This Row],[PRECIO JUEGO]])</f>
        <v>90</v>
      </c>
      <c r="J1429">
        <f>(salidas26[[#This Row],[CANT BARRAS]]*salidas26[[#This Row],[PRECIO BARRA]])</f>
        <v>0</v>
      </c>
      <c r="K1429">
        <v>90</v>
      </c>
      <c r="L1429" t="s">
        <v>465</v>
      </c>
      <c r="M1429" t="s">
        <v>542</v>
      </c>
    </row>
    <row r="1430" spans="1:13">
      <c r="A1430">
        <v>1237</v>
      </c>
      <c r="B1430">
        <v>1129</v>
      </c>
      <c r="C14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55UH6500/2B</v>
      </c>
      <c r="D1430" s="32">
        <v>46202</v>
      </c>
      <c r="E14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4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430">
        <v>1</v>
      </c>
      <c r="I1430">
        <f>(salidas26[[#This Row],[CANT JUEGOS ]]*salidas26[[#This Row],[PRECIO JUEGO]])</f>
        <v>260</v>
      </c>
      <c r="J1430">
        <f>(salidas26[[#This Row],[CANT BARRAS]]*salidas26[[#This Row],[PRECIO BARRA]])</f>
        <v>0</v>
      </c>
      <c r="K1430">
        <v>250</v>
      </c>
      <c r="L1430" t="s">
        <v>496</v>
      </c>
      <c r="M1430" t="s">
        <v>466</v>
      </c>
    </row>
    <row r="1431" spans="1:13">
      <c r="A1431">
        <v>1238</v>
      </c>
      <c r="B1431">
        <v>1033</v>
      </c>
      <c r="C14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431" s="32">
        <v>46202</v>
      </c>
      <c r="E14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431">
        <v>1</v>
      </c>
      <c r="I1431">
        <f>(salidas26[[#This Row],[CANT JUEGOS ]]*salidas26[[#This Row],[PRECIO JUEGO]])</f>
        <v>180</v>
      </c>
      <c r="J1431">
        <f>(salidas26[[#This Row],[CANT BARRAS]]*salidas26[[#This Row],[PRECIO BARRA]])</f>
        <v>0</v>
      </c>
      <c r="K1431">
        <v>180</v>
      </c>
      <c r="L1431" t="s">
        <v>465</v>
      </c>
      <c r="M1431" t="s">
        <v>481</v>
      </c>
    </row>
    <row r="1432" spans="1:13">
      <c r="A1432">
        <v>1239</v>
      </c>
      <c r="B1432">
        <v>2078</v>
      </c>
      <c r="C14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1432" s="32">
        <v>46202</v>
      </c>
      <c r="E14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4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432">
        <v>1</v>
      </c>
      <c r="I1432">
        <f>(salidas26[[#This Row],[CANT JUEGOS ]]*salidas26[[#This Row],[PRECIO JUEGO]])</f>
        <v>250</v>
      </c>
      <c r="J1432">
        <f>(salidas26[[#This Row],[CANT BARRAS]]*salidas26[[#This Row],[PRECIO BARRA]])</f>
        <v>0</v>
      </c>
      <c r="K1432">
        <v>240</v>
      </c>
      <c r="L1432" t="s">
        <v>465</v>
      </c>
      <c r="M1432" t="s">
        <v>474</v>
      </c>
    </row>
    <row r="1433" spans="1:13">
      <c r="A1433">
        <v>1240</v>
      </c>
      <c r="B1433">
        <v>4011</v>
      </c>
      <c r="C14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433" s="32">
        <v>46202</v>
      </c>
      <c r="E14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33">
        <v>1</v>
      </c>
      <c r="I1433">
        <f>(salidas26[[#This Row],[CANT JUEGOS ]]*salidas26[[#This Row],[PRECIO JUEGO]])</f>
        <v>160</v>
      </c>
      <c r="J1433">
        <f>(salidas26[[#This Row],[CANT BARRAS]]*salidas26[[#This Row],[PRECIO BARRA]])</f>
        <v>0</v>
      </c>
      <c r="K1433">
        <v>140</v>
      </c>
      <c r="L1433" t="s">
        <v>465</v>
      </c>
      <c r="M1433" t="s">
        <v>474</v>
      </c>
    </row>
    <row r="1434" spans="1:13">
      <c r="A1434">
        <v>1241</v>
      </c>
      <c r="B1434">
        <v>8024</v>
      </c>
      <c r="C14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1434" s="32">
        <v>46202</v>
      </c>
      <c r="E14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434">
        <v>1</v>
      </c>
      <c r="I1434">
        <f>(salidas26[[#This Row],[CANT JUEGOS ]]*salidas26[[#This Row],[PRECIO JUEGO]])</f>
        <v>150</v>
      </c>
      <c r="J1434">
        <f>(salidas26[[#This Row],[CANT BARRAS]]*salidas26[[#This Row],[PRECIO BARRA]])</f>
        <v>0</v>
      </c>
      <c r="K1434">
        <v>140</v>
      </c>
      <c r="L1434" t="s">
        <v>496</v>
      </c>
      <c r="M1434" t="s">
        <v>466</v>
      </c>
    </row>
    <row r="1435" spans="1:13">
      <c r="A1435">
        <v>1242</v>
      </c>
      <c r="B1435">
        <v>1024</v>
      </c>
      <c r="C14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1435" s="32">
        <v>46202</v>
      </c>
      <c r="E14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4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435">
        <v>1</v>
      </c>
      <c r="I1435">
        <f>(salidas26[[#This Row],[CANT JUEGOS ]]*salidas26[[#This Row],[PRECIO JUEGO]])</f>
        <v>100</v>
      </c>
      <c r="J1435">
        <f>(salidas26[[#This Row],[CANT BARRAS]]*salidas26[[#This Row],[PRECIO BARRA]])</f>
        <v>0</v>
      </c>
      <c r="K1435">
        <v>100</v>
      </c>
      <c r="L1435" t="s">
        <v>496</v>
      </c>
      <c r="M1435" t="s">
        <v>466</v>
      </c>
    </row>
    <row r="1436" spans="1:13">
      <c r="A1436">
        <v>1243</v>
      </c>
      <c r="B1436">
        <v>3000</v>
      </c>
      <c r="C14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436" s="32">
        <v>46202</v>
      </c>
      <c r="E14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4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36">
        <v>1</v>
      </c>
      <c r="I1436">
        <f>(salidas26[[#This Row],[CANT JUEGOS ]]*salidas26[[#This Row],[PRECIO JUEGO]])</f>
        <v>90</v>
      </c>
      <c r="J1436">
        <f>(salidas26[[#This Row],[CANT BARRAS]]*salidas26[[#This Row],[PRECIO BARRA]])</f>
        <v>0</v>
      </c>
      <c r="K1436">
        <v>90</v>
      </c>
      <c r="L1436" t="s">
        <v>496</v>
      </c>
      <c r="M1436" t="s">
        <v>466</v>
      </c>
    </row>
    <row r="1437" spans="1:13">
      <c r="A1437">
        <v>1244</v>
      </c>
      <c r="B1437">
        <v>1049</v>
      </c>
      <c r="C14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437" s="32">
        <v>46172</v>
      </c>
      <c r="E14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37">
        <v>1</v>
      </c>
      <c r="I1437">
        <f>(salidas26[[#This Row],[CANT JUEGOS ]]*salidas26[[#This Row],[PRECIO JUEGO]])</f>
        <v>180</v>
      </c>
      <c r="J1437">
        <f>(salidas26[[#This Row],[CANT BARRAS]]*salidas26[[#This Row],[PRECIO BARRA]])</f>
        <v>0</v>
      </c>
      <c r="K1437">
        <v>160</v>
      </c>
      <c r="L1437" t="s">
        <v>465</v>
      </c>
      <c r="M1437" t="s">
        <v>474</v>
      </c>
    </row>
    <row r="1438" spans="1:13">
      <c r="A1438">
        <v>1245</v>
      </c>
      <c r="B1438">
        <v>2036</v>
      </c>
      <c r="C14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438" s="32">
        <v>46172</v>
      </c>
      <c r="E14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438">
        <v>1</v>
      </c>
      <c r="I1438">
        <f>(salidas26[[#This Row],[CANT JUEGOS ]]*salidas26[[#This Row],[PRECIO JUEGO]])</f>
        <v>220</v>
      </c>
      <c r="J1438">
        <f>(salidas26[[#This Row],[CANT BARRAS]]*salidas26[[#This Row],[PRECIO BARRA]])</f>
        <v>0</v>
      </c>
      <c r="K1438">
        <v>200</v>
      </c>
      <c r="L1438" t="s">
        <v>465</v>
      </c>
      <c r="M1438" t="s">
        <v>474</v>
      </c>
    </row>
    <row r="1439" spans="1:13">
      <c r="A1439">
        <v>1246</v>
      </c>
      <c r="B1439">
        <v>8082</v>
      </c>
      <c r="C14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1439" s="32">
        <v>46172</v>
      </c>
      <c r="E14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43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439">
        <v>1</v>
      </c>
      <c r="I1439">
        <f>(salidas26[[#This Row],[CANT JUEGOS ]]*salidas26[[#This Row],[PRECIO JUEGO]])</f>
        <v>320</v>
      </c>
      <c r="J1439" t="e">
        <f>(salidas26[[#This Row],[CANT BARRAS]]*salidas26[[#This Row],[PRECIO BARRA]])</f>
        <v>#VALUE!</v>
      </c>
      <c r="K1439">
        <v>280</v>
      </c>
      <c r="L1439" t="s">
        <v>465</v>
      </c>
      <c r="M1439" t="s">
        <v>481</v>
      </c>
    </row>
    <row r="1440" spans="1:13">
      <c r="A1440">
        <v>1247</v>
      </c>
      <c r="B1440">
        <v>4011</v>
      </c>
      <c r="C14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440" s="32">
        <v>46172</v>
      </c>
      <c r="E14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40">
        <v>1</v>
      </c>
      <c r="H1440">
        <v>1</v>
      </c>
      <c r="I1440">
        <f>(salidas26[[#This Row],[CANT JUEGOS ]]*salidas26[[#This Row],[PRECIO JUEGO]])</f>
        <v>160</v>
      </c>
      <c r="J1440">
        <f>(salidas26[[#This Row],[CANT BARRAS]]*salidas26[[#This Row],[PRECIO BARRA]])</f>
        <v>53.333333333333336</v>
      </c>
      <c r="K1440">
        <v>200</v>
      </c>
      <c r="L1440" t="s">
        <v>465</v>
      </c>
      <c r="M1440" t="s">
        <v>542</v>
      </c>
    </row>
    <row r="1441" spans="1:13">
      <c r="A1441">
        <v>1248</v>
      </c>
      <c r="B1441">
        <v>4021</v>
      </c>
      <c r="C14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1441" s="32">
        <v>46172</v>
      </c>
      <c r="E14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441">
        <v>1</v>
      </c>
      <c r="I1441">
        <f>(salidas26[[#This Row],[CANT JUEGOS ]]*salidas26[[#This Row],[PRECIO JUEGO]])</f>
        <v>200</v>
      </c>
      <c r="J1441">
        <f>(salidas26[[#This Row],[CANT BARRAS]]*salidas26[[#This Row],[PRECIO BARRA]])</f>
        <v>0</v>
      </c>
      <c r="K1441">
        <v>200</v>
      </c>
      <c r="L1441" t="s">
        <v>465</v>
      </c>
      <c r="M1441" t="s">
        <v>481</v>
      </c>
    </row>
    <row r="1442" spans="1:13">
      <c r="A1442">
        <v>1249</v>
      </c>
      <c r="B1442">
        <v>8082</v>
      </c>
      <c r="C14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1442" s="32">
        <v>46172</v>
      </c>
      <c r="E14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44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442">
        <v>1</v>
      </c>
      <c r="I1442">
        <f>(salidas26[[#This Row],[CANT JUEGOS ]]*salidas26[[#This Row],[PRECIO JUEGO]])</f>
        <v>320</v>
      </c>
      <c r="J1442" t="e">
        <f>(salidas26[[#This Row],[CANT BARRAS]]*salidas26[[#This Row],[PRECIO BARRA]])</f>
        <v>#VALUE!</v>
      </c>
      <c r="K1442">
        <v>300</v>
      </c>
      <c r="L1442" t="s">
        <v>496</v>
      </c>
      <c r="M1442" t="s">
        <v>466</v>
      </c>
    </row>
    <row r="1443" spans="1:13">
      <c r="A1443">
        <v>1250</v>
      </c>
      <c r="B1443">
        <v>8094</v>
      </c>
      <c r="C14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AIWA CHIQ CROWN 15L/3V/6B DIF180º</v>
      </c>
      <c r="D1443" s="32">
        <v>46172</v>
      </c>
      <c r="E14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44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443">
        <v>1</v>
      </c>
      <c r="I1443">
        <f>(salidas26[[#This Row],[CANT JUEGOS ]]*salidas26[[#This Row],[PRECIO JUEGO]])</f>
        <v>320</v>
      </c>
      <c r="J1443" t="e">
        <f>(salidas26[[#This Row],[CANT BARRAS]]*salidas26[[#This Row],[PRECIO BARRA]])</f>
        <v>#VALUE!</v>
      </c>
      <c r="K1443">
        <v>300</v>
      </c>
      <c r="L1443" t="s">
        <v>496</v>
      </c>
      <c r="M1443" t="s">
        <v>481</v>
      </c>
    </row>
    <row r="1444" spans="1:13">
      <c r="A1444">
        <v>1251</v>
      </c>
      <c r="B1444">
        <v>6015</v>
      </c>
      <c r="C14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444" s="32">
        <v>46172</v>
      </c>
      <c r="E14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444">
        <v>1</v>
      </c>
      <c r="I1444">
        <f>(salidas26[[#This Row],[CANT JUEGOS ]]*salidas26[[#This Row],[PRECIO JUEGO]])</f>
        <v>220</v>
      </c>
      <c r="J1444">
        <f>(salidas26[[#This Row],[CANT BARRAS]]*salidas26[[#This Row],[PRECIO BARRA]])</f>
        <v>0</v>
      </c>
      <c r="K1444">
        <v>200</v>
      </c>
      <c r="L1444" t="s">
        <v>465</v>
      </c>
      <c r="M1444" t="s">
        <v>470</v>
      </c>
    </row>
    <row r="1445" spans="1:13">
      <c r="A1445">
        <v>1252</v>
      </c>
      <c r="B1445">
        <v>8087</v>
      </c>
      <c r="C14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PREMIER TV-7130SF55SF/9B</v>
      </c>
      <c r="D1445" s="32">
        <v>46174</v>
      </c>
      <c r="E14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4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445">
        <v>1</v>
      </c>
      <c r="I1445">
        <f>(salidas26[[#This Row],[CANT JUEGOS ]]*salidas26[[#This Row],[PRECIO JUEGO]])</f>
        <v>250</v>
      </c>
      <c r="J1445">
        <f>(salidas26[[#This Row],[CANT BARRAS]]*salidas26[[#This Row],[PRECIO BARRA]])</f>
        <v>0</v>
      </c>
      <c r="K1445">
        <v>200</v>
      </c>
      <c r="L1445" t="s">
        <v>496</v>
      </c>
      <c r="M1445" t="s">
        <v>466</v>
      </c>
    </row>
    <row r="1446" spans="1:13">
      <c r="A1446">
        <v>1253</v>
      </c>
      <c r="B1446">
        <v>4021</v>
      </c>
      <c r="C14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1446" s="32">
        <v>46174</v>
      </c>
      <c r="E14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446">
        <v>1</v>
      </c>
      <c r="I1446">
        <f>(salidas26[[#This Row],[CANT JUEGOS ]]*salidas26[[#This Row],[PRECIO JUEGO]])</f>
        <v>200</v>
      </c>
      <c r="J1446">
        <f>(salidas26[[#This Row],[CANT BARRAS]]*salidas26[[#This Row],[PRECIO BARRA]])</f>
        <v>0</v>
      </c>
      <c r="K1446">
        <v>200</v>
      </c>
      <c r="L1446" t="s">
        <v>496</v>
      </c>
      <c r="M1446" t="s">
        <v>507</v>
      </c>
    </row>
    <row r="1447" spans="1:13">
      <c r="A1447">
        <v>1254</v>
      </c>
      <c r="B1447">
        <v>8000</v>
      </c>
      <c r="C14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1447" s="32">
        <v>46174</v>
      </c>
      <c r="E14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47">
        <v>1</v>
      </c>
      <c r="I1447">
        <f>(salidas26[[#This Row],[CANT JUEGOS ]]*salidas26[[#This Row],[PRECIO JUEGO]])</f>
        <v>60</v>
      </c>
      <c r="J1447">
        <f>(salidas26[[#This Row],[CANT BARRAS]]*salidas26[[#This Row],[PRECIO BARRA]])</f>
        <v>0</v>
      </c>
      <c r="K1447">
        <v>50</v>
      </c>
      <c r="L1447" t="s">
        <v>465</v>
      </c>
      <c r="M1447" t="s">
        <v>797</v>
      </c>
    </row>
    <row r="1448" spans="1:13">
      <c r="A1448">
        <v>1255</v>
      </c>
      <c r="B1448">
        <v>6009</v>
      </c>
      <c r="C14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448" s="32">
        <v>46174</v>
      </c>
      <c r="E14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448">
        <v>6</v>
      </c>
      <c r="I1448">
        <f>(salidas26[[#This Row],[CANT JUEGOS ]]*salidas26[[#This Row],[PRECIO JUEGO]])</f>
        <v>0</v>
      </c>
      <c r="J1448">
        <f>(salidas26[[#This Row],[CANT BARRAS]]*salidas26[[#This Row],[PRECIO BARRA]])</f>
        <v>135</v>
      </c>
      <c r="K1448">
        <v>180</v>
      </c>
      <c r="L1448" t="s">
        <v>496</v>
      </c>
      <c r="M1448" t="s">
        <v>509</v>
      </c>
    </row>
    <row r="1449" spans="1:13">
      <c r="A1449">
        <v>1256</v>
      </c>
      <c r="B1449">
        <v>2021</v>
      </c>
      <c r="C14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1449" s="32">
        <v>46174</v>
      </c>
      <c r="E14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4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1449">
        <v>1</v>
      </c>
      <c r="I1449">
        <f>(salidas26[[#This Row],[CANT JUEGOS ]]*salidas26[[#This Row],[PRECIO JUEGO]])</f>
        <v>260</v>
      </c>
      <c r="J1449">
        <f>(salidas26[[#This Row],[CANT BARRAS]]*salidas26[[#This Row],[PRECIO BARRA]])</f>
        <v>0</v>
      </c>
      <c r="K1449">
        <v>250</v>
      </c>
      <c r="L1449" t="s">
        <v>465</v>
      </c>
      <c r="M1449" t="s">
        <v>481</v>
      </c>
    </row>
    <row r="1450" spans="1:13">
      <c r="A1450">
        <v>1257</v>
      </c>
      <c r="B1450">
        <v>7004</v>
      </c>
      <c r="C14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450" s="32">
        <v>46174</v>
      </c>
      <c r="E14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50">
        <v>1</v>
      </c>
      <c r="I1450">
        <f>(salidas26[[#This Row],[CANT JUEGOS ]]*salidas26[[#This Row],[PRECIO JUEGO]])</f>
        <v>150</v>
      </c>
      <c r="J1450">
        <f>(salidas26[[#This Row],[CANT BARRAS]]*salidas26[[#This Row],[PRECIO BARRA]])</f>
        <v>0</v>
      </c>
      <c r="K1450">
        <v>140</v>
      </c>
      <c r="L1450" t="s">
        <v>465</v>
      </c>
      <c r="M1450" t="s">
        <v>481</v>
      </c>
    </row>
    <row r="1451" spans="1:13">
      <c r="A1451">
        <v>1259</v>
      </c>
      <c r="B1451">
        <v>8067</v>
      </c>
      <c r="C14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451" s="32">
        <v>46174</v>
      </c>
      <c r="E14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451">
        <v>1</v>
      </c>
      <c r="I1451">
        <f>(salidas26[[#This Row],[CANT JUEGOS ]]*salidas26[[#This Row],[PRECIO JUEGO]])</f>
        <v>220</v>
      </c>
      <c r="J1451">
        <f>(salidas26[[#This Row],[CANT BARRAS]]*salidas26[[#This Row],[PRECIO BARRA]])</f>
        <v>0</v>
      </c>
      <c r="K1451">
        <v>210</v>
      </c>
      <c r="L1451" t="s">
        <v>465</v>
      </c>
      <c r="M1451" t="s">
        <v>523</v>
      </c>
    </row>
    <row r="1452" spans="1:13">
      <c r="A1452">
        <v>1260</v>
      </c>
      <c r="B1452">
        <v>5015</v>
      </c>
      <c r="C14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KDL-40W655A/3B SONY</v>
      </c>
      <c r="D1452" s="32">
        <v>46174</v>
      </c>
      <c r="E14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52">
        <v>1</v>
      </c>
      <c r="I1452">
        <f>(salidas26[[#This Row],[CANT JUEGOS ]]*salidas26[[#This Row],[PRECIO JUEGO]])</f>
        <v>160</v>
      </c>
      <c r="J1452">
        <f>(salidas26[[#This Row],[CANT BARRAS]]*salidas26[[#This Row],[PRECIO BARRA]])</f>
        <v>0</v>
      </c>
      <c r="K1452">
        <v>180</v>
      </c>
      <c r="L1452" t="s">
        <v>496</v>
      </c>
      <c r="M1452" t="s">
        <v>907</v>
      </c>
    </row>
    <row r="1453" spans="1:13">
      <c r="A1453">
        <v>1261</v>
      </c>
      <c r="B1453">
        <v>8015</v>
      </c>
      <c r="C14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453" s="32">
        <v>46175</v>
      </c>
      <c r="E14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53">
        <v>1</v>
      </c>
      <c r="I1453">
        <f>(salidas26[[#This Row],[CANT JUEGOS ]]*salidas26[[#This Row],[PRECIO JUEGO]])</f>
        <v>60</v>
      </c>
      <c r="J1453">
        <f>(salidas26[[#This Row],[CANT BARRAS]]*salidas26[[#This Row],[PRECIO BARRA]])</f>
        <v>0</v>
      </c>
      <c r="K1453">
        <v>50</v>
      </c>
      <c r="L1453" t="s">
        <v>465</v>
      </c>
      <c r="M1453" t="s">
        <v>630</v>
      </c>
    </row>
    <row r="1454" spans="1:13">
      <c r="A1454">
        <v>1262</v>
      </c>
      <c r="B1454">
        <v>8055</v>
      </c>
      <c r="C14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454" s="32">
        <v>46175</v>
      </c>
      <c r="E14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54">
        <v>1</v>
      </c>
      <c r="I1454">
        <f>(salidas26[[#This Row],[CANT JUEGOS ]]*salidas26[[#This Row],[PRECIO JUEGO]])</f>
        <v>180</v>
      </c>
      <c r="J1454">
        <f>(salidas26[[#This Row],[CANT BARRAS]]*salidas26[[#This Row],[PRECIO BARRA]])</f>
        <v>0</v>
      </c>
      <c r="K1454">
        <v>180</v>
      </c>
      <c r="L1454" t="s">
        <v>465</v>
      </c>
      <c r="M1454" t="s">
        <v>630</v>
      </c>
    </row>
    <row r="1455" spans="1:13">
      <c r="A1455">
        <v>1263</v>
      </c>
      <c r="B1455">
        <v>1072</v>
      </c>
      <c r="C14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47LM6200/2B</v>
      </c>
      <c r="D1455" s="32">
        <v>46175</v>
      </c>
      <c r="E14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455">
        <v>1</v>
      </c>
      <c r="I1455">
        <f>(salidas26[[#This Row],[CANT JUEGOS ]]*salidas26[[#This Row],[PRECIO JUEGO]])</f>
        <v>200</v>
      </c>
      <c r="J1455">
        <f>(salidas26[[#This Row],[CANT BARRAS]]*salidas26[[#This Row],[PRECIO BARRA]])</f>
        <v>0</v>
      </c>
      <c r="K1455">
        <v>200</v>
      </c>
      <c r="L1455" t="s">
        <v>496</v>
      </c>
      <c r="M1455" t="s">
        <v>466</v>
      </c>
    </row>
    <row r="1456" spans="1:13">
      <c r="A1456">
        <v>1264</v>
      </c>
      <c r="B1456">
        <v>3015</v>
      </c>
      <c r="C14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48M600 10B/8 - 8 LEDS/3V</v>
      </c>
      <c r="D1456" s="32">
        <v>46175</v>
      </c>
      <c r="E14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4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456">
        <v>1</v>
      </c>
      <c r="I1456">
        <f>(salidas26[[#This Row],[CANT JUEGOS ]]*salidas26[[#This Row],[PRECIO JUEGO]])</f>
        <v>260</v>
      </c>
      <c r="J1456">
        <f>(salidas26[[#This Row],[CANT BARRAS]]*salidas26[[#This Row],[PRECIO BARRA]])</f>
        <v>0</v>
      </c>
      <c r="K1456">
        <v>250</v>
      </c>
      <c r="L1456" t="s">
        <v>496</v>
      </c>
      <c r="M1456" t="s">
        <v>466</v>
      </c>
    </row>
    <row r="1457" spans="1:13">
      <c r="A1457">
        <v>1265</v>
      </c>
      <c r="B1457">
        <v>3003</v>
      </c>
      <c r="C14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457" s="32">
        <v>46175</v>
      </c>
      <c r="E14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457">
        <v>1</v>
      </c>
      <c r="I1457">
        <f>(salidas26[[#This Row],[CANT JUEGOS ]]*salidas26[[#This Row],[PRECIO JUEGO]])</f>
        <v>160</v>
      </c>
      <c r="J1457">
        <f>(salidas26[[#This Row],[CANT BARRAS]]*salidas26[[#This Row],[PRECIO BARRA]])</f>
        <v>0</v>
      </c>
      <c r="K1457">
        <v>160</v>
      </c>
      <c r="L1457" t="s">
        <v>465</v>
      </c>
      <c r="M1457" t="s">
        <v>481</v>
      </c>
    </row>
    <row r="1458" spans="1:13">
      <c r="A1458">
        <v>1266</v>
      </c>
      <c r="B1458">
        <v>2078</v>
      </c>
      <c r="C14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UN55NU7095G/9L/4B</v>
      </c>
      <c r="D1458" s="32">
        <v>46175</v>
      </c>
      <c r="E14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4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62.5</v>
      </c>
      <c r="G1458">
        <v>1</v>
      </c>
      <c r="I1458">
        <f>(salidas26[[#This Row],[CANT JUEGOS ]]*salidas26[[#This Row],[PRECIO JUEGO]])</f>
        <v>250</v>
      </c>
      <c r="J1458">
        <f>(salidas26[[#This Row],[CANT BARRAS]]*salidas26[[#This Row],[PRECIO BARRA]])</f>
        <v>0</v>
      </c>
      <c r="K1458">
        <v>240</v>
      </c>
      <c r="L1458" t="s">
        <v>496</v>
      </c>
      <c r="M1458" t="s">
        <v>474</v>
      </c>
    </row>
    <row r="1459" spans="1:13">
      <c r="A1459">
        <v>1267</v>
      </c>
      <c r="B1459">
        <v>7004</v>
      </c>
      <c r="C14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LED4060SFHD 8L/3V/3B</v>
      </c>
      <c r="D1459" s="32">
        <v>46175</v>
      </c>
      <c r="E14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59">
        <v>1</v>
      </c>
      <c r="I1459">
        <f>(salidas26[[#This Row],[CANT JUEGOS ]]*salidas26[[#This Row],[PRECIO JUEGO]])</f>
        <v>150</v>
      </c>
      <c r="J1459">
        <f>(salidas26[[#This Row],[CANT BARRAS]]*salidas26[[#This Row],[PRECIO BARRA]])</f>
        <v>0</v>
      </c>
      <c r="K1459">
        <v>140</v>
      </c>
      <c r="L1459" t="s">
        <v>496</v>
      </c>
      <c r="M1459" t="s">
        <v>474</v>
      </c>
    </row>
    <row r="1460" spans="1:13">
      <c r="A1460">
        <v>1268</v>
      </c>
      <c r="B1460">
        <v>2024</v>
      </c>
      <c r="C14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460" s="32">
        <v>46175</v>
      </c>
      <c r="E14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60">
        <v>1</v>
      </c>
      <c r="I1460">
        <f>(salidas26[[#This Row],[CANT JUEGOS ]]*salidas26[[#This Row],[PRECIO JUEGO]])</f>
        <v>180</v>
      </c>
      <c r="J1460">
        <f>(salidas26[[#This Row],[CANT BARRAS]]*salidas26[[#This Row],[PRECIO BARRA]])</f>
        <v>0</v>
      </c>
      <c r="K1460">
        <v>170</v>
      </c>
      <c r="L1460" t="s">
        <v>465</v>
      </c>
      <c r="M1460" t="s">
        <v>470</v>
      </c>
    </row>
    <row r="1461" spans="1:13">
      <c r="A1461">
        <v>1269</v>
      </c>
      <c r="B1461">
        <v>2087</v>
      </c>
      <c r="C14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461" s="32">
        <v>46175</v>
      </c>
      <c r="E14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4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461">
        <v>1</v>
      </c>
      <c r="I1461">
        <f>(salidas26[[#This Row],[CANT JUEGOS ]]*salidas26[[#This Row],[PRECIO JUEGO]])</f>
        <v>240</v>
      </c>
      <c r="J1461">
        <f>(salidas26[[#This Row],[CANT BARRAS]]*salidas26[[#This Row],[PRECIO BARRA]])</f>
        <v>0</v>
      </c>
      <c r="K1461">
        <v>220</v>
      </c>
      <c r="L1461" t="s">
        <v>465</v>
      </c>
      <c r="M1461" t="s">
        <v>469</v>
      </c>
    </row>
    <row r="1462" spans="1:13">
      <c r="A1462">
        <v>1270</v>
      </c>
      <c r="B1462">
        <v>8015</v>
      </c>
      <c r="C14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462" s="32">
        <v>46175</v>
      </c>
      <c r="E14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62">
        <v>1</v>
      </c>
      <c r="I1462">
        <f>(salidas26[[#This Row],[CANT JUEGOS ]]*salidas26[[#This Row],[PRECIO JUEGO]])</f>
        <v>60</v>
      </c>
      <c r="J1462">
        <f>(salidas26[[#This Row],[CANT BARRAS]]*salidas26[[#This Row],[PRECIO BARRA]])</f>
        <v>0</v>
      </c>
      <c r="K1462">
        <v>50</v>
      </c>
      <c r="L1462" t="s">
        <v>496</v>
      </c>
      <c r="M1462" t="s">
        <v>474</v>
      </c>
    </row>
    <row r="1463" spans="1:13">
      <c r="A1463">
        <v>1271</v>
      </c>
      <c r="B1463">
        <v>6027</v>
      </c>
      <c r="C14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463" s="32">
        <v>46175</v>
      </c>
      <c r="E14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4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463">
        <v>3</v>
      </c>
      <c r="I1463">
        <f>(salidas26[[#This Row],[CANT JUEGOS ]]*salidas26[[#This Row],[PRECIO JUEGO]])</f>
        <v>0</v>
      </c>
      <c r="J1463">
        <f>(salidas26[[#This Row],[CANT BARRAS]]*salidas26[[#This Row],[PRECIO BARRA]])</f>
        <v>84</v>
      </c>
      <c r="K1463">
        <v>80</v>
      </c>
      <c r="L1463" t="s">
        <v>496</v>
      </c>
      <c r="M1463" t="s">
        <v>474</v>
      </c>
    </row>
    <row r="1464" spans="1:13">
      <c r="A1464">
        <v>1272</v>
      </c>
      <c r="B1464">
        <v>7000</v>
      </c>
      <c r="C14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464" s="32">
        <v>46175</v>
      </c>
      <c r="E14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64">
        <v>1</v>
      </c>
      <c r="I1464">
        <f>(salidas26[[#This Row],[CANT JUEGOS ]]*salidas26[[#This Row],[PRECIO JUEGO]])</f>
        <v>60</v>
      </c>
      <c r="J1464">
        <f>(salidas26[[#This Row],[CANT BARRAS]]*salidas26[[#This Row],[PRECIO BARRA]])</f>
        <v>0</v>
      </c>
      <c r="K1464">
        <v>60</v>
      </c>
      <c r="L1464" t="s">
        <v>496</v>
      </c>
      <c r="M1464" t="s">
        <v>509</v>
      </c>
    </row>
    <row r="1465" spans="1:13">
      <c r="A1465">
        <v>1273</v>
      </c>
      <c r="B1465">
        <v>1102</v>
      </c>
      <c r="C14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50LA6200/12B/3V</v>
      </c>
      <c r="D1465" s="32">
        <v>46175</v>
      </c>
      <c r="E14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4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23.333333333333332</v>
      </c>
      <c r="G1465">
        <v>1</v>
      </c>
      <c r="I1465">
        <f>(salidas26[[#This Row],[CANT JUEGOS ]]*salidas26[[#This Row],[PRECIO JUEGO]])</f>
        <v>280</v>
      </c>
      <c r="J1465">
        <f>(salidas26[[#This Row],[CANT BARRAS]]*salidas26[[#This Row],[PRECIO BARRA]])</f>
        <v>0</v>
      </c>
      <c r="K1465">
        <v>220</v>
      </c>
      <c r="L1465" t="s">
        <v>465</v>
      </c>
      <c r="M1465" t="s">
        <v>628</v>
      </c>
    </row>
    <row r="1466" spans="1:13">
      <c r="A1466">
        <v>1274</v>
      </c>
      <c r="B1466">
        <v>6022</v>
      </c>
      <c r="C14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466" s="32">
        <v>46175</v>
      </c>
      <c r="E14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4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466">
        <v>1</v>
      </c>
      <c r="I1466">
        <f>(salidas26[[#This Row],[CANT JUEGOS ]]*salidas26[[#This Row],[PRECIO JUEGO]])</f>
        <v>350</v>
      </c>
      <c r="J1466">
        <f>(salidas26[[#This Row],[CANT BARRAS]]*salidas26[[#This Row],[PRECIO BARRA]])</f>
        <v>0</v>
      </c>
      <c r="K1466">
        <v>300</v>
      </c>
      <c r="L1466" t="s">
        <v>496</v>
      </c>
      <c r="M1466" t="s">
        <v>908</v>
      </c>
    </row>
    <row r="1467" spans="1:13">
      <c r="A1467">
        <v>1275</v>
      </c>
      <c r="B1467">
        <v>1117</v>
      </c>
      <c r="C14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467" s="32">
        <v>46175</v>
      </c>
      <c r="E14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4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467">
        <v>1</v>
      </c>
      <c r="I1467">
        <f>(salidas26[[#This Row],[CANT JUEGOS ]]*salidas26[[#This Row],[PRECIO JUEGO]])</f>
        <v>350</v>
      </c>
      <c r="J1467">
        <f>(salidas26[[#This Row],[CANT BARRAS]]*salidas26[[#This Row],[PRECIO BARRA]])</f>
        <v>0</v>
      </c>
      <c r="K1467">
        <v>330</v>
      </c>
      <c r="L1467" t="s">
        <v>465</v>
      </c>
      <c r="M1467" t="s">
        <v>507</v>
      </c>
    </row>
    <row r="1468" spans="1:13">
      <c r="A1468">
        <v>1276</v>
      </c>
      <c r="B1468">
        <v>2036</v>
      </c>
      <c r="C14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468" s="32">
        <v>46175</v>
      </c>
      <c r="E14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468">
        <v>2</v>
      </c>
      <c r="I1468">
        <f>(salidas26[[#This Row],[CANT JUEGOS ]]*salidas26[[#This Row],[PRECIO JUEGO]])</f>
        <v>440</v>
      </c>
      <c r="J1468">
        <f>(salidas26[[#This Row],[CANT BARRAS]]*salidas26[[#This Row],[PRECIO BARRA]])</f>
        <v>0</v>
      </c>
      <c r="K1468">
        <v>352</v>
      </c>
      <c r="L1468" t="s">
        <v>496</v>
      </c>
      <c r="M1468" t="s">
        <v>497</v>
      </c>
    </row>
    <row r="1469" spans="1:13">
      <c r="A1469">
        <v>1277</v>
      </c>
      <c r="B1469">
        <v>4018</v>
      </c>
      <c r="C14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1469" s="32">
        <v>46175</v>
      </c>
      <c r="E14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469">
        <v>1</v>
      </c>
      <c r="I1469">
        <f>(salidas26[[#This Row],[CANT JUEGOS ]]*salidas26[[#This Row],[PRECIO JUEGO]])</f>
        <v>200</v>
      </c>
      <c r="J1469">
        <f>(salidas26[[#This Row],[CANT BARRAS]]*salidas26[[#This Row],[PRECIO BARRA]])</f>
        <v>0</v>
      </c>
      <c r="K1469">
        <v>160</v>
      </c>
      <c r="L1469" t="s">
        <v>496</v>
      </c>
      <c r="M1469" t="s">
        <v>497</v>
      </c>
    </row>
    <row r="1470" spans="1:13">
      <c r="A1470">
        <v>1278</v>
      </c>
      <c r="B1470">
        <v>5025</v>
      </c>
      <c r="C14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KDL-42EX440/2B</v>
      </c>
      <c r="D1470" s="32">
        <v>46175</v>
      </c>
      <c r="E14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75</v>
      </c>
      <c r="G1470">
        <v>1</v>
      </c>
      <c r="I1470">
        <f>(salidas26[[#This Row],[CANT JUEGOS ]]*salidas26[[#This Row],[PRECIO JUEGO]])</f>
        <v>150</v>
      </c>
      <c r="J1470">
        <f>(salidas26[[#This Row],[CANT BARRAS]]*salidas26[[#This Row],[PRECIO BARRA]])</f>
        <v>0</v>
      </c>
      <c r="K1470">
        <v>120</v>
      </c>
      <c r="L1470" t="s">
        <v>496</v>
      </c>
      <c r="M1470" t="s">
        <v>497</v>
      </c>
    </row>
    <row r="1471" spans="1:13">
      <c r="A1471">
        <v>1279</v>
      </c>
      <c r="B1471">
        <v>5039</v>
      </c>
      <c r="C14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KDL-65W855C 8L/3V/16B</v>
      </c>
      <c r="D1471" s="32">
        <v>46175</v>
      </c>
      <c r="E14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4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28.125</v>
      </c>
      <c r="G1471">
        <v>1</v>
      </c>
      <c r="I1471">
        <f>(salidas26[[#This Row],[CANT JUEGOS ]]*salidas26[[#This Row],[PRECIO JUEGO]])</f>
        <v>450</v>
      </c>
      <c r="J1471">
        <f>(salidas26[[#This Row],[CANT BARRAS]]*salidas26[[#This Row],[PRECIO BARRA]])</f>
        <v>0</v>
      </c>
      <c r="K1471">
        <v>450</v>
      </c>
      <c r="L1471" t="s">
        <v>465</v>
      </c>
      <c r="M1471" t="s">
        <v>909</v>
      </c>
    </row>
    <row r="1472" spans="1:13">
      <c r="A1472">
        <v>1280</v>
      </c>
      <c r="B1472">
        <v>1015</v>
      </c>
      <c r="C14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472" s="32">
        <v>46175</v>
      </c>
      <c r="E14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4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472">
        <v>1</v>
      </c>
      <c r="I1472">
        <f>(salidas26[[#This Row],[CANT JUEGOS ]]*salidas26[[#This Row],[PRECIO JUEGO]])</f>
        <v>80</v>
      </c>
      <c r="J1472">
        <f>(salidas26[[#This Row],[CANT BARRAS]]*salidas26[[#This Row],[PRECIO BARRA]])</f>
        <v>0</v>
      </c>
      <c r="K1472">
        <v>80</v>
      </c>
      <c r="L1472" t="s">
        <v>465</v>
      </c>
      <c r="M1472" t="s">
        <v>481</v>
      </c>
    </row>
    <row r="1473" spans="1:13">
      <c r="A1473">
        <v>1281</v>
      </c>
      <c r="B1473">
        <v>2000</v>
      </c>
      <c r="C14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473" s="32">
        <v>46175</v>
      </c>
      <c r="E14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4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473">
        <v>1</v>
      </c>
      <c r="I1473">
        <f>(salidas26[[#This Row],[CANT JUEGOS ]]*salidas26[[#This Row],[PRECIO JUEGO]])</f>
        <v>80</v>
      </c>
      <c r="J1473">
        <f>(salidas26[[#This Row],[CANT BARRAS]]*salidas26[[#This Row],[PRECIO BARRA]])</f>
        <v>0</v>
      </c>
      <c r="K1473">
        <v>80</v>
      </c>
      <c r="L1473" t="s">
        <v>465</v>
      </c>
      <c r="M1473" t="s">
        <v>677</v>
      </c>
    </row>
    <row r="1474" spans="1:13">
      <c r="A1474">
        <v>1282</v>
      </c>
      <c r="B1474">
        <v>7000</v>
      </c>
      <c r="C14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474" s="32">
        <v>46175</v>
      </c>
      <c r="E14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74">
        <v>1</v>
      </c>
      <c r="I1474">
        <f>(salidas26[[#This Row],[CANT JUEGOS ]]*salidas26[[#This Row],[PRECIO JUEGO]])</f>
        <v>60</v>
      </c>
      <c r="J1474">
        <f>(salidas26[[#This Row],[CANT BARRAS]]*salidas26[[#This Row],[PRECIO BARRA]])</f>
        <v>0</v>
      </c>
      <c r="K1474">
        <v>60</v>
      </c>
      <c r="L1474" t="s">
        <v>465</v>
      </c>
      <c r="M1474" t="s">
        <v>481</v>
      </c>
    </row>
    <row r="1475" spans="1:13">
      <c r="A1475">
        <v>1283</v>
      </c>
      <c r="B1475">
        <v>6000</v>
      </c>
      <c r="C14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475" s="32">
        <v>46176</v>
      </c>
      <c r="E14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75">
        <v>1</v>
      </c>
      <c r="I1475">
        <f>(salidas26[[#This Row],[CANT JUEGOS ]]*salidas26[[#This Row],[PRECIO JUEGO]])</f>
        <v>60</v>
      </c>
      <c r="J1475">
        <f>(salidas26[[#This Row],[CANT BARRAS]]*salidas26[[#This Row],[PRECIO BARRA]])</f>
        <v>0</v>
      </c>
      <c r="K1475">
        <v>50</v>
      </c>
      <c r="L1475" t="s">
        <v>465</v>
      </c>
      <c r="M1475" t="s">
        <v>471</v>
      </c>
    </row>
    <row r="1476" spans="1:13">
      <c r="A1476">
        <v>1284</v>
      </c>
      <c r="B1476">
        <v>1036</v>
      </c>
      <c r="C14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476" s="32">
        <v>46176</v>
      </c>
      <c r="E14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476">
        <v>1</v>
      </c>
      <c r="I1476">
        <f>(salidas26[[#This Row],[CANT JUEGOS ]]*salidas26[[#This Row],[PRECIO JUEGO]])</f>
        <v>180</v>
      </c>
      <c r="J1476">
        <f>(salidas26[[#This Row],[CANT BARRAS]]*salidas26[[#This Row],[PRECIO BARRA]])</f>
        <v>0</v>
      </c>
      <c r="K1476">
        <v>150</v>
      </c>
      <c r="L1476" t="s">
        <v>465</v>
      </c>
      <c r="M1476" t="s">
        <v>471</v>
      </c>
    </row>
    <row r="1477" spans="1:13">
      <c r="A1477">
        <v>1285</v>
      </c>
      <c r="B1477">
        <v>1105</v>
      </c>
      <c r="C14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50LB6500/10B</v>
      </c>
      <c r="D1477" s="32">
        <v>46176</v>
      </c>
      <c r="E14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4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77">
        <v>1</v>
      </c>
      <c r="I1477">
        <f>(salidas26[[#This Row],[CANT JUEGOS ]]*salidas26[[#This Row],[PRECIO JUEGO]])</f>
        <v>300</v>
      </c>
      <c r="J1477">
        <f>(salidas26[[#This Row],[CANT BARRAS]]*salidas26[[#This Row],[PRECIO BARRA]])</f>
        <v>0</v>
      </c>
      <c r="K1477">
        <v>280</v>
      </c>
      <c r="L1477" t="s">
        <v>465</v>
      </c>
      <c r="M1477" t="s">
        <v>481</v>
      </c>
    </row>
    <row r="1478" spans="1:13">
      <c r="A1478">
        <v>1286</v>
      </c>
      <c r="B1478">
        <v>2075</v>
      </c>
      <c r="C14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478" s="32">
        <v>46176</v>
      </c>
      <c r="E14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478">
        <v>1</v>
      </c>
      <c r="I1478">
        <f>(salidas26[[#This Row],[CANT JUEGOS ]]*salidas26[[#This Row],[PRECIO JUEGO]])</f>
        <v>200</v>
      </c>
      <c r="J1478">
        <f>(salidas26[[#This Row],[CANT BARRAS]]*salidas26[[#This Row],[PRECIO BARRA]])</f>
        <v>0</v>
      </c>
      <c r="M1478" t="s">
        <v>910</v>
      </c>
    </row>
    <row r="1479" spans="1:13">
      <c r="A1479">
        <v>1287</v>
      </c>
      <c r="B1479">
        <v>8087</v>
      </c>
      <c r="C14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PREMIER TV-7130SF55SF/9B</v>
      </c>
      <c r="D1479" s="32">
        <v>46176</v>
      </c>
      <c r="E14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4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479">
        <v>1</v>
      </c>
      <c r="I1479">
        <f>(salidas26[[#This Row],[CANT JUEGOS ]]*salidas26[[#This Row],[PRECIO JUEGO]])</f>
        <v>250</v>
      </c>
      <c r="J1479">
        <f>(salidas26[[#This Row],[CANT BARRAS]]*salidas26[[#This Row],[PRECIO BARRA]])</f>
        <v>0</v>
      </c>
      <c r="K1479">
        <v>230</v>
      </c>
      <c r="L1479" t="s">
        <v>465</v>
      </c>
      <c r="M1479" t="s">
        <v>469</v>
      </c>
    </row>
    <row r="1480" spans="1:13">
      <c r="A1480">
        <v>1288</v>
      </c>
      <c r="B1480">
        <v>8015</v>
      </c>
      <c r="C14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480" s="32">
        <v>46176</v>
      </c>
      <c r="E14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80">
        <v>1</v>
      </c>
      <c r="I1480">
        <f>(salidas26[[#This Row],[CANT JUEGOS ]]*salidas26[[#This Row],[PRECIO JUEGO]])</f>
        <v>60</v>
      </c>
      <c r="J1480">
        <f>(salidas26[[#This Row],[CANT BARRAS]]*salidas26[[#This Row],[PRECIO BARRA]])</f>
        <v>0</v>
      </c>
      <c r="K1480">
        <v>50</v>
      </c>
      <c r="L1480" t="s">
        <v>465</v>
      </c>
      <c r="M1480" t="s">
        <v>469</v>
      </c>
    </row>
    <row r="1481" spans="1:13">
      <c r="A1481">
        <v>1289</v>
      </c>
      <c r="B1481">
        <v>3000</v>
      </c>
      <c r="C14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481" s="32">
        <v>46176</v>
      </c>
      <c r="E14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4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81">
        <v>1</v>
      </c>
      <c r="I1481">
        <f>(salidas26[[#This Row],[CANT JUEGOS ]]*salidas26[[#This Row],[PRECIO JUEGO]])</f>
        <v>90</v>
      </c>
      <c r="J1481">
        <f>(salidas26[[#This Row],[CANT BARRAS]]*salidas26[[#This Row],[PRECIO BARRA]])</f>
        <v>0</v>
      </c>
      <c r="K1481">
        <v>90</v>
      </c>
      <c r="L1481" t="s">
        <v>465</v>
      </c>
      <c r="M1481" t="s">
        <v>715</v>
      </c>
    </row>
    <row r="1482" spans="1:13">
      <c r="A1482">
        <v>1290</v>
      </c>
      <c r="B1482">
        <v>4011</v>
      </c>
      <c r="C14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482" s="32">
        <v>46176</v>
      </c>
      <c r="E14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4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482">
        <v>1</v>
      </c>
      <c r="I1482">
        <f>(salidas26[[#This Row],[CANT JUEGOS ]]*salidas26[[#This Row],[PRECIO JUEGO]])</f>
        <v>160</v>
      </c>
      <c r="J1482">
        <f>(salidas26[[#This Row],[CANT BARRAS]]*salidas26[[#This Row],[PRECIO BARRA]])</f>
        <v>0</v>
      </c>
      <c r="K1482">
        <v>150</v>
      </c>
      <c r="L1482" t="s">
        <v>496</v>
      </c>
      <c r="M1482" t="s">
        <v>474</v>
      </c>
    </row>
    <row r="1483" spans="1:13">
      <c r="A1483">
        <v>1292</v>
      </c>
      <c r="B1483">
        <v>1078</v>
      </c>
      <c r="C14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1483" s="32">
        <v>46177</v>
      </c>
      <c r="E14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4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483">
        <v>1</v>
      </c>
      <c r="I1483">
        <f>(salidas26[[#This Row],[CANT JUEGOS ]]*salidas26[[#This Row],[PRECIO JUEGO]])</f>
        <v>280</v>
      </c>
      <c r="J1483">
        <f>(salidas26[[#This Row],[CANT BARRAS]]*salidas26[[#This Row],[PRECIO BARRA]])</f>
        <v>0</v>
      </c>
      <c r="K1483">
        <v>250</v>
      </c>
      <c r="L1483" t="s">
        <v>496</v>
      </c>
      <c r="M1483" t="s">
        <v>471</v>
      </c>
    </row>
    <row r="1484" spans="1:13">
      <c r="A1484">
        <v>1293</v>
      </c>
      <c r="B1484">
        <v>1066</v>
      </c>
      <c r="C14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47LA6130-12B/3V</v>
      </c>
      <c r="D1484" s="32">
        <v>46177</v>
      </c>
      <c r="E14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4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484">
        <v>1</v>
      </c>
      <c r="I1484">
        <f>(salidas26[[#This Row],[CANT JUEGOS ]]*salidas26[[#This Row],[PRECIO JUEGO]])</f>
        <v>240</v>
      </c>
      <c r="J1484">
        <f>(salidas26[[#This Row],[CANT BARRAS]]*salidas26[[#This Row],[PRECIO BARRA]])</f>
        <v>0</v>
      </c>
      <c r="K1484">
        <v>210</v>
      </c>
      <c r="L1484" t="s">
        <v>496</v>
      </c>
      <c r="M1484" t="s">
        <v>474</v>
      </c>
    </row>
    <row r="1485" spans="1:13">
      <c r="A1485">
        <v>1294</v>
      </c>
      <c r="B1485">
        <v>8015</v>
      </c>
      <c r="C14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485" s="32">
        <v>46177</v>
      </c>
      <c r="E14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85">
        <v>1</v>
      </c>
      <c r="I1485">
        <f>(salidas26[[#This Row],[CANT JUEGOS ]]*salidas26[[#This Row],[PRECIO JUEGO]])</f>
        <v>60</v>
      </c>
      <c r="J1485">
        <f>(salidas26[[#This Row],[CANT BARRAS]]*salidas26[[#This Row],[PRECIO BARRA]])</f>
        <v>0</v>
      </c>
      <c r="K1485">
        <v>50</v>
      </c>
      <c r="L1485" t="s">
        <v>496</v>
      </c>
      <c r="M1485" t="s">
        <v>658</v>
      </c>
    </row>
    <row r="1486" spans="1:13">
      <c r="A1486">
        <v>1295</v>
      </c>
      <c r="B1486">
        <v>6008</v>
      </c>
      <c r="C14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SKYWORTH SUC9350 8L /3B</v>
      </c>
      <c r="D1486" s="32">
        <v>46177</v>
      </c>
      <c r="E14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4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486">
        <v>1</v>
      </c>
      <c r="I1486">
        <f>(salidas26[[#This Row],[CANT JUEGOS ]]*salidas26[[#This Row],[PRECIO JUEGO]])</f>
        <v>180</v>
      </c>
      <c r="J1486">
        <f>(salidas26[[#This Row],[CANT BARRAS]]*salidas26[[#This Row],[PRECIO BARRA]])</f>
        <v>0</v>
      </c>
      <c r="K1486">
        <v>180</v>
      </c>
      <c r="L1486" t="s">
        <v>496</v>
      </c>
      <c r="M1486" t="s">
        <v>466</v>
      </c>
    </row>
    <row r="1487" spans="1:13">
      <c r="A1487">
        <v>1296</v>
      </c>
      <c r="B1487">
        <v>1000</v>
      </c>
      <c r="C14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487" s="32">
        <v>46177</v>
      </c>
      <c r="E14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4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487">
        <v>2</v>
      </c>
      <c r="I1487">
        <f>(salidas26[[#This Row],[CANT JUEGOS ]]*salidas26[[#This Row],[PRECIO JUEGO]])</f>
        <v>160</v>
      </c>
      <c r="J1487">
        <f>(salidas26[[#This Row],[CANT BARRAS]]*salidas26[[#This Row],[PRECIO BARRA]])</f>
        <v>0</v>
      </c>
      <c r="K1487">
        <v>128</v>
      </c>
      <c r="L1487" t="s">
        <v>496</v>
      </c>
      <c r="M1487" t="s">
        <v>497</v>
      </c>
    </row>
    <row r="1488" spans="1:13">
      <c r="A1488">
        <v>1297</v>
      </c>
      <c r="B1488">
        <v>8021</v>
      </c>
      <c r="C14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488" s="32">
        <v>46177</v>
      </c>
      <c r="E14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88">
        <v>2</v>
      </c>
      <c r="I1488">
        <f>(salidas26[[#This Row],[CANT JUEGOS ]]*salidas26[[#This Row],[PRECIO JUEGO]])</f>
        <v>120</v>
      </c>
      <c r="J1488">
        <f>(salidas26[[#This Row],[CANT BARRAS]]*salidas26[[#This Row],[PRECIO BARRA]])</f>
        <v>0</v>
      </c>
      <c r="K1488">
        <v>96</v>
      </c>
      <c r="L1488" t="s">
        <v>496</v>
      </c>
      <c r="M1488" t="s">
        <v>497</v>
      </c>
    </row>
    <row r="1489" spans="1:13">
      <c r="A1489">
        <v>1298</v>
      </c>
      <c r="B1489">
        <v>8057</v>
      </c>
      <c r="C14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489" s="32">
        <v>46178</v>
      </c>
      <c r="E14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89">
        <v>1</v>
      </c>
      <c r="I1489">
        <f>(salidas26[[#This Row],[CANT JUEGOS ]]*salidas26[[#This Row],[PRECIO JUEGO]])</f>
        <v>200</v>
      </c>
      <c r="J1489">
        <f>(salidas26[[#This Row],[CANT BARRAS]]*salidas26[[#This Row],[PRECIO BARRA]])</f>
        <v>0</v>
      </c>
      <c r="K1489">
        <v>200</v>
      </c>
      <c r="L1489" t="s">
        <v>496</v>
      </c>
      <c r="M1489" t="s">
        <v>466</v>
      </c>
    </row>
    <row r="1490" spans="1:13">
      <c r="A1490">
        <v>1299</v>
      </c>
      <c r="B1490">
        <v>2075</v>
      </c>
      <c r="C14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490" s="32">
        <v>46178</v>
      </c>
      <c r="E14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4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490">
        <v>1</v>
      </c>
      <c r="I1490">
        <f>(salidas26[[#This Row],[CANT JUEGOS ]]*salidas26[[#This Row],[PRECIO JUEGO]])</f>
        <v>200</v>
      </c>
      <c r="J1490">
        <f>(salidas26[[#This Row],[CANT BARRAS]]*salidas26[[#This Row],[PRECIO BARRA]])</f>
        <v>0</v>
      </c>
      <c r="K1490">
        <v>200</v>
      </c>
      <c r="L1490" t="s">
        <v>496</v>
      </c>
      <c r="M1490" t="s">
        <v>864</v>
      </c>
    </row>
    <row r="1491" spans="1:13">
      <c r="A1491">
        <v>1300</v>
      </c>
      <c r="B1491">
        <v>8000</v>
      </c>
      <c r="C14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19 PULG</v>
      </c>
      <c r="D1491" s="32">
        <v>46178</v>
      </c>
      <c r="E14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H1491">
        <v>1</v>
      </c>
      <c r="I1491">
        <f>(salidas26[[#This Row],[CANT JUEGOS ]]*salidas26[[#This Row],[PRECIO JUEGO]])</f>
        <v>0</v>
      </c>
      <c r="J1491">
        <f>(salidas26[[#This Row],[CANT BARRAS]]*salidas26[[#This Row],[PRECIO BARRA]])</f>
        <v>30</v>
      </c>
      <c r="M1491" t="s">
        <v>911</v>
      </c>
    </row>
    <row r="1492" spans="1:13">
      <c r="A1492">
        <v>1302</v>
      </c>
      <c r="B1492" t="s">
        <v>858</v>
      </c>
      <c r="C14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SUE 9500</v>
      </c>
      <c r="D1492" s="32">
        <v>46178</v>
      </c>
      <c r="E14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49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492">
        <v>1</v>
      </c>
      <c r="I1492">
        <f>(salidas26[[#This Row],[CANT JUEGOS ]]*salidas26[[#This Row],[PRECIO JUEGO]])</f>
        <v>420</v>
      </c>
      <c r="J1492" t="e">
        <f>(salidas26[[#This Row],[CANT BARRAS]]*salidas26[[#This Row],[PRECIO BARRA]])</f>
        <v>#VALUE!</v>
      </c>
      <c r="K1492">
        <v>380</v>
      </c>
      <c r="L1492" t="s">
        <v>465</v>
      </c>
      <c r="M1492" t="s">
        <v>628</v>
      </c>
    </row>
    <row r="1493" spans="1:13">
      <c r="A1493">
        <v>1303</v>
      </c>
      <c r="B1493">
        <v>8012</v>
      </c>
      <c r="C14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493" s="32">
        <v>46178</v>
      </c>
      <c r="E14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4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93">
        <v>1</v>
      </c>
      <c r="I1493">
        <f>(salidas26[[#This Row],[CANT JUEGOS ]]*salidas26[[#This Row],[PRECIO JUEGO]])</f>
        <v>100</v>
      </c>
      <c r="J1493">
        <f>(salidas26[[#This Row],[CANT BARRAS]]*salidas26[[#This Row],[PRECIO BARRA]])</f>
        <v>0</v>
      </c>
      <c r="K1493">
        <v>100</v>
      </c>
      <c r="L1493" t="s">
        <v>465</v>
      </c>
      <c r="M1493" t="s">
        <v>658</v>
      </c>
    </row>
    <row r="1494" spans="1:13">
      <c r="A1494">
        <v>1304</v>
      </c>
      <c r="B1494">
        <v>6015</v>
      </c>
      <c r="C14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494" s="32">
        <v>46178</v>
      </c>
      <c r="E14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494">
        <v>1</v>
      </c>
      <c r="I1494">
        <f>(salidas26[[#This Row],[CANT JUEGOS ]]*salidas26[[#This Row],[PRECIO JUEGO]])</f>
        <v>220</v>
      </c>
      <c r="J1494">
        <f>(salidas26[[#This Row],[CANT BARRAS]]*salidas26[[#This Row],[PRECIO BARRA]])</f>
        <v>0</v>
      </c>
      <c r="K1494">
        <v>200</v>
      </c>
      <c r="L1494" t="s">
        <v>465</v>
      </c>
      <c r="M1494" t="s">
        <v>628</v>
      </c>
    </row>
    <row r="1495" spans="1:13">
      <c r="A1495">
        <v>1305</v>
      </c>
      <c r="B1495">
        <v>8033</v>
      </c>
      <c r="C14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495" s="32">
        <v>46178</v>
      </c>
      <c r="E14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495">
        <v>1</v>
      </c>
      <c r="I1495">
        <f>(salidas26[[#This Row],[CANT JUEGOS ]]*salidas26[[#This Row],[PRECIO JUEGO]])</f>
        <v>150</v>
      </c>
      <c r="J1495">
        <f>(salidas26[[#This Row],[CANT BARRAS]]*salidas26[[#This Row],[PRECIO BARRA]])</f>
        <v>0</v>
      </c>
      <c r="K1495">
        <v>140</v>
      </c>
      <c r="L1495" t="s">
        <v>465</v>
      </c>
      <c r="M1495" t="s">
        <v>523</v>
      </c>
    </row>
    <row r="1496" spans="1:13">
      <c r="A1496">
        <v>1306</v>
      </c>
      <c r="B1496">
        <v>8024</v>
      </c>
      <c r="C14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39 CHANCHONG CHIQ/3B</v>
      </c>
      <c r="D1496" s="32">
        <v>46178</v>
      </c>
      <c r="E14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4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</v>
      </c>
      <c r="G1496">
        <v>1</v>
      </c>
      <c r="I1496">
        <f>(salidas26[[#This Row],[CANT JUEGOS ]]*salidas26[[#This Row],[PRECIO JUEGO]])</f>
        <v>150</v>
      </c>
      <c r="J1496">
        <f>(salidas26[[#This Row],[CANT BARRAS]]*salidas26[[#This Row],[PRECIO BARRA]])</f>
        <v>0</v>
      </c>
      <c r="K1496">
        <v>150</v>
      </c>
      <c r="L1496" t="s">
        <v>496</v>
      </c>
      <c r="M1496" t="s">
        <v>658</v>
      </c>
    </row>
    <row r="1497" spans="1:13">
      <c r="A1497">
        <v>1307</v>
      </c>
      <c r="B1497">
        <v>8021</v>
      </c>
      <c r="C14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497" s="32">
        <v>46178</v>
      </c>
      <c r="E14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4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497">
        <v>1</v>
      </c>
      <c r="I1497">
        <f>(salidas26[[#This Row],[CANT JUEGOS ]]*salidas26[[#This Row],[PRECIO JUEGO]])</f>
        <v>60</v>
      </c>
      <c r="J1497">
        <f>(salidas26[[#This Row],[CANT BARRAS]]*salidas26[[#This Row],[PRECIO BARRA]])</f>
        <v>0</v>
      </c>
      <c r="K1497">
        <v>50</v>
      </c>
      <c r="L1497" t="s">
        <v>496</v>
      </c>
      <c r="M1497" t="s">
        <v>466</v>
      </c>
    </row>
    <row r="1498" spans="1:13">
      <c r="A1498">
        <v>1308</v>
      </c>
      <c r="B1498">
        <v>2054</v>
      </c>
      <c r="C14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UN49K6500/1B</v>
      </c>
      <c r="D1498" s="32">
        <v>46178</v>
      </c>
      <c r="E14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4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280</v>
      </c>
      <c r="G1498">
        <v>1</v>
      </c>
      <c r="I1498">
        <f>(salidas26[[#This Row],[CANT JUEGOS ]]*salidas26[[#This Row],[PRECIO JUEGO]])</f>
        <v>280</v>
      </c>
      <c r="J1498">
        <f>(salidas26[[#This Row],[CANT BARRAS]]*salidas26[[#This Row],[PRECIO BARRA]])</f>
        <v>0</v>
      </c>
      <c r="K1498">
        <v>224</v>
      </c>
      <c r="L1498" t="s">
        <v>465</v>
      </c>
      <c r="M1498" t="s">
        <v>497</v>
      </c>
    </row>
    <row r="1499" spans="1:13">
      <c r="A1499">
        <v>1309</v>
      </c>
      <c r="B1499">
        <v>1099</v>
      </c>
      <c r="C14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49UJ6560-LUPA GIGANTE/4B</v>
      </c>
      <c r="D1499" s="32">
        <v>46178</v>
      </c>
      <c r="E14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4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499">
        <v>1</v>
      </c>
      <c r="I1499">
        <f>(salidas26[[#This Row],[CANT JUEGOS ]]*salidas26[[#This Row],[PRECIO JUEGO]])</f>
        <v>220</v>
      </c>
      <c r="J1499">
        <f>(salidas26[[#This Row],[CANT BARRAS]]*salidas26[[#This Row],[PRECIO BARRA]])</f>
        <v>0</v>
      </c>
      <c r="K1499">
        <v>176</v>
      </c>
      <c r="L1499" t="s">
        <v>465</v>
      </c>
      <c r="M1499" t="s">
        <v>497</v>
      </c>
    </row>
    <row r="1500" spans="1:13">
      <c r="A1500">
        <v>1310</v>
      </c>
      <c r="B1500">
        <v>4009</v>
      </c>
      <c r="C15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500" s="32">
        <v>46178</v>
      </c>
      <c r="E15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500">
        <v>1</v>
      </c>
      <c r="I1500">
        <f>(salidas26[[#This Row],[CANT JUEGOS ]]*salidas26[[#This Row],[PRECIO JUEGO]])</f>
        <v>160</v>
      </c>
      <c r="J1500">
        <f>(salidas26[[#This Row],[CANT BARRAS]]*salidas26[[#This Row],[PRECIO BARRA]])</f>
        <v>0</v>
      </c>
      <c r="K1500">
        <v>160</v>
      </c>
      <c r="L1500" t="s">
        <v>465</v>
      </c>
      <c r="M1500" t="s">
        <v>470</v>
      </c>
    </row>
    <row r="1501" spans="1:13">
      <c r="A1501">
        <v>1311</v>
      </c>
      <c r="B1501">
        <v>6009</v>
      </c>
      <c r="C15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501" s="32">
        <v>46178</v>
      </c>
      <c r="E15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501">
        <v>6</v>
      </c>
      <c r="I1501">
        <f>(salidas26[[#This Row],[CANT JUEGOS ]]*salidas26[[#This Row],[PRECIO JUEGO]])</f>
        <v>0</v>
      </c>
      <c r="J1501">
        <f>(salidas26[[#This Row],[CANT BARRAS]]*salidas26[[#This Row],[PRECIO BARRA]])</f>
        <v>135</v>
      </c>
      <c r="K1501">
        <v>160</v>
      </c>
      <c r="L1501" t="s">
        <v>496</v>
      </c>
      <c r="M1501" t="s">
        <v>474</v>
      </c>
    </row>
    <row r="1502" spans="1:13">
      <c r="A1502">
        <v>1312</v>
      </c>
      <c r="B1502">
        <v>1075</v>
      </c>
      <c r="C15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1502" s="32">
        <v>46179</v>
      </c>
      <c r="E15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5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02">
        <v>1</v>
      </c>
      <c r="I1502">
        <f>(salidas26[[#This Row],[CANT JUEGOS ]]*salidas26[[#This Row],[PRECIO JUEGO]])</f>
        <v>240</v>
      </c>
      <c r="J1502">
        <f>(salidas26[[#This Row],[CANT BARRAS]]*salidas26[[#This Row],[PRECIO BARRA]])</f>
        <v>0</v>
      </c>
      <c r="K1502">
        <v>220</v>
      </c>
      <c r="L1502" t="s">
        <v>496</v>
      </c>
      <c r="M1502" t="s">
        <v>466</v>
      </c>
    </row>
    <row r="1503" spans="1:13">
      <c r="A1503">
        <v>1313</v>
      </c>
      <c r="B1503">
        <v>1015</v>
      </c>
      <c r="C15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503" s="32">
        <v>46179</v>
      </c>
      <c r="E15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5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503">
        <v>1</v>
      </c>
      <c r="H1503">
        <v>1</v>
      </c>
      <c r="I1503">
        <f>(salidas26[[#This Row],[CANT JUEGOS ]]*salidas26[[#This Row],[PRECIO JUEGO]])</f>
        <v>80</v>
      </c>
      <c r="J1503">
        <f>(salidas26[[#This Row],[CANT BARRAS]]*salidas26[[#This Row],[PRECIO BARRA]])</f>
        <v>26.666666666666668</v>
      </c>
      <c r="K1503">
        <v>30</v>
      </c>
      <c r="L1503" t="s">
        <v>465</v>
      </c>
      <c r="M1503" t="s">
        <v>483</v>
      </c>
    </row>
    <row r="1504" spans="1:13">
      <c r="A1504">
        <v>1314</v>
      </c>
      <c r="B1504">
        <v>2003</v>
      </c>
      <c r="C15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504" s="32">
        <v>46179</v>
      </c>
      <c r="E15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5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504">
        <v>1</v>
      </c>
      <c r="H1504">
        <v>2</v>
      </c>
      <c r="I1504">
        <f>(salidas26[[#This Row],[CANT JUEGOS ]]*salidas26[[#This Row],[PRECIO JUEGO]])</f>
        <v>130</v>
      </c>
      <c r="J1504">
        <f>(salidas26[[#This Row],[CANT BARRAS]]*salidas26[[#This Row],[PRECIO BARRA]])</f>
        <v>52</v>
      </c>
      <c r="K1504">
        <v>60</v>
      </c>
      <c r="L1504" t="s">
        <v>465</v>
      </c>
      <c r="M1504" t="s">
        <v>759</v>
      </c>
    </row>
    <row r="1505" spans="1:13">
      <c r="A1505">
        <v>1315</v>
      </c>
      <c r="B1505">
        <v>6027</v>
      </c>
      <c r="C15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505" s="32">
        <v>46179</v>
      </c>
      <c r="E15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5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505">
        <v>2</v>
      </c>
      <c r="I1505">
        <f>(salidas26[[#This Row],[CANT JUEGOS ]]*salidas26[[#This Row],[PRECIO JUEGO]])</f>
        <v>0</v>
      </c>
      <c r="J1505">
        <f>(salidas26[[#This Row],[CANT BARRAS]]*salidas26[[#This Row],[PRECIO BARRA]])</f>
        <v>56</v>
      </c>
      <c r="K1505">
        <v>50</v>
      </c>
      <c r="L1505" t="s">
        <v>465</v>
      </c>
      <c r="M1505" t="s">
        <v>912</v>
      </c>
    </row>
    <row r="1506" spans="1:13">
      <c r="A1506">
        <v>1316</v>
      </c>
      <c r="B1506">
        <v>6022</v>
      </c>
      <c r="C15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506" s="32">
        <v>46179</v>
      </c>
      <c r="E15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506">
        <v>1</v>
      </c>
      <c r="I1506">
        <f>(salidas26[[#This Row],[CANT JUEGOS ]]*salidas26[[#This Row],[PRECIO JUEGO]])</f>
        <v>350</v>
      </c>
      <c r="J1506">
        <f>(salidas26[[#This Row],[CANT BARRAS]]*salidas26[[#This Row],[PRECIO BARRA]])</f>
        <v>0</v>
      </c>
      <c r="K1506">
        <v>300</v>
      </c>
      <c r="L1506" t="s">
        <v>465</v>
      </c>
      <c r="M1506" t="s">
        <v>471</v>
      </c>
    </row>
    <row r="1507" spans="1:13">
      <c r="A1507">
        <v>1317</v>
      </c>
      <c r="B1507">
        <v>8015</v>
      </c>
      <c r="C15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07" s="32">
        <v>46179</v>
      </c>
      <c r="E15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07">
        <v>1</v>
      </c>
      <c r="I1507">
        <f>(salidas26[[#This Row],[CANT JUEGOS ]]*salidas26[[#This Row],[PRECIO JUEGO]])</f>
        <v>60</v>
      </c>
      <c r="J1507">
        <f>(salidas26[[#This Row],[CANT BARRAS]]*salidas26[[#This Row],[PRECIO BARRA]])</f>
        <v>0</v>
      </c>
      <c r="K1507">
        <v>50</v>
      </c>
      <c r="L1507" t="s">
        <v>496</v>
      </c>
      <c r="M1507" t="s">
        <v>474</v>
      </c>
    </row>
    <row r="1508" spans="1:13">
      <c r="A1508">
        <v>1318</v>
      </c>
      <c r="B1508">
        <v>6011</v>
      </c>
      <c r="C15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TOSHIBA C350KB</v>
      </c>
      <c r="D1508" s="32">
        <v>46179</v>
      </c>
      <c r="E15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508">
        <v>1</v>
      </c>
      <c r="I1508">
        <f>(salidas26[[#This Row],[CANT JUEGOS ]]*salidas26[[#This Row],[PRECIO JUEGO]])</f>
        <v>180</v>
      </c>
      <c r="J1508">
        <f>(salidas26[[#This Row],[CANT BARRAS]]*salidas26[[#This Row],[PRECIO BARRA]])</f>
        <v>0</v>
      </c>
      <c r="K1508">
        <v>160</v>
      </c>
      <c r="L1508" t="s">
        <v>496</v>
      </c>
      <c r="M1508" t="s">
        <v>474</v>
      </c>
    </row>
    <row r="1509" spans="1:13">
      <c r="A1509">
        <v>1319</v>
      </c>
      <c r="B1509">
        <v>8015</v>
      </c>
      <c r="C15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09" s="32">
        <v>46181</v>
      </c>
      <c r="E15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09">
        <v>1</v>
      </c>
      <c r="I1509">
        <f>(salidas26[[#This Row],[CANT JUEGOS ]]*salidas26[[#This Row],[PRECIO JUEGO]])</f>
        <v>60</v>
      </c>
      <c r="J1509">
        <f>(salidas26[[#This Row],[CANT BARRAS]]*salidas26[[#This Row],[PRECIO BARRA]])</f>
        <v>0</v>
      </c>
      <c r="K1509">
        <v>50</v>
      </c>
      <c r="L1509" t="s">
        <v>465</v>
      </c>
      <c r="M1509" t="s">
        <v>481</v>
      </c>
    </row>
    <row r="1510" spans="1:13">
      <c r="A1510">
        <v>1320</v>
      </c>
      <c r="B1510">
        <v>1069</v>
      </c>
      <c r="C15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510" s="32">
        <v>46181</v>
      </c>
      <c r="E15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510">
        <v>1</v>
      </c>
      <c r="I1510">
        <f>(salidas26[[#This Row],[CANT JUEGOS ]]*salidas26[[#This Row],[PRECIO JUEGO]])</f>
        <v>250</v>
      </c>
      <c r="J1510">
        <f>(salidas26[[#This Row],[CANT BARRAS]]*salidas26[[#This Row],[PRECIO BARRA]])</f>
        <v>0</v>
      </c>
      <c r="K1510">
        <v>240</v>
      </c>
      <c r="L1510" t="s">
        <v>465</v>
      </c>
      <c r="M1510" t="s">
        <v>466</v>
      </c>
    </row>
    <row r="1511" spans="1:13">
      <c r="A1511">
        <v>1322</v>
      </c>
      <c r="B1511">
        <v>2021</v>
      </c>
      <c r="C15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1511" s="32">
        <v>46181</v>
      </c>
      <c r="E15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5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1511">
        <v>1</v>
      </c>
      <c r="I1511">
        <f>(salidas26[[#This Row],[CANT JUEGOS ]]*salidas26[[#This Row],[PRECIO JUEGO]])</f>
        <v>260</v>
      </c>
      <c r="J1511">
        <f>(salidas26[[#This Row],[CANT BARRAS]]*salidas26[[#This Row],[PRECIO BARRA]])</f>
        <v>0</v>
      </c>
      <c r="K1511">
        <v>230</v>
      </c>
      <c r="L1511" t="s">
        <v>496</v>
      </c>
      <c r="M1511" t="s">
        <v>822</v>
      </c>
    </row>
    <row r="1512" spans="1:13">
      <c r="A1512">
        <v>1323</v>
      </c>
      <c r="B1512">
        <v>4009</v>
      </c>
      <c r="C15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512" s="32">
        <v>46181</v>
      </c>
      <c r="E15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512">
        <v>2</v>
      </c>
      <c r="I1512">
        <f>(salidas26[[#This Row],[CANT JUEGOS ]]*salidas26[[#This Row],[PRECIO JUEGO]])</f>
        <v>320</v>
      </c>
      <c r="J1512">
        <f>(salidas26[[#This Row],[CANT BARRAS]]*salidas26[[#This Row],[PRECIO BARRA]])</f>
        <v>0</v>
      </c>
      <c r="K1512">
        <v>256</v>
      </c>
      <c r="L1512" t="s">
        <v>465</v>
      </c>
      <c r="M1512" t="s">
        <v>497</v>
      </c>
    </row>
    <row r="1513" spans="1:13">
      <c r="A1513">
        <v>1324</v>
      </c>
      <c r="B1513">
        <v>8123</v>
      </c>
      <c r="C15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1513" s="32">
        <v>46181</v>
      </c>
      <c r="E15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5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513">
        <v>80</v>
      </c>
      <c r="I1513">
        <f>(salidas26[[#This Row],[CANT JUEGOS ]]*salidas26[[#This Row],[PRECIO JUEGO]])</f>
        <v>0</v>
      </c>
      <c r="J1513">
        <f>(salidas26[[#This Row],[CANT BARRAS]]*salidas26[[#This Row],[PRECIO BARRA]])</f>
        <v>280</v>
      </c>
      <c r="K1513">
        <v>240</v>
      </c>
      <c r="L1513" t="s">
        <v>465</v>
      </c>
      <c r="M1513" t="s">
        <v>497</v>
      </c>
    </row>
    <row r="1514" spans="1:13">
      <c r="A1514">
        <v>1325</v>
      </c>
      <c r="B1514">
        <v>2064</v>
      </c>
      <c r="C15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1514" s="32">
        <v>46181</v>
      </c>
      <c r="E15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1514">
        <v>1</v>
      </c>
      <c r="I1514">
        <f>(salidas26[[#This Row],[CANT JUEGOS ]]*salidas26[[#This Row],[PRECIO JUEGO]])</f>
        <v>250</v>
      </c>
      <c r="J1514">
        <f>(salidas26[[#This Row],[CANT BARRAS]]*salidas26[[#This Row],[PRECIO BARRA]])</f>
        <v>0</v>
      </c>
      <c r="K1514">
        <v>220</v>
      </c>
      <c r="L1514" t="s">
        <v>465</v>
      </c>
      <c r="M1514" t="s">
        <v>542</v>
      </c>
    </row>
    <row r="1515" spans="1:13">
      <c r="A1515">
        <v>1326</v>
      </c>
      <c r="B1515">
        <v>4009</v>
      </c>
      <c r="C15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515" s="32">
        <v>46181</v>
      </c>
      <c r="E15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515">
        <v>1</v>
      </c>
      <c r="I1515">
        <f>(salidas26[[#This Row],[CANT JUEGOS ]]*salidas26[[#This Row],[PRECIO JUEGO]])</f>
        <v>160</v>
      </c>
      <c r="J1515">
        <f>(salidas26[[#This Row],[CANT BARRAS]]*salidas26[[#This Row],[PRECIO BARRA]])</f>
        <v>0</v>
      </c>
      <c r="K1515">
        <v>160</v>
      </c>
      <c r="L1515" t="s">
        <v>465</v>
      </c>
      <c r="M1515" t="s">
        <v>466</v>
      </c>
    </row>
    <row r="1516" spans="1:13">
      <c r="A1516">
        <v>1327</v>
      </c>
      <c r="B1516">
        <v>1129</v>
      </c>
      <c r="C15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55UH6500/2B</v>
      </c>
      <c r="D1516" s="32">
        <v>46181</v>
      </c>
      <c r="E15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5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516">
        <v>1</v>
      </c>
      <c r="I1516">
        <f>(salidas26[[#This Row],[CANT JUEGOS ]]*salidas26[[#This Row],[PRECIO JUEGO]])</f>
        <v>260</v>
      </c>
      <c r="J1516">
        <f>(salidas26[[#This Row],[CANT BARRAS]]*salidas26[[#This Row],[PRECIO BARRA]])</f>
        <v>0</v>
      </c>
      <c r="K1516">
        <v>250</v>
      </c>
      <c r="L1516" t="s">
        <v>496</v>
      </c>
      <c r="M1516" t="s">
        <v>481</v>
      </c>
    </row>
    <row r="1517" spans="1:13">
      <c r="A1517">
        <v>1329</v>
      </c>
      <c r="B1517">
        <v>2015</v>
      </c>
      <c r="C15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1517" s="32">
        <v>46181</v>
      </c>
      <c r="E15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17">
        <v>1</v>
      </c>
      <c r="I1517">
        <f>(salidas26[[#This Row],[CANT JUEGOS ]]*salidas26[[#This Row],[PRECIO JUEGO]])</f>
        <v>160</v>
      </c>
      <c r="J1517">
        <f>(salidas26[[#This Row],[CANT BARRAS]]*salidas26[[#This Row],[PRECIO BARRA]])</f>
        <v>0</v>
      </c>
      <c r="K1517">
        <v>160</v>
      </c>
      <c r="L1517" t="s">
        <v>496</v>
      </c>
      <c r="M1517" t="s">
        <v>913</v>
      </c>
    </row>
    <row r="1518" spans="1:13">
      <c r="A1518">
        <v>1330</v>
      </c>
      <c r="B1518">
        <v>6021</v>
      </c>
      <c r="C15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MASTERG 55U4700 - 55 TOSHIBA 8B/5-6L</v>
      </c>
      <c r="D1518" s="32">
        <v>46179</v>
      </c>
      <c r="E15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518">
        <v>1</v>
      </c>
      <c r="I1518">
        <f>(salidas26[[#This Row],[CANT JUEGOS ]]*salidas26[[#This Row],[PRECIO JUEGO]])</f>
        <v>300</v>
      </c>
      <c r="J1518">
        <f>(salidas26[[#This Row],[CANT BARRAS]]*salidas26[[#This Row],[PRECIO BARRA]])</f>
        <v>0</v>
      </c>
      <c r="K1518">
        <v>260</v>
      </c>
      <c r="L1518" t="s">
        <v>496</v>
      </c>
      <c r="M1518" t="s">
        <v>474</v>
      </c>
    </row>
    <row r="1519" spans="1:13">
      <c r="A1519">
        <v>1331</v>
      </c>
      <c r="B1519">
        <v>2021</v>
      </c>
      <c r="C15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UN40F5000-F6400/14 B</v>
      </c>
      <c r="D1519" s="32">
        <v>46179</v>
      </c>
      <c r="E15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5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18.571428571428573</v>
      </c>
      <c r="G1519">
        <v>1</v>
      </c>
      <c r="I1519">
        <f>(salidas26[[#This Row],[CANT JUEGOS ]]*salidas26[[#This Row],[PRECIO JUEGO]])</f>
        <v>260</v>
      </c>
      <c r="J1519">
        <f>(salidas26[[#This Row],[CANT BARRAS]]*salidas26[[#This Row],[PRECIO BARRA]])</f>
        <v>0</v>
      </c>
      <c r="K1519">
        <v>250</v>
      </c>
      <c r="L1519" t="s">
        <v>496</v>
      </c>
      <c r="M1519" t="s">
        <v>474</v>
      </c>
    </row>
    <row r="1520" spans="1:13">
      <c r="A1520">
        <v>1332</v>
      </c>
      <c r="B1520">
        <v>1033</v>
      </c>
      <c r="C15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520" s="32">
        <v>46182</v>
      </c>
      <c r="E15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520">
        <v>1</v>
      </c>
      <c r="I1520">
        <f>(salidas26[[#This Row],[CANT JUEGOS ]]*salidas26[[#This Row],[PRECIO JUEGO]])</f>
        <v>180</v>
      </c>
      <c r="J1520">
        <f>(salidas26[[#This Row],[CANT BARRAS]]*salidas26[[#This Row],[PRECIO BARRA]])</f>
        <v>0</v>
      </c>
      <c r="K1520">
        <v>180</v>
      </c>
      <c r="L1520" t="s">
        <v>465</v>
      </c>
      <c r="M1520" t="s">
        <v>823</v>
      </c>
    </row>
    <row r="1521" spans="1:13">
      <c r="A1521">
        <v>1333</v>
      </c>
      <c r="B1521">
        <v>2060</v>
      </c>
      <c r="C15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UN50FH5303/8-7L/8B</v>
      </c>
      <c r="D1521" s="32">
        <v>46182</v>
      </c>
      <c r="E15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521">
        <v>1</v>
      </c>
      <c r="I1521">
        <f>(salidas26[[#This Row],[CANT JUEGOS ]]*salidas26[[#This Row],[PRECIO JUEGO]])</f>
        <v>300</v>
      </c>
      <c r="J1521">
        <f>(salidas26[[#This Row],[CANT BARRAS]]*salidas26[[#This Row],[PRECIO BARRA]])</f>
        <v>0</v>
      </c>
      <c r="K1521">
        <v>280</v>
      </c>
      <c r="L1521" t="s">
        <v>465</v>
      </c>
      <c r="M1521" t="s">
        <v>797</v>
      </c>
    </row>
    <row r="1522" spans="1:13">
      <c r="A1522">
        <v>1334</v>
      </c>
      <c r="B1522">
        <v>6001</v>
      </c>
      <c r="C15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MASTER G MGHF32WB 6L/3V/2B</v>
      </c>
      <c r="D1522" s="32">
        <v>46182</v>
      </c>
      <c r="E15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5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522">
        <v>1</v>
      </c>
      <c r="I1522">
        <f>(salidas26[[#This Row],[CANT JUEGOS ]]*salidas26[[#This Row],[PRECIO JUEGO]])</f>
        <v>80</v>
      </c>
      <c r="J1522">
        <f>(salidas26[[#This Row],[CANT BARRAS]]*salidas26[[#This Row],[PRECIO BARRA]])</f>
        <v>0</v>
      </c>
      <c r="K1522">
        <v>50</v>
      </c>
      <c r="L1522" t="s">
        <v>465</v>
      </c>
      <c r="M1522" t="s">
        <v>797</v>
      </c>
    </row>
    <row r="1523" spans="1:13">
      <c r="A1523">
        <v>1335</v>
      </c>
      <c r="B1523">
        <v>1036</v>
      </c>
      <c r="C15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523" s="32">
        <v>46182</v>
      </c>
      <c r="E15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523">
        <v>1</v>
      </c>
      <c r="I1523">
        <f>(salidas26[[#This Row],[CANT JUEGOS ]]*salidas26[[#This Row],[PRECIO JUEGO]])</f>
        <v>180</v>
      </c>
      <c r="J1523">
        <f>(salidas26[[#This Row],[CANT BARRAS]]*salidas26[[#This Row],[PRECIO BARRA]])</f>
        <v>0</v>
      </c>
      <c r="K1523">
        <v>150</v>
      </c>
      <c r="L1523" t="s">
        <v>465</v>
      </c>
      <c r="M1523" t="s">
        <v>797</v>
      </c>
    </row>
    <row r="1524" spans="1:13">
      <c r="A1524">
        <v>1336</v>
      </c>
      <c r="B1524">
        <v>3006</v>
      </c>
      <c r="C15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524" s="32">
        <v>46182</v>
      </c>
      <c r="E15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524">
        <v>1</v>
      </c>
      <c r="I1524">
        <f>(salidas26[[#This Row],[CANT JUEGOS ]]*salidas26[[#This Row],[PRECIO JUEGO]])</f>
        <v>180</v>
      </c>
      <c r="J1524">
        <f>(salidas26[[#This Row],[CANT BARRAS]]*salidas26[[#This Row],[PRECIO BARRA]])</f>
        <v>0</v>
      </c>
      <c r="K1524">
        <v>180</v>
      </c>
      <c r="L1524" t="s">
        <v>496</v>
      </c>
      <c r="M1524" t="s">
        <v>658</v>
      </c>
    </row>
    <row r="1525" spans="1:13">
      <c r="A1525">
        <v>1338</v>
      </c>
      <c r="B1525">
        <v>4001</v>
      </c>
      <c r="C15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D2900 TCL</v>
      </c>
      <c r="D1525" s="32">
        <v>46182</v>
      </c>
      <c r="E15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25">
        <v>1</v>
      </c>
      <c r="I1525">
        <f>(salidas26[[#This Row],[CANT JUEGOS ]]*salidas26[[#This Row],[PRECIO JUEGO]])</f>
        <v>60</v>
      </c>
      <c r="J1525">
        <f>(salidas26[[#This Row],[CANT BARRAS]]*salidas26[[#This Row],[PRECIO BARRA]])</f>
        <v>0</v>
      </c>
      <c r="K1525">
        <v>50</v>
      </c>
      <c r="L1525" t="s">
        <v>465</v>
      </c>
      <c r="M1525" t="s">
        <v>923</v>
      </c>
    </row>
    <row r="1526" spans="1:13">
      <c r="A1526">
        <v>1339</v>
      </c>
      <c r="B1526">
        <v>6033</v>
      </c>
      <c r="C15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 HISENSE K5500UW 4B EDGE</v>
      </c>
      <c r="D1526" s="32">
        <v>46182</v>
      </c>
      <c r="E15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87.5</v>
      </c>
      <c r="G1526">
        <v>1</v>
      </c>
      <c r="I1526">
        <f>(salidas26[[#This Row],[CANT JUEGOS ]]*salidas26[[#This Row],[PRECIO JUEGO]])</f>
        <v>350</v>
      </c>
      <c r="J1526">
        <f>(salidas26[[#This Row],[CANT BARRAS]]*salidas26[[#This Row],[PRECIO BARRA]])</f>
        <v>0</v>
      </c>
      <c r="K1526">
        <v>330</v>
      </c>
      <c r="L1526" t="s">
        <v>465</v>
      </c>
      <c r="M1526" t="s">
        <v>914</v>
      </c>
    </row>
    <row r="1527" spans="1:13">
      <c r="A1527">
        <v>1340</v>
      </c>
      <c r="B1527">
        <v>2003</v>
      </c>
      <c r="C15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527" s="32">
        <v>46182</v>
      </c>
      <c r="E15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5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H1527">
        <v>2</v>
      </c>
      <c r="I1527">
        <f>(salidas26[[#This Row],[CANT JUEGOS ]]*salidas26[[#This Row],[PRECIO JUEGO]])</f>
        <v>0</v>
      </c>
      <c r="J1527">
        <f>(salidas26[[#This Row],[CANT BARRAS]]*salidas26[[#This Row],[PRECIO BARRA]])</f>
        <v>52</v>
      </c>
      <c r="K1527">
        <v>50</v>
      </c>
      <c r="L1527" t="s">
        <v>465</v>
      </c>
      <c r="M1527" t="s">
        <v>660</v>
      </c>
    </row>
    <row r="1528" spans="1:13">
      <c r="A1528">
        <v>1341</v>
      </c>
      <c r="B1528">
        <v>2012</v>
      </c>
      <c r="C15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528" s="32">
        <v>46182</v>
      </c>
      <c r="E15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28">
        <v>1</v>
      </c>
      <c r="I1528">
        <f>(salidas26[[#This Row],[CANT JUEGOS ]]*salidas26[[#This Row],[PRECIO JUEGO]])</f>
        <v>160</v>
      </c>
      <c r="J1528">
        <f>(salidas26[[#This Row],[CANT BARRAS]]*salidas26[[#This Row],[PRECIO BARRA]])</f>
        <v>0</v>
      </c>
      <c r="K1528">
        <v>160</v>
      </c>
      <c r="L1528" t="s">
        <v>496</v>
      </c>
      <c r="M1528" t="s">
        <v>600</v>
      </c>
    </row>
    <row r="1529" spans="1:13">
      <c r="A1529">
        <v>1342</v>
      </c>
      <c r="B1529">
        <v>4018</v>
      </c>
      <c r="C15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1529" s="32">
        <v>46182</v>
      </c>
      <c r="E15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5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529">
        <v>1</v>
      </c>
      <c r="I1529">
        <f>(salidas26[[#This Row],[CANT JUEGOS ]]*salidas26[[#This Row],[PRECIO JUEGO]])</f>
        <v>200</v>
      </c>
      <c r="J1529">
        <f>(salidas26[[#This Row],[CANT BARRAS]]*salidas26[[#This Row],[PRECIO BARRA]])</f>
        <v>0</v>
      </c>
      <c r="K1529">
        <v>220</v>
      </c>
      <c r="L1529" t="s">
        <v>465</v>
      </c>
      <c r="M1529" t="s">
        <v>600</v>
      </c>
    </row>
    <row r="1530" spans="1:13">
      <c r="A1530">
        <v>1343</v>
      </c>
      <c r="B1530">
        <v>5015</v>
      </c>
      <c r="C15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KDL-40W655A/3B SONY</v>
      </c>
      <c r="D1530" s="32">
        <v>46182</v>
      </c>
      <c r="E15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30">
        <v>2</v>
      </c>
      <c r="I1530">
        <f>(salidas26[[#This Row],[CANT JUEGOS ]]*salidas26[[#This Row],[PRECIO JUEGO]])</f>
        <v>320</v>
      </c>
      <c r="J1530">
        <f>(salidas26[[#This Row],[CANT BARRAS]]*salidas26[[#This Row],[PRECIO BARRA]])</f>
        <v>0</v>
      </c>
      <c r="K1530">
        <v>280</v>
      </c>
      <c r="L1530" t="s">
        <v>465</v>
      </c>
      <c r="M1530" t="s">
        <v>803</v>
      </c>
    </row>
    <row r="1531" spans="1:13">
      <c r="A1531">
        <v>1344</v>
      </c>
      <c r="B1531">
        <v>2075</v>
      </c>
      <c r="C15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531" s="32">
        <v>46182</v>
      </c>
      <c r="E15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5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531">
        <v>1</v>
      </c>
      <c r="I1531">
        <f>(salidas26[[#This Row],[CANT JUEGOS ]]*salidas26[[#This Row],[PRECIO JUEGO]])</f>
        <v>200</v>
      </c>
      <c r="J1531">
        <f>(salidas26[[#This Row],[CANT BARRAS]]*salidas26[[#This Row],[PRECIO BARRA]])</f>
        <v>0</v>
      </c>
      <c r="K1531">
        <v>180</v>
      </c>
      <c r="L1531" t="s">
        <v>465</v>
      </c>
      <c r="M1531" t="s">
        <v>547</v>
      </c>
    </row>
    <row r="1532" spans="1:13">
      <c r="A1532">
        <v>1345</v>
      </c>
      <c r="B1532" t="s">
        <v>856</v>
      </c>
      <c r="C15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TB 7000 SKYWORTH 2B/7LED </v>
      </c>
      <c r="D1532" s="32">
        <v>46182</v>
      </c>
      <c r="E15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3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532">
        <v>1</v>
      </c>
      <c r="I1532">
        <f>(salidas26[[#This Row],[CANT JUEGOS ]]*salidas26[[#This Row],[PRECIO JUEGO]])</f>
        <v>60</v>
      </c>
      <c r="J1532" t="e">
        <f>(salidas26[[#This Row],[CANT BARRAS]]*salidas26[[#This Row],[PRECIO BARRA]])</f>
        <v>#VALUE!</v>
      </c>
      <c r="K1532">
        <v>60</v>
      </c>
      <c r="L1532" t="s">
        <v>465</v>
      </c>
      <c r="M1532" t="s">
        <v>470</v>
      </c>
    </row>
    <row r="1533" spans="1:13">
      <c r="A1533">
        <v>1346</v>
      </c>
      <c r="B1533">
        <v>1078</v>
      </c>
      <c r="C15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1533" s="32">
        <v>46182</v>
      </c>
      <c r="E15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5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533">
        <v>1</v>
      </c>
      <c r="I1533">
        <f>(salidas26[[#This Row],[CANT JUEGOS ]]*salidas26[[#This Row],[PRECIO JUEGO]])</f>
        <v>280</v>
      </c>
      <c r="J1533">
        <f>(salidas26[[#This Row],[CANT BARRAS]]*salidas26[[#This Row],[PRECIO BARRA]])</f>
        <v>0</v>
      </c>
      <c r="K1533">
        <v>280</v>
      </c>
      <c r="L1533" t="s">
        <v>465</v>
      </c>
      <c r="M1533" t="s">
        <v>677</v>
      </c>
    </row>
    <row r="1534" spans="1:13">
      <c r="A1534">
        <v>1347</v>
      </c>
      <c r="B1534">
        <v>6008</v>
      </c>
      <c r="C15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SKYWORTH SUC9350 8L /3B</v>
      </c>
      <c r="D1534" s="32">
        <v>46182</v>
      </c>
      <c r="E15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534">
        <v>1</v>
      </c>
      <c r="I1534">
        <f>(salidas26[[#This Row],[CANT JUEGOS ]]*salidas26[[#This Row],[PRECIO JUEGO]])</f>
        <v>180</v>
      </c>
      <c r="J1534">
        <f>(salidas26[[#This Row],[CANT BARRAS]]*salidas26[[#This Row],[PRECIO BARRA]])</f>
        <v>0</v>
      </c>
      <c r="K1534">
        <v>180</v>
      </c>
      <c r="L1534" t="s">
        <v>465</v>
      </c>
      <c r="M1534" t="s">
        <v>566</v>
      </c>
    </row>
    <row r="1535" spans="1:13">
      <c r="A1535">
        <v>1348</v>
      </c>
      <c r="B1535">
        <v>2075</v>
      </c>
      <c r="C15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535" s="32">
        <v>46182</v>
      </c>
      <c r="E15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5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535">
        <v>1</v>
      </c>
      <c r="I1535">
        <f>(salidas26[[#This Row],[CANT JUEGOS ]]*salidas26[[#This Row],[PRECIO JUEGO]])</f>
        <v>200</v>
      </c>
      <c r="J1535">
        <f>(salidas26[[#This Row],[CANT BARRAS]]*salidas26[[#This Row],[PRECIO BARRA]])</f>
        <v>0</v>
      </c>
      <c r="K1535">
        <v>180</v>
      </c>
      <c r="L1535" t="s">
        <v>496</v>
      </c>
      <c r="M1535" t="s">
        <v>915</v>
      </c>
    </row>
    <row r="1536" spans="1:13">
      <c r="A1536">
        <v>1349</v>
      </c>
      <c r="B1536">
        <v>7009</v>
      </c>
      <c r="C15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 IRT 6L/6B </v>
      </c>
      <c r="D1536" s="32">
        <v>46182</v>
      </c>
      <c r="E15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5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536">
        <v>1</v>
      </c>
      <c r="I1536">
        <f>(salidas26[[#This Row],[CANT JUEGOS ]]*salidas26[[#This Row],[PRECIO JUEGO]])</f>
        <v>240</v>
      </c>
      <c r="J1536">
        <f>(salidas26[[#This Row],[CANT BARRAS]]*salidas26[[#This Row],[PRECIO BARRA]])</f>
        <v>0</v>
      </c>
      <c r="K1536">
        <v>200</v>
      </c>
      <c r="L1536" t="s">
        <v>465</v>
      </c>
      <c r="M1536" t="s">
        <v>471</v>
      </c>
    </row>
    <row r="1537" spans="1:13">
      <c r="A1537">
        <v>1351</v>
      </c>
      <c r="B1537">
        <v>2042</v>
      </c>
      <c r="C15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1537" s="32">
        <v>46183</v>
      </c>
      <c r="E15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5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537">
        <v>1</v>
      </c>
      <c r="I1537">
        <f>(salidas26[[#This Row],[CANT JUEGOS ]]*salidas26[[#This Row],[PRECIO JUEGO]])</f>
        <v>260</v>
      </c>
      <c r="J1537">
        <f>(salidas26[[#This Row],[CANT BARRAS]]*salidas26[[#This Row],[PRECIO BARRA]])</f>
        <v>0</v>
      </c>
      <c r="K1537">
        <v>240</v>
      </c>
      <c r="L1537" t="s">
        <v>465</v>
      </c>
      <c r="M1537" t="s">
        <v>466</v>
      </c>
    </row>
    <row r="1538" spans="1:13">
      <c r="A1538">
        <v>1352</v>
      </c>
      <c r="B1538">
        <v>8015</v>
      </c>
      <c r="C15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38" s="32">
        <v>46183</v>
      </c>
      <c r="E15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38">
        <v>1</v>
      </c>
      <c r="I1538">
        <f>(salidas26[[#This Row],[CANT JUEGOS ]]*salidas26[[#This Row],[PRECIO JUEGO]])</f>
        <v>60</v>
      </c>
      <c r="J1538">
        <f>(salidas26[[#This Row],[CANT BARRAS]]*salidas26[[#This Row],[PRECIO BARRA]])</f>
        <v>0</v>
      </c>
      <c r="K1538">
        <v>50</v>
      </c>
      <c r="L1538" t="s">
        <v>465</v>
      </c>
      <c r="M1538" t="s">
        <v>466</v>
      </c>
    </row>
    <row r="1539" spans="1:13">
      <c r="A1539">
        <v>1353</v>
      </c>
      <c r="B1539">
        <v>5002</v>
      </c>
      <c r="C15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1539" s="32">
        <v>46183</v>
      </c>
      <c r="E15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39">
        <v>1</v>
      </c>
      <c r="I1539">
        <f>(salidas26[[#This Row],[CANT JUEGOS ]]*salidas26[[#This Row],[PRECIO JUEGO]])</f>
        <v>90</v>
      </c>
      <c r="J1539">
        <f>(salidas26[[#This Row],[CANT BARRAS]]*salidas26[[#This Row],[PRECIO BARRA]])</f>
        <v>0</v>
      </c>
      <c r="K1539">
        <v>80</v>
      </c>
      <c r="L1539" t="s">
        <v>496</v>
      </c>
      <c r="M1539" t="s">
        <v>474</v>
      </c>
    </row>
    <row r="1540" spans="1:13">
      <c r="A1540">
        <v>1354</v>
      </c>
      <c r="B1540">
        <v>6009</v>
      </c>
      <c r="C15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540" s="32">
        <v>46183</v>
      </c>
      <c r="E15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540">
        <v>6</v>
      </c>
      <c r="I1540">
        <f>(salidas26[[#This Row],[CANT JUEGOS ]]*salidas26[[#This Row],[PRECIO JUEGO]])</f>
        <v>0</v>
      </c>
      <c r="J1540">
        <f>(salidas26[[#This Row],[CANT BARRAS]]*salidas26[[#This Row],[PRECIO BARRA]])</f>
        <v>135</v>
      </c>
      <c r="K1540">
        <v>150</v>
      </c>
      <c r="L1540" t="s">
        <v>496</v>
      </c>
      <c r="M1540" t="s">
        <v>474</v>
      </c>
    </row>
    <row r="1541" spans="1:13">
      <c r="A1541">
        <v>1355</v>
      </c>
      <c r="B1541">
        <v>2024</v>
      </c>
      <c r="C15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541" s="32">
        <v>46183</v>
      </c>
      <c r="E15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541">
        <v>1</v>
      </c>
      <c r="I1541">
        <f>(salidas26[[#This Row],[CANT JUEGOS ]]*salidas26[[#This Row],[PRECIO JUEGO]])</f>
        <v>180</v>
      </c>
      <c r="J1541">
        <f>(salidas26[[#This Row],[CANT BARRAS]]*salidas26[[#This Row],[PRECIO BARRA]])</f>
        <v>0</v>
      </c>
      <c r="K1541">
        <v>170</v>
      </c>
      <c r="L1541" t="s">
        <v>496</v>
      </c>
      <c r="M1541" t="s">
        <v>474</v>
      </c>
    </row>
    <row r="1542" spans="1:13">
      <c r="A1542">
        <v>1356</v>
      </c>
      <c r="B1542">
        <v>8033</v>
      </c>
      <c r="C15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542" s="32">
        <v>46183</v>
      </c>
      <c r="E15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5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542">
        <v>1</v>
      </c>
      <c r="I1542">
        <f>(salidas26[[#This Row],[CANT JUEGOS ]]*salidas26[[#This Row],[PRECIO JUEGO]])</f>
        <v>150</v>
      </c>
      <c r="J1542">
        <f>(salidas26[[#This Row],[CANT BARRAS]]*salidas26[[#This Row],[PRECIO BARRA]])</f>
        <v>0</v>
      </c>
      <c r="K1542">
        <v>140</v>
      </c>
      <c r="L1542" t="s">
        <v>465</v>
      </c>
      <c r="M1542" t="s">
        <v>481</v>
      </c>
    </row>
    <row r="1543" spans="1:13">
      <c r="A1543">
        <v>1357</v>
      </c>
      <c r="B1543">
        <v>6019</v>
      </c>
      <c r="C15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MASTER G MGU5010X 8B/6L-50V2 SKYWORT</v>
      </c>
      <c r="D1543" s="32">
        <v>46183</v>
      </c>
      <c r="E15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543">
        <v>1</v>
      </c>
      <c r="I1543">
        <f>(salidas26[[#This Row],[CANT JUEGOS ]]*salidas26[[#This Row],[PRECIO JUEGO]])</f>
        <v>300</v>
      </c>
      <c r="J1543">
        <f>(salidas26[[#This Row],[CANT BARRAS]]*salidas26[[#This Row],[PRECIO BARRA]])</f>
        <v>0</v>
      </c>
      <c r="K1543">
        <v>250</v>
      </c>
      <c r="L1543" t="s">
        <v>496</v>
      </c>
      <c r="M1543" t="s">
        <v>628</v>
      </c>
    </row>
    <row r="1544" spans="1:13">
      <c r="A1544">
        <v>1358</v>
      </c>
      <c r="B1544">
        <v>6022</v>
      </c>
      <c r="C15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544" s="32">
        <v>46183</v>
      </c>
      <c r="E15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544">
        <v>1</v>
      </c>
      <c r="I1544">
        <f>(salidas26[[#This Row],[CANT JUEGOS ]]*salidas26[[#This Row],[PRECIO JUEGO]])</f>
        <v>350</v>
      </c>
      <c r="J1544">
        <f>(salidas26[[#This Row],[CANT BARRAS]]*salidas26[[#This Row],[PRECIO BARRA]])</f>
        <v>0</v>
      </c>
      <c r="K1544">
        <v>320</v>
      </c>
      <c r="L1544" t="s">
        <v>465</v>
      </c>
      <c r="M1544" t="s">
        <v>628</v>
      </c>
    </row>
    <row r="1545" spans="1:13">
      <c r="A1545">
        <v>1359</v>
      </c>
      <c r="B1545">
        <v>9001</v>
      </c>
      <c r="C15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/12B-75KB618</v>
      </c>
      <c r="D1545" s="32">
        <v>46183</v>
      </c>
      <c r="E15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5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545">
        <v>1</v>
      </c>
      <c r="I1545">
        <f>(salidas26[[#This Row],[CANT JUEGOS ]]*salidas26[[#This Row],[PRECIO JUEGO]])</f>
        <v>450</v>
      </c>
      <c r="J1545">
        <f>(salidas26[[#This Row],[CANT BARRAS]]*salidas26[[#This Row],[PRECIO BARRA]])</f>
        <v>0</v>
      </c>
      <c r="K1545">
        <v>450</v>
      </c>
      <c r="L1545" t="s">
        <v>496</v>
      </c>
      <c r="M1545" t="s">
        <v>864</v>
      </c>
    </row>
    <row r="1546" spans="1:13">
      <c r="A1546">
        <v>1360</v>
      </c>
      <c r="B1546">
        <v>8015</v>
      </c>
      <c r="C15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46" s="32">
        <v>46183</v>
      </c>
      <c r="E15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46">
        <v>1</v>
      </c>
      <c r="I1546">
        <f>(salidas26[[#This Row],[CANT JUEGOS ]]*salidas26[[#This Row],[PRECIO JUEGO]])</f>
        <v>60</v>
      </c>
      <c r="J1546">
        <f>(salidas26[[#This Row],[CANT BARRAS]]*salidas26[[#This Row],[PRECIO BARRA]])</f>
        <v>0</v>
      </c>
      <c r="K1546">
        <v>50</v>
      </c>
      <c r="L1546" t="s">
        <v>465</v>
      </c>
      <c r="M1546" t="s">
        <v>542</v>
      </c>
    </row>
    <row r="1547" spans="1:13">
      <c r="A1547">
        <v>1361</v>
      </c>
      <c r="B1547">
        <v>2099</v>
      </c>
      <c r="C15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UN65NU7100/2B</v>
      </c>
      <c r="D1547" s="32">
        <v>46183</v>
      </c>
      <c r="E15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5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547">
        <v>1</v>
      </c>
      <c r="I1547">
        <f>(salidas26[[#This Row],[CANT JUEGOS ]]*salidas26[[#This Row],[PRECIO JUEGO]])</f>
        <v>260</v>
      </c>
      <c r="J1547">
        <f>(salidas26[[#This Row],[CANT BARRAS]]*salidas26[[#This Row],[PRECIO BARRA]])</f>
        <v>0</v>
      </c>
      <c r="K1547">
        <v>250</v>
      </c>
      <c r="L1547" t="s">
        <v>465</v>
      </c>
      <c r="M1547" t="s">
        <v>471</v>
      </c>
    </row>
    <row r="1548" spans="1:13">
      <c r="A1548">
        <v>1362</v>
      </c>
      <c r="B1548">
        <v>6009</v>
      </c>
      <c r="C15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548" s="32">
        <v>46183</v>
      </c>
      <c r="E15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548">
        <v>6</v>
      </c>
      <c r="I1548">
        <f>(salidas26[[#This Row],[CANT JUEGOS ]]*salidas26[[#This Row],[PRECIO JUEGO]])</f>
        <v>0</v>
      </c>
      <c r="J1548">
        <f>(salidas26[[#This Row],[CANT BARRAS]]*salidas26[[#This Row],[PRECIO BARRA]])</f>
        <v>135</v>
      </c>
      <c r="K1548">
        <v>160</v>
      </c>
      <c r="L1548" t="s">
        <v>496</v>
      </c>
      <c r="M1548" t="s">
        <v>540</v>
      </c>
    </row>
    <row r="1549" spans="1:13">
      <c r="A1549">
        <v>1363</v>
      </c>
      <c r="B1549">
        <v>6024</v>
      </c>
      <c r="C15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549" s="32">
        <v>46183</v>
      </c>
      <c r="E15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H1549">
        <v>10</v>
      </c>
      <c r="I1549">
        <f>(salidas26[[#This Row],[CANT JUEGOS ]]*salidas26[[#This Row],[PRECIO JUEGO]])</f>
        <v>0</v>
      </c>
      <c r="J1549">
        <f>(salidas26[[#This Row],[CANT BARRAS]]*salidas26[[#This Row],[PRECIO BARRA]])</f>
        <v>250</v>
      </c>
      <c r="K1549">
        <v>300</v>
      </c>
      <c r="L1549" t="s">
        <v>496</v>
      </c>
      <c r="M1549" t="s">
        <v>540</v>
      </c>
    </row>
    <row r="1550" spans="1:13">
      <c r="A1550">
        <v>1365</v>
      </c>
      <c r="B1550">
        <v>2018</v>
      </c>
      <c r="C15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UN40FH6203 3B/2C/1R/13-13-13</v>
      </c>
      <c r="D1550" s="32">
        <v>46183</v>
      </c>
      <c r="E15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50">
        <v>1</v>
      </c>
      <c r="I1550">
        <f>(salidas26[[#This Row],[CANT JUEGOS ]]*salidas26[[#This Row],[PRECIO JUEGO]])</f>
        <v>160</v>
      </c>
      <c r="J1550">
        <f>(salidas26[[#This Row],[CANT BARRAS]]*salidas26[[#This Row],[PRECIO BARRA]])</f>
        <v>0</v>
      </c>
      <c r="K1550">
        <v>130</v>
      </c>
      <c r="L1550" t="s">
        <v>496</v>
      </c>
      <c r="M1550" t="s">
        <v>810</v>
      </c>
    </row>
    <row r="1551" spans="1:13">
      <c r="A1551">
        <v>1366</v>
      </c>
      <c r="B1551">
        <v>4018</v>
      </c>
      <c r="C15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1551" s="32">
        <v>46183</v>
      </c>
      <c r="E15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5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551">
        <v>1</v>
      </c>
      <c r="I1551">
        <f>(salidas26[[#This Row],[CANT JUEGOS ]]*salidas26[[#This Row],[PRECIO JUEGO]])</f>
        <v>200</v>
      </c>
      <c r="J1551">
        <f>(salidas26[[#This Row],[CANT BARRAS]]*salidas26[[#This Row],[PRECIO BARRA]])</f>
        <v>0</v>
      </c>
      <c r="K1551">
        <v>160</v>
      </c>
      <c r="L1551" t="s">
        <v>465</v>
      </c>
      <c r="M1551" t="s">
        <v>497</v>
      </c>
    </row>
    <row r="1552" spans="1:13">
      <c r="A1552">
        <v>1367</v>
      </c>
      <c r="B1552">
        <v>5006</v>
      </c>
      <c r="C15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552" s="32">
        <v>46183</v>
      </c>
      <c r="E15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52">
        <v>2</v>
      </c>
      <c r="I1552">
        <f>(salidas26[[#This Row],[CANT JUEGOS ]]*salidas26[[#This Row],[PRECIO JUEGO]])</f>
        <v>180</v>
      </c>
      <c r="J1552">
        <f>(salidas26[[#This Row],[CANT BARRAS]]*salidas26[[#This Row],[PRECIO BARRA]])</f>
        <v>0</v>
      </c>
      <c r="K1552">
        <v>144</v>
      </c>
      <c r="L1552" t="s">
        <v>465</v>
      </c>
      <c r="M1552" t="s">
        <v>497</v>
      </c>
    </row>
    <row r="1553" spans="1:13">
      <c r="A1553">
        <v>1368</v>
      </c>
      <c r="B1553">
        <v>8012</v>
      </c>
      <c r="C15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553" s="32">
        <v>46183</v>
      </c>
      <c r="E15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5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553">
        <v>2</v>
      </c>
      <c r="I1553">
        <f>(salidas26[[#This Row],[CANT JUEGOS ]]*salidas26[[#This Row],[PRECIO JUEGO]])</f>
        <v>200</v>
      </c>
      <c r="J1553">
        <f>(salidas26[[#This Row],[CANT BARRAS]]*salidas26[[#This Row],[PRECIO BARRA]])</f>
        <v>0</v>
      </c>
      <c r="K1553">
        <v>160</v>
      </c>
      <c r="L1553" t="s">
        <v>465</v>
      </c>
      <c r="M1553" t="s">
        <v>497</v>
      </c>
    </row>
    <row r="1554" spans="1:13">
      <c r="A1554">
        <v>1369</v>
      </c>
      <c r="B1554">
        <v>7002</v>
      </c>
      <c r="C15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1554" s="32">
        <v>46183</v>
      </c>
      <c r="E15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5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554">
        <v>1</v>
      </c>
      <c r="I1554">
        <f>(salidas26[[#This Row],[CANT JUEGOS ]]*salidas26[[#This Row],[PRECIO JUEGO]])</f>
        <v>70</v>
      </c>
      <c r="J1554">
        <f>(salidas26[[#This Row],[CANT BARRAS]]*salidas26[[#This Row],[PRECIO BARRA]])</f>
        <v>0</v>
      </c>
      <c r="K1554">
        <v>56</v>
      </c>
      <c r="L1554" t="s">
        <v>465</v>
      </c>
      <c r="M1554" t="s">
        <v>497</v>
      </c>
    </row>
    <row r="1555" spans="1:13">
      <c r="A1555">
        <v>1372</v>
      </c>
      <c r="B1555">
        <v>2040</v>
      </c>
      <c r="C15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UN48H6400-48J6400/12B</v>
      </c>
      <c r="D1555" s="32">
        <v>46184</v>
      </c>
      <c r="E15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360</v>
      </c>
      <c r="F15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55">
        <v>1</v>
      </c>
      <c r="I1555">
        <f>(salidas26[[#This Row],[CANT JUEGOS ]]*salidas26[[#This Row],[PRECIO JUEGO]])</f>
        <v>360</v>
      </c>
      <c r="J1555">
        <f>(salidas26[[#This Row],[CANT BARRAS]]*salidas26[[#This Row],[PRECIO BARRA]])</f>
        <v>0</v>
      </c>
      <c r="K1555">
        <v>320</v>
      </c>
      <c r="L1555" t="s">
        <v>465</v>
      </c>
      <c r="M1555" t="s">
        <v>466</v>
      </c>
    </row>
    <row r="1556" spans="1:13">
      <c r="A1556">
        <v>1373</v>
      </c>
      <c r="B1556">
        <v>8015</v>
      </c>
      <c r="C15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56" s="32">
        <v>46184</v>
      </c>
      <c r="E15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56">
        <v>1</v>
      </c>
      <c r="I1556">
        <f>(salidas26[[#This Row],[CANT JUEGOS ]]*salidas26[[#This Row],[PRECIO JUEGO]])</f>
        <v>60</v>
      </c>
      <c r="J1556">
        <f>(salidas26[[#This Row],[CANT BARRAS]]*salidas26[[#This Row],[PRECIO BARRA]])</f>
        <v>0</v>
      </c>
      <c r="K1556">
        <v>50</v>
      </c>
      <c r="L1556" t="s">
        <v>465</v>
      </c>
      <c r="M1556" t="s">
        <v>466</v>
      </c>
    </row>
    <row r="1557" spans="1:13">
      <c r="A1557">
        <v>1374</v>
      </c>
      <c r="B1557" t="s">
        <v>858</v>
      </c>
      <c r="C15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SUE 9500</v>
      </c>
      <c r="D1557" s="32">
        <v>46184</v>
      </c>
      <c r="E15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55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557">
        <v>1</v>
      </c>
      <c r="I1557">
        <f>(salidas26[[#This Row],[CANT JUEGOS ]]*salidas26[[#This Row],[PRECIO JUEGO]])</f>
        <v>420</v>
      </c>
      <c r="J1557" t="e">
        <f>(salidas26[[#This Row],[CANT BARRAS]]*salidas26[[#This Row],[PRECIO BARRA]])</f>
        <v>#VALUE!</v>
      </c>
      <c r="K1557">
        <v>400</v>
      </c>
      <c r="L1557" t="s">
        <v>496</v>
      </c>
      <c r="M1557" t="s">
        <v>526</v>
      </c>
    </row>
    <row r="1558" spans="1:13">
      <c r="A1558">
        <v>1375</v>
      </c>
      <c r="B1558">
        <v>6000</v>
      </c>
      <c r="C15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558" s="32">
        <v>46184</v>
      </c>
      <c r="E15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58">
        <v>1</v>
      </c>
      <c r="I1558">
        <f>(salidas26[[#This Row],[CANT JUEGOS ]]*salidas26[[#This Row],[PRECIO JUEGO]])</f>
        <v>60</v>
      </c>
      <c r="J1558">
        <f>(salidas26[[#This Row],[CANT BARRAS]]*salidas26[[#This Row],[PRECIO BARRA]])</f>
        <v>0</v>
      </c>
      <c r="K1558">
        <v>50</v>
      </c>
      <c r="L1558" t="s">
        <v>496</v>
      </c>
      <c r="M1558" t="s">
        <v>916</v>
      </c>
    </row>
    <row r="1559" spans="1:13">
      <c r="A1559">
        <v>1376</v>
      </c>
      <c r="B1559">
        <v>3027</v>
      </c>
      <c r="C15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50U6600 5L/9B</v>
      </c>
      <c r="D1559" s="32">
        <v>46184</v>
      </c>
      <c r="E15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5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1559">
        <v>1</v>
      </c>
      <c r="I1559">
        <f>(salidas26[[#This Row],[CANT JUEGOS ]]*salidas26[[#This Row],[PRECIO JUEGO]])</f>
        <v>280</v>
      </c>
      <c r="J1559">
        <f>(salidas26[[#This Row],[CANT BARRAS]]*salidas26[[#This Row],[PRECIO BARRA]])</f>
        <v>0</v>
      </c>
      <c r="K1559">
        <v>224</v>
      </c>
      <c r="L1559" t="s">
        <v>465</v>
      </c>
      <c r="M1559" t="s">
        <v>497</v>
      </c>
    </row>
    <row r="1560" spans="1:13">
      <c r="A1560">
        <v>1377</v>
      </c>
      <c r="B1560">
        <v>8066</v>
      </c>
      <c r="C15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CHIQ 8L/4B</v>
      </c>
      <c r="D1560" s="32">
        <v>46184</v>
      </c>
      <c r="E15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560">
        <v>1</v>
      </c>
      <c r="I1560">
        <f>(salidas26[[#This Row],[CANT JUEGOS ]]*salidas26[[#This Row],[PRECIO JUEGO]])</f>
        <v>250</v>
      </c>
      <c r="J1560">
        <f>(salidas26[[#This Row],[CANT BARRAS]]*salidas26[[#This Row],[PRECIO BARRA]])</f>
        <v>0</v>
      </c>
      <c r="K1560">
        <v>200</v>
      </c>
      <c r="L1560" t="s">
        <v>465</v>
      </c>
      <c r="M1560" t="s">
        <v>497</v>
      </c>
    </row>
    <row r="1561" spans="1:13">
      <c r="A1561">
        <v>1378</v>
      </c>
      <c r="B1561">
        <v>9002</v>
      </c>
      <c r="C15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 KB527 14B/7L</v>
      </c>
      <c r="D1561" s="32">
        <v>46184</v>
      </c>
      <c r="E15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5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32.142857142857146</v>
      </c>
      <c r="G1561">
        <v>1</v>
      </c>
      <c r="I1561">
        <f>(salidas26[[#This Row],[CANT JUEGOS ]]*salidas26[[#This Row],[PRECIO JUEGO]])</f>
        <v>450</v>
      </c>
      <c r="J1561">
        <f>(salidas26[[#This Row],[CANT BARRAS]]*salidas26[[#This Row],[PRECIO BARRA]])</f>
        <v>0</v>
      </c>
      <c r="K1561">
        <v>430</v>
      </c>
      <c r="L1561" t="s">
        <v>465</v>
      </c>
      <c r="M1561" t="s">
        <v>481</v>
      </c>
    </row>
    <row r="1562" spans="1:13">
      <c r="A1562">
        <v>1379</v>
      </c>
      <c r="B1562">
        <v>2000</v>
      </c>
      <c r="C15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562" s="32">
        <v>46184</v>
      </c>
      <c r="E15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5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562">
        <v>1</v>
      </c>
      <c r="I1562">
        <f>(salidas26[[#This Row],[CANT JUEGOS ]]*salidas26[[#This Row],[PRECIO JUEGO]])</f>
        <v>80</v>
      </c>
      <c r="J1562">
        <f>(salidas26[[#This Row],[CANT BARRAS]]*salidas26[[#This Row],[PRECIO BARRA]])</f>
        <v>0</v>
      </c>
      <c r="K1562">
        <v>70</v>
      </c>
      <c r="L1562" t="s">
        <v>496</v>
      </c>
      <c r="M1562" t="s">
        <v>474</v>
      </c>
    </row>
    <row r="1563" spans="1:13">
      <c r="A1563">
        <v>1380</v>
      </c>
      <c r="B1563">
        <v>8082</v>
      </c>
      <c r="C15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1563" s="32">
        <v>46184</v>
      </c>
      <c r="E15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56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563">
        <v>1</v>
      </c>
      <c r="I1563">
        <f>(salidas26[[#This Row],[CANT JUEGOS ]]*salidas26[[#This Row],[PRECIO JUEGO]])</f>
        <v>320</v>
      </c>
      <c r="J1563" t="e">
        <f>(salidas26[[#This Row],[CANT BARRAS]]*salidas26[[#This Row],[PRECIO BARRA]])</f>
        <v>#VALUE!</v>
      </c>
      <c r="K1563">
        <v>280</v>
      </c>
      <c r="L1563" t="s">
        <v>496</v>
      </c>
      <c r="M1563" t="s">
        <v>474</v>
      </c>
    </row>
    <row r="1564" spans="1:13">
      <c r="A1564">
        <v>1381</v>
      </c>
      <c r="B1564">
        <v>2012</v>
      </c>
      <c r="C15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564" s="32">
        <v>46184</v>
      </c>
      <c r="E15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64">
        <v>1</v>
      </c>
      <c r="I1564">
        <f>(salidas26[[#This Row],[CANT JUEGOS ]]*salidas26[[#This Row],[PRECIO JUEGO]])</f>
        <v>160</v>
      </c>
      <c r="J1564">
        <f>(salidas26[[#This Row],[CANT BARRAS]]*salidas26[[#This Row],[PRECIO BARRA]])</f>
        <v>0</v>
      </c>
      <c r="K1564">
        <v>150</v>
      </c>
      <c r="L1564" t="s">
        <v>465</v>
      </c>
      <c r="M1564" t="s">
        <v>487</v>
      </c>
    </row>
    <row r="1565" spans="1:13">
      <c r="A1565">
        <v>1382</v>
      </c>
      <c r="B1565">
        <v>6024</v>
      </c>
      <c r="C15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565" s="32">
        <v>46184</v>
      </c>
      <c r="E15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565">
        <v>1</v>
      </c>
      <c r="I1565">
        <f>(salidas26[[#This Row],[CANT JUEGOS ]]*salidas26[[#This Row],[PRECIO JUEGO]])</f>
        <v>300</v>
      </c>
      <c r="J1565">
        <f>(salidas26[[#This Row],[CANT BARRAS]]*salidas26[[#This Row],[PRECIO BARRA]])</f>
        <v>0</v>
      </c>
      <c r="K1565">
        <v>300</v>
      </c>
      <c r="L1565" t="s">
        <v>496</v>
      </c>
      <c r="M1565" t="s">
        <v>707</v>
      </c>
    </row>
    <row r="1566" spans="1:13">
      <c r="A1566">
        <v>1383</v>
      </c>
      <c r="B1566">
        <v>7000</v>
      </c>
      <c r="C15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566" s="32">
        <v>46184</v>
      </c>
      <c r="E15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66">
        <v>1</v>
      </c>
      <c r="I1566">
        <f>(salidas26[[#This Row],[CANT JUEGOS ]]*salidas26[[#This Row],[PRECIO JUEGO]])</f>
        <v>60</v>
      </c>
      <c r="J1566">
        <f>(salidas26[[#This Row],[CANT BARRAS]]*salidas26[[#This Row],[PRECIO BARRA]])</f>
        <v>0</v>
      </c>
      <c r="K1566">
        <v>50</v>
      </c>
      <c r="L1566" t="s">
        <v>465</v>
      </c>
      <c r="M1566" t="s">
        <v>542</v>
      </c>
    </row>
    <row r="1567" spans="1:13">
      <c r="A1567">
        <v>1384</v>
      </c>
      <c r="B1567">
        <v>8055</v>
      </c>
      <c r="C15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567" s="32">
        <v>46184</v>
      </c>
      <c r="E15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567">
        <v>1</v>
      </c>
      <c r="I1567">
        <f>(salidas26[[#This Row],[CANT JUEGOS ]]*salidas26[[#This Row],[PRECIO JUEGO]])</f>
        <v>180</v>
      </c>
      <c r="J1567">
        <f>(salidas26[[#This Row],[CANT BARRAS]]*salidas26[[#This Row],[PRECIO BARRA]])</f>
        <v>0</v>
      </c>
      <c r="K1567">
        <v>160</v>
      </c>
      <c r="L1567" t="s">
        <v>496</v>
      </c>
      <c r="M1567" t="s">
        <v>474</v>
      </c>
    </row>
    <row r="1568" spans="1:13">
      <c r="A1568">
        <v>1385</v>
      </c>
      <c r="B1568">
        <v>8067</v>
      </c>
      <c r="C15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568" s="32">
        <v>46184</v>
      </c>
      <c r="E15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5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568">
        <v>1</v>
      </c>
      <c r="I1568">
        <f>(salidas26[[#This Row],[CANT JUEGOS ]]*salidas26[[#This Row],[PRECIO JUEGO]])</f>
        <v>220</v>
      </c>
      <c r="J1568">
        <f>(salidas26[[#This Row],[CANT BARRAS]]*salidas26[[#This Row],[PRECIO BARRA]])</f>
        <v>0</v>
      </c>
      <c r="K1568">
        <v>220</v>
      </c>
      <c r="L1568" t="s">
        <v>465</v>
      </c>
      <c r="M1568" t="s">
        <v>466</v>
      </c>
    </row>
    <row r="1569" spans="1:13">
      <c r="A1569">
        <v>1386</v>
      </c>
      <c r="B1569">
        <v>2091</v>
      </c>
      <c r="C15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 H6400</v>
      </c>
      <c r="D1569" s="32">
        <v>46184</v>
      </c>
      <c r="E15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700</v>
      </c>
      <c r="F156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569">
        <v>1</v>
      </c>
      <c r="I1569">
        <f>(salidas26[[#This Row],[CANT JUEGOS ]]*salidas26[[#This Row],[PRECIO JUEGO]])</f>
        <v>700</v>
      </c>
      <c r="J1569" t="e">
        <f>(salidas26[[#This Row],[CANT BARRAS]]*salidas26[[#This Row],[PRECIO BARRA]])</f>
        <v>#VALUE!</v>
      </c>
      <c r="K1569">
        <v>650</v>
      </c>
      <c r="L1569" t="s">
        <v>465</v>
      </c>
      <c r="M1569" t="s">
        <v>481</v>
      </c>
    </row>
    <row r="1570" spans="1:13">
      <c r="A1570">
        <v>1387</v>
      </c>
      <c r="B1570">
        <v>8015</v>
      </c>
      <c r="C15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70" s="32">
        <v>46184</v>
      </c>
      <c r="E15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70">
        <v>1</v>
      </c>
      <c r="I1570">
        <f>(salidas26[[#This Row],[CANT JUEGOS ]]*salidas26[[#This Row],[PRECIO JUEGO]])</f>
        <v>60</v>
      </c>
      <c r="J1570">
        <f>(salidas26[[#This Row],[CANT BARRAS]]*salidas26[[#This Row],[PRECIO BARRA]])</f>
        <v>0</v>
      </c>
      <c r="K1570">
        <v>50</v>
      </c>
      <c r="L1570" t="s">
        <v>465</v>
      </c>
      <c r="M1570" t="s">
        <v>523</v>
      </c>
    </row>
    <row r="1571" spans="1:13">
      <c r="A1571">
        <v>1388</v>
      </c>
      <c r="B1571">
        <v>4000</v>
      </c>
      <c r="C15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571" s="32">
        <v>46184</v>
      </c>
      <c r="E15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71">
        <v>1</v>
      </c>
      <c r="I1571">
        <f>(salidas26[[#This Row],[CANT JUEGOS ]]*salidas26[[#This Row],[PRECIO JUEGO]])</f>
        <v>60</v>
      </c>
      <c r="J1571">
        <f>(salidas26[[#This Row],[CANT BARRAS]]*salidas26[[#This Row],[PRECIO BARRA]])</f>
        <v>0</v>
      </c>
      <c r="K1571">
        <v>50</v>
      </c>
      <c r="L1571" t="s">
        <v>465</v>
      </c>
      <c r="M1571" t="s">
        <v>677</v>
      </c>
    </row>
    <row r="1572" spans="1:13">
      <c r="A1572">
        <v>1390</v>
      </c>
      <c r="B1572">
        <v>6022</v>
      </c>
      <c r="C15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572" s="32">
        <v>46185</v>
      </c>
      <c r="E15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572">
        <v>1</v>
      </c>
      <c r="I1572">
        <f>(salidas26[[#This Row],[CANT JUEGOS ]]*salidas26[[#This Row],[PRECIO JUEGO]])</f>
        <v>350</v>
      </c>
      <c r="J1572">
        <f>(salidas26[[#This Row],[CANT BARRAS]]*salidas26[[#This Row],[PRECIO BARRA]])</f>
        <v>0</v>
      </c>
      <c r="K1572">
        <v>350</v>
      </c>
      <c r="L1572" t="s">
        <v>496</v>
      </c>
      <c r="M1572" t="s">
        <v>917</v>
      </c>
    </row>
    <row r="1573" spans="1:13">
      <c r="A1573">
        <v>1391</v>
      </c>
      <c r="B1573">
        <v>2097</v>
      </c>
      <c r="C15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UN65AU8000-65BU8000/2B</v>
      </c>
      <c r="D1573" s="32">
        <v>46185</v>
      </c>
      <c r="E15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5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160</v>
      </c>
      <c r="G1573">
        <v>1</v>
      </c>
      <c r="I1573">
        <f>(salidas26[[#This Row],[CANT JUEGOS ]]*salidas26[[#This Row],[PRECIO JUEGO]])</f>
        <v>320</v>
      </c>
      <c r="J1573">
        <f>(salidas26[[#This Row],[CANT BARRAS]]*salidas26[[#This Row],[PRECIO BARRA]])</f>
        <v>0</v>
      </c>
      <c r="K1573">
        <v>300</v>
      </c>
      <c r="L1573" t="s">
        <v>465</v>
      </c>
      <c r="M1573" t="s">
        <v>526</v>
      </c>
    </row>
    <row r="1574" spans="1:13">
      <c r="A1574">
        <v>1392</v>
      </c>
      <c r="B1574">
        <v>1033</v>
      </c>
      <c r="C15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574" s="32">
        <v>46185</v>
      </c>
      <c r="E15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574">
        <v>1</v>
      </c>
      <c r="I1574">
        <f>(salidas26[[#This Row],[CANT JUEGOS ]]*salidas26[[#This Row],[PRECIO JUEGO]])</f>
        <v>180</v>
      </c>
      <c r="J1574">
        <f>(salidas26[[#This Row],[CANT BARRAS]]*salidas26[[#This Row],[PRECIO BARRA]])</f>
        <v>0</v>
      </c>
      <c r="K1574">
        <v>180</v>
      </c>
      <c r="L1574" t="s">
        <v>465</v>
      </c>
      <c r="M1574" t="s">
        <v>466</v>
      </c>
    </row>
    <row r="1575" spans="1:13">
      <c r="A1575">
        <v>1393</v>
      </c>
      <c r="B1575">
        <v>1075</v>
      </c>
      <c r="C15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49LJ5500-49UJ6300/8B</v>
      </c>
      <c r="D1575" s="32">
        <v>46185</v>
      </c>
      <c r="E15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5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75">
        <v>1</v>
      </c>
      <c r="I1575">
        <f>(salidas26[[#This Row],[CANT JUEGOS ]]*salidas26[[#This Row],[PRECIO JUEGO]])</f>
        <v>240</v>
      </c>
      <c r="J1575">
        <f>(salidas26[[#This Row],[CANT BARRAS]]*salidas26[[#This Row],[PRECIO BARRA]])</f>
        <v>0</v>
      </c>
      <c r="K1575">
        <v>220</v>
      </c>
      <c r="L1575" t="s">
        <v>465</v>
      </c>
      <c r="M1575" t="s">
        <v>466</v>
      </c>
    </row>
    <row r="1576" spans="1:13">
      <c r="A1576">
        <v>1394</v>
      </c>
      <c r="B1576">
        <v>1033</v>
      </c>
      <c r="C15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576" s="32">
        <v>46185</v>
      </c>
      <c r="E15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576">
        <v>1</v>
      </c>
      <c r="I1576">
        <f>(salidas26[[#This Row],[CANT JUEGOS ]]*salidas26[[#This Row],[PRECIO JUEGO]])</f>
        <v>180</v>
      </c>
      <c r="J1576">
        <f>(salidas26[[#This Row],[CANT BARRAS]]*salidas26[[#This Row],[PRECIO BARRA]])</f>
        <v>0</v>
      </c>
      <c r="K1576">
        <v>180</v>
      </c>
      <c r="L1576" t="s">
        <v>465</v>
      </c>
      <c r="M1576" t="s">
        <v>922</v>
      </c>
    </row>
    <row r="1577" spans="1:13">
      <c r="A1577">
        <v>1395</v>
      </c>
      <c r="B1577">
        <v>4003</v>
      </c>
      <c r="C15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577" s="32">
        <v>46185</v>
      </c>
      <c r="E15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77">
        <v>1</v>
      </c>
      <c r="I1577">
        <f>(salidas26[[#This Row],[CANT JUEGOS ]]*salidas26[[#This Row],[PRECIO JUEGO]])</f>
        <v>90</v>
      </c>
      <c r="J1577">
        <f>(salidas26[[#This Row],[CANT BARRAS]]*salidas26[[#This Row],[PRECIO BARRA]])</f>
        <v>0</v>
      </c>
      <c r="K1577">
        <v>80</v>
      </c>
      <c r="L1577" t="s">
        <v>465</v>
      </c>
      <c r="M1577" t="s">
        <v>483</v>
      </c>
    </row>
    <row r="1578" spans="1:13">
      <c r="A1578">
        <v>1396</v>
      </c>
      <c r="B1578">
        <v>2033</v>
      </c>
      <c r="C15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UN46F5000 - F6400 /16B</v>
      </c>
      <c r="D1578" s="32">
        <v>46185</v>
      </c>
      <c r="E15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21.875</v>
      </c>
      <c r="G1578">
        <v>1</v>
      </c>
      <c r="I1578">
        <f>(salidas26[[#This Row],[CANT JUEGOS ]]*salidas26[[#This Row],[PRECIO JUEGO]])</f>
        <v>350</v>
      </c>
      <c r="J1578">
        <f>(salidas26[[#This Row],[CANT BARRAS]]*salidas26[[#This Row],[PRECIO BARRA]])</f>
        <v>0</v>
      </c>
      <c r="K1578">
        <v>330</v>
      </c>
      <c r="L1578" t="s">
        <v>496</v>
      </c>
      <c r="M1578" t="s">
        <v>547</v>
      </c>
    </row>
    <row r="1579" spans="1:13">
      <c r="A1579">
        <v>1397</v>
      </c>
      <c r="B1579">
        <v>8067</v>
      </c>
      <c r="C15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579" s="32">
        <v>46185</v>
      </c>
      <c r="E15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5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579">
        <v>1</v>
      </c>
      <c r="I1579">
        <f>(salidas26[[#This Row],[CANT JUEGOS ]]*salidas26[[#This Row],[PRECIO JUEGO]])</f>
        <v>220</v>
      </c>
      <c r="J1579">
        <f>(salidas26[[#This Row],[CANT BARRAS]]*salidas26[[#This Row],[PRECIO BARRA]])</f>
        <v>0</v>
      </c>
      <c r="K1579">
        <v>220</v>
      </c>
      <c r="L1579" t="s">
        <v>465</v>
      </c>
      <c r="M1579" t="s">
        <v>466</v>
      </c>
    </row>
    <row r="1580" spans="1:13">
      <c r="A1580">
        <v>1398</v>
      </c>
      <c r="B1580">
        <v>6022</v>
      </c>
      <c r="C15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580" s="32">
        <v>46185</v>
      </c>
      <c r="E15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5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580">
        <v>1</v>
      </c>
      <c r="I1580">
        <f>(salidas26[[#This Row],[CANT JUEGOS ]]*salidas26[[#This Row],[PRECIO JUEGO]])</f>
        <v>350</v>
      </c>
      <c r="J1580">
        <f>(salidas26[[#This Row],[CANT BARRAS]]*salidas26[[#This Row],[PRECIO BARRA]])</f>
        <v>0</v>
      </c>
      <c r="K1580">
        <v>320</v>
      </c>
      <c r="L1580" t="s">
        <v>465</v>
      </c>
      <c r="M1580" t="s">
        <v>466</v>
      </c>
    </row>
    <row r="1581" spans="1:13">
      <c r="A1581">
        <v>1399</v>
      </c>
      <c r="B1581">
        <v>1012</v>
      </c>
      <c r="C15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581" s="32">
        <v>46185</v>
      </c>
      <c r="E15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81">
        <v>1</v>
      </c>
      <c r="I1581">
        <f>(salidas26[[#This Row],[CANT JUEGOS ]]*salidas26[[#This Row],[PRECIO JUEGO]])</f>
        <v>90</v>
      </c>
      <c r="J1581">
        <f>(salidas26[[#This Row],[CANT BARRAS]]*salidas26[[#This Row],[PRECIO BARRA]])</f>
        <v>0</v>
      </c>
      <c r="K1581">
        <v>90</v>
      </c>
      <c r="L1581" t="s">
        <v>465</v>
      </c>
      <c r="M1581" t="s">
        <v>466</v>
      </c>
    </row>
    <row r="1582" spans="1:13">
      <c r="A1582">
        <v>1400</v>
      </c>
      <c r="B1582">
        <v>2095</v>
      </c>
      <c r="C15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UN60AU8000G-60BU8000/2B</v>
      </c>
      <c r="D1582" s="32">
        <v>46185</v>
      </c>
      <c r="E15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582">
        <v>1</v>
      </c>
      <c r="I1582">
        <f>(salidas26[[#This Row],[CANT JUEGOS ]]*salidas26[[#This Row],[PRECIO JUEGO]])</f>
        <v>250</v>
      </c>
      <c r="J1582">
        <f>(salidas26[[#This Row],[CANT BARRAS]]*salidas26[[#This Row],[PRECIO BARRA]])</f>
        <v>0</v>
      </c>
      <c r="K1582">
        <v>250</v>
      </c>
      <c r="L1582" t="s">
        <v>496</v>
      </c>
      <c r="M1582" t="s">
        <v>466</v>
      </c>
    </row>
    <row r="1583" spans="1:13">
      <c r="A1583">
        <v>1401</v>
      </c>
      <c r="B1583">
        <v>8012</v>
      </c>
      <c r="C15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CHANCHONG CD1000 8L/3V/DIF. 180/3B 
32 CHANCHONG CD2000U 4B A 150 BS</v>
      </c>
      <c r="D1583" s="32">
        <v>46186</v>
      </c>
      <c r="E15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5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583">
        <v>1</v>
      </c>
      <c r="I1583">
        <f>(salidas26[[#This Row],[CANT JUEGOS ]]*salidas26[[#This Row],[PRECIO JUEGO]])</f>
        <v>100</v>
      </c>
      <c r="J1583">
        <f>(salidas26[[#This Row],[CANT BARRAS]]*salidas26[[#This Row],[PRECIO BARRA]])</f>
        <v>0</v>
      </c>
      <c r="K1583">
        <v>100</v>
      </c>
      <c r="L1583" t="s">
        <v>465</v>
      </c>
      <c r="M1583" t="s">
        <v>470</v>
      </c>
    </row>
    <row r="1584" spans="1:13">
      <c r="A1584">
        <v>1402</v>
      </c>
      <c r="B1584">
        <v>6027</v>
      </c>
      <c r="C15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584" s="32">
        <v>46186</v>
      </c>
      <c r="E15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5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584">
        <v>1</v>
      </c>
      <c r="H1584">
        <v>3</v>
      </c>
      <c r="I1584">
        <f>(salidas26[[#This Row],[CANT JUEGOS ]]*salidas26[[#This Row],[PRECIO JUEGO]])</f>
        <v>280</v>
      </c>
      <c r="J1584">
        <f>(salidas26[[#This Row],[CANT BARRAS]]*salidas26[[#This Row],[PRECIO BARRA]])</f>
        <v>84</v>
      </c>
      <c r="K1584">
        <v>80</v>
      </c>
      <c r="L1584" t="s">
        <v>465</v>
      </c>
      <c r="M1584" t="s">
        <v>470</v>
      </c>
    </row>
    <row r="1585" spans="1:13">
      <c r="A1585">
        <v>1403</v>
      </c>
      <c r="B1585">
        <v>1033</v>
      </c>
      <c r="C15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585" s="32">
        <v>46186</v>
      </c>
      <c r="E15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5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585">
        <v>1</v>
      </c>
      <c r="I1585">
        <f>(salidas26[[#This Row],[CANT JUEGOS ]]*salidas26[[#This Row],[PRECIO JUEGO]])</f>
        <v>180</v>
      </c>
      <c r="J1585">
        <f>(salidas26[[#This Row],[CANT BARRAS]]*salidas26[[#This Row],[PRECIO BARRA]])</f>
        <v>0</v>
      </c>
      <c r="K1585">
        <v>180</v>
      </c>
      <c r="L1585" t="s">
        <v>496</v>
      </c>
      <c r="M1585" t="s">
        <v>466</v>
      </c>
    </row>
    <row r="1586" spans="1:13">
      <c r="A1586">
        <v>1405</v>
      </c>
      <c r="B1586">
        <v>8067</v>
      </c>
      <c r="C15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586" s="32">
        <v>46186</v>
      </c>
      <c r="E15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5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586">
        <v>1</v>
      </c>
      <c r="I1586">
        <f>(salidas26[[#This Row],[CANT JUEGOS ]]*salidas26[[#This Row],[PRECIO JUEGO]])</f>
        <v>220</v>
      </c>
      <c r="J1586">
        <f>(salidas26[[#This Row],[CANT BARRAS]]*salidas26[[#This Row],[PRECIO BARRA]])</f>
        <v>0</v>
      </c>
      <c r="K1586">
        <v>160</v>
      </c>
      <c r="L1586" t="s">
        <v>465</v>
      </c>
      <c r="M1586" t="s">
        <v>466</v>
      </c>
    </row>
    <row r="1587" spans="1:13">
      <c r="A1587">
        <v>1406</v>
      </c>
      <c r="B1587">
        <v>2012</v>
      </c>
      <c r="C15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UN40J5000 -40J5200-40M5000 8L/3B</v>
      </c>
      <c r="D1587" s="32">
        <v>46186</v>
      </c>
      <c r="E15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5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587">
        <v>1</v>
      </c>
      <c r="I1587">
        <f>(salidas26[[#This Row],[CANT JUEGOS ]]*salidas26[[#This Row],[PRECIO JUEGO]])</f>
        <v>160</v>
      </c>
      <c r="J1587">
        <f>(salidas26[[#This Row],[CANT BARRAS]]*salidas26[[#This Row],[PRECIO BARRA]])</f>
        <v>0</v>
      </c>
      <c r="K1587">
        <v>160</v>
      </c>
      <c r="L1587" t="s">
        <v>496</v>
      </c>
      <c r="M1587" t="s">
        <v>466</v>
      </c>
    </row>
    <row r="1588" spans="1:13">
      <c r="A1588">
        <v>1407</v>
      </c>
      <c r="B1588">
        <v>8057</v>
      </c>
      <c r="C15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588" s="32">
        <v>46186</v>
      </c>
      <c r="E15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5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588">
        <v>1</v>
      </c>
      <c r="I1588">
        <f>(salidas26[[#This Row],[CANT JUEGOS ]]*salidas26[[#This Row],[PRECIO JUEGO]])</f>
        <v>200</v>
      </c>
      <c r="J1588">
        <f>(salidas26[[#This Row],[CANT BARRAS]]*salidas26[[#This Row],[PRECIO BARRA]])</f>
        <v>0</v>
      </c>
      <c r="K1588">
        <v>200</v>
      </c>
      <c r="L1588" t="s">
        <v>465</v>
      </c>
      <c r="M1588" t="s">
        <v>523</v>
      </c>
    </row>
    <row r="1589" spans="1:13">
      <c r="A1589">
        <v>1408</v>
      </c>
      <c r="B1589">
        <v>2064</v>
      </c>
      <c r="C15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1589" s="32">
        <v>46188</v>
      </c>
      <c r="E15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1589">
        <v>1</v>
      </c>
      <c r="I1589">
        <f>(salidas26[[#This Row],[CANT JUEGOS ]]*salidas26[[#This Row],[PRECIO JUEGO]])</f>
        <v>250</v>
      </c>
      <c r="J1589">
        <f>(salidas26[[#This Row],[CANT BARRAS]]*salidas26[[#This Row],[PRECIO BARRA]])</f>
        <v>0</v>
      </c>
      <c r="K1589">
        <v>220</v>
      </c>
      <c r="L1589" t="s">
        <v>496</v>
      </c>
      <c r="M1589" t="s">
        <v>547</v>
      </c>
    </row>
    <row r="1590" spans="1:13">
      <c r="A1590">
        <v>1409</v>
      </c>
      <c r="B1590">
        <v>2072</v>
      </c>
      <c r="C15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UN55H6400/12B</v>
      </c>
      <c r="D1590" s="32">
        <v>46188</v>
      </c>
      <c r="E15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480</v>
      </c>
      <c r="F15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590">
        <v>1</v>
      </c>
      <c r="H1590">
        <v>8</v>
      </c>
      <c r="I1590">
        <f>(salidas26[[#This Row],[CANT JUEGOS ]]*salidas26[[#This Row],[PRECIO JUEGO]])</f>
        <v>480</v>
      </c>
      <c r="J1590">
        <f>(salidas26[[#This Row],[CANT BARRAS]]*salidas26[[#This Row],[PRECIO BARRA]])</f>
        <v>320</v>
      </c>
      <c r="K1590">
        <v>320</v>
      </c>
      <c r="L1590" t="s">
        <v>496</v>
      </c>
      <c r="M1590" t="s">
        <v>540</v>
      </c>
    </row>
    <row r="1591" spans="1:13">
      <c r="A1591">
        <v>1410</v>
      </c>
      <c r="B1591">
        <v>8100</v>
      </c>
      <c r="C15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591" s="32">
        <v>46188</v>
      </c>
      <c r="E15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5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591">
        <v>1</v>
      </c>
      <c r="I1591">
        <f>(salidas26[[#This Row],[CANT JUEGOS ]]*salidas26[[#This Row],[PRECIO JUEGO]])</f>
        <v>300</v>
      </c>
      <c r="J1591">
        <f>(salidas26[[#This Row],[CANT BARRAS]]*salidas26[[#This Row],[PRECIO BARRA]])</f>
        <v>0</v>
      </c>
      <c r="K1591">
        <v>300</v>
      </c>
      <c r="L1591" t="s">
        <v>465</v>
      </c>
      <c r="M1591" t="s">
        <v>481</v>
      </c>
    </row>
    <row r="1592" spans="1:13">
      <c r="A1592">
        <v>1411</v>
      </c>
      <c r="B1592">
        <v>1012</v>
      </c>
      <c r="C15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592" s="32">
        <v>46188</v>
      </c>
      <c r="E15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92">
        <v>1</v>
      </c>
      <c r="I1592">
        <f>(salidas26[[#This Row],[CANT JUEGOS ]]*salidas26[[#This Row],[PRECIO JUEGO]])</f>
        <v>90</v>
      </c>
      <c r="J1592">
        <f>(salidas26[[#This Row],[CANT BARRAS]]*salidas26[[#This Row],[PRECIO BARRA]])</f>
        <v>0</v>
      </c>
      <c r="K1592">
        <v>80</v>
      </c>
      <c r="L1592" t="s">
        <v>496</v>
      </c>
      <c r="M1592" t="s">
        <v>474</v>
      </c>
    </row>
    <row r="1593" spans="1:13">
      <c r="A1593">
        <v>1412</v>
      </c>
      <c r="B1593">
        <v>8015</v>
      </c>
      <c r="C15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593" s="32">
        <v>46188</v>
      </c>
      <c r="E15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5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93">
        <v>1</v>
      </c>
      <c r="I1593">
        <f>(salidas26[[#This Row],[CANT JUEGOS ]]*salidas26[[#This Row],[PRECIO JUEGO]])</f>
        <v>60</v>
      </c>
      <c r="J1593">
        <f>(salidas26[[#This Row],[CANT BARRAS]]*salidas26[[#This Row],[PRECIO BARRA]])</f>
        <v>0</v>
      </c>
      <c r="K1593">
        <v>50</v>
      </c>
      <c r="L1593" t="s">
        <v>496</v>
      </c>
      <c r="M1593" t="s">
        <v>474</v>
      </c>
    </row>
    <row r="1594" spans="1:13">
      <c r="A1594">
        <v>1413</v>
      </c>
      <c r="B1594">
        <v>2064</v>
      </c>
      <c r="C15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UN50AU7000G/6B</v>
      </c>
      <c r="D1594" s="32">
        <v>46188</v>
      </c>
      <c r="E15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5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41.666666666666664</v>
      </c>
      <c r="G1594">
        <v>1</v>
      </c>
      <c r="I1594">
        <f>(salidas26[[#This Row],[CANT JUEGOS ]]*salidas26[[#This Row],[PRECIO JUEGO]])</f>
        <v>250</v>
      </c>
      <c r="J1594">
        <f>(salidas26[[#This Row],[CANT BARRAS]]*salidas26[[#This Row],[PRECIO BARRA]])</f>
        <v>0</v>
      </c>
      <c r="K1594">
        <v>220</v>
      </c>
      <c r="L1594" t="s">
        <v>496</v>
      </c>
      <c r="M1594" t="s">
        <v>474</v>
      </c>
    </row>
    <row r="1595" spans="1:13">
      <c r="A1595">
        <v>1414</v>
      </c>
      <c r="B1595">
        <v>2075</v>
      </c>
      <c r="C15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595" s="32">
        <v>46188</v>
      </c>
      <c r="E15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5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595">
        <v>1</v>
      </c>
      <c r="I1595">
        <f>(salidas26[[#This Row],[CANT JUEGOS ]]*salidas26[[#This Row],[PRECIO JUEGO]])</f>
        <v>200</v>
      </c>
      <c r="J1595">
        <f>(salidas26[[#This Row],[CANT BARRAS]]*salidas26[[#This Row],[PRECIO BARRA]])</f>
        <v>0</v>
      </c>
      <c r="K1595">
        <v>170</v>
      </c>
      <c r="L1595" t="s">
        <v>496</v>
      </c>
      <c r="M1595" t="s">
        <v>474</v>
      </c>
    </row>
    <row r="1596" spans="1:13">
      <c r="A1596">
        <v>1415</v>
      </c>
      <c r="B1596">
        <v>3000</v>
      </c>
      <c r="C15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596" s="32">
        <v>46188</v>
      </c>
      <c r="E15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96">
        <v>1</v>
      </c>
      <c r="I1596">
        <f>(salidas26[[#This Row],[CANT JUEGOS ]]*salidas26[[#This Row],[PRECIO JUEGO]])</f>
        <v>90</v>
      </c>
      <c r="J1596">
        <f>(salidas26[[#This Row],[CANT BARRAS]]*salidas26[[#This Row],[PRECIO BARRA]])</f>
        <v>0</v>
      </c>
      <c r="K1596">
        <v>80</v>
      </c>
      <c r="L1596" t="s">
        <v>496</v>
      </c>
      <c r="M1596" t="s">
        <v>471</v>
      </c>
    </row>
    <row r="1597" spans="1:13">
      <c r="A1597">
        <v>1416</v>
      </c>
      <c r="B1597">
        <v>1012</v>
      </c>
      <c r="C15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597" s="32">
        <v>46188</v>
      </c>
      <c r="E15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5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597">
        <v>1</v>
      </c>
      <c r="I1597">
        <f>(salidas26[[#This Row],[CANT JUEGOS ]]*salidas26[[#This Row],[PRECIO JUEGO]])</f>
        <v>90</v>
      </c>
      <c r="J1597">
        <f>(salidas26[[#This Row],[CANT BARRAS]]*salidas26[[#This Row],[PRECIO BARRA]])</f>
        <v>0</v>
      </c>
      <c r="K1597">
        <v>80</v>
      </c>
      <c r="L1597" t="s">
        <v>496</v>
      </c>
      <c r="M1597" t="s">
        <v>471</v>
      </c>
    </row>
    <row r="1598" spans="1:13">
      <c r="A1598">
        <v>1417</v>
      </c>
      <c r="B1598">
        <v>2000</v>
      </c>
      <c r="C15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598" s="32">
        <v>46188</v>
      </c>
      <c r="E15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5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598">
        <v>1</v>
      </c>
      <c r="I1598">
        <f>(salidas26[[#This Row],[CANT JUEGOS ]]*salidas26[[#This Row],[PRECIO JUEGO]])</f>
        <v>80</v>
      </c>
      <c r="J1598">
        <f>(salidas26[[#This Row],[CANT BARRAS]]*salidas26[[#This Row],[PRECIO BARRA]])</f>
        <v>0</v>
      </c>
      <c r="K1598">
        <v>50</v>
      </c>
      <c r="L1598" t="s">
        <v>465</v>
      </c>
      <c r="M1598" t="s">
        <v>918</v>
      </c>
    </row>
    <row r="1599" spans="1:13">
      <c r="A1599">
        <v>1418</v>
      </c>
      <c r="B1599">
        <v>8031</v>
      </c>
      <c r="C15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7L/3V/3B DIF 180º TV6368LSMIS</v>
      </c>
      <c r="D1599" s="32">
        <v>46188</v>
      </c>
      <c r="E15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5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599">
        <v>4</v>
      </c>
      <c r="I1599">
        <f>(salidas26[[#This Row],[CANT JUEGOS ]]*salidas26[[#This Row],[PRECIO JUEGO]])</f>
        <v>600</v>
      </c>
      <c r="J1599">
        <f>(salidas26[[#This Row],[CANT BARRAS]]*salidas26[[#This Row],[PRECIO BARRA]])</f>
        <v>0</v>
      </c>
      <c r="K1599">
        <v>500</v>
      </c>
      <c r="L1599" t="s">
        <v>465</v>
      </c>
      <c r="M1599" t="s">
        <v>466</v>
      </c>
    </row>
    <row r="1600" spans="1:13">
      <c r="A1600">
        <v>1419</v>
      </c>
      <c r="B1600">
        <v>4009</v>
      </c>
      <c r="C16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600" s="32">
        <v>46188</v>
      </c>
      <c r="E16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600">
        <v>1</v>
      </c>
      <c r="I1600">
        <f>(salidas26[[#This Row],[CANT JUEGOS ]]*salidas26[[#This Row],[PRECIO JUEGO]])</f>
        <v>160</v>
      </c>
      <c r="J1600">
        <f>(salidas26[[#This Row],[CANT BARRAS]]*salidas26[[#This Row],[PRECIO BARRA]])</f>
        <v>0</v>
      </c>
      <c r="K1600">
        <v>128</v>
      </c>
      <c r="L1600" t="s">
        <v>465</v>
      </c>
      <c r="M1600" t="s">
        <v>497</v>
      </c>
    </row>
    <row r="1601" spans="1:13">
      <c r="A1601">
        <v>1420</v>
      </c>
      <c r="B1601">
        <v>5001</v>
      </c>
      <c r="C16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KDL-32R405 SONY/4B</v>
      </c>
      <c r="D1601" s="32">
        <v>46188</v>
      </c>
      <c r="E16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6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601">
        <v>1</v>
      </c>
      <c r="I1601">
        <f>(salidas26[[#This Row],[CANT JUEGOS ]]*salidas26[[#This Row],[PRECIO JUEGO]])</f>
        <v>100</v>
      </c>
      <c r="J1601">
        <f>(salidas26[[#This Row],[CANT BARRAS]]*salidas26[[#This Row],[PRECIO BARRA]])</f>
        <v>0</v>
      </c>
      <c r="K1601">
        <v>80</v>
      </c>
      <c r="L1601" t="s">
        <v>465</v>
      </c>
      <c r="M1601" t="s">
        <v>497</v>
      </c>
    </row>
    <row r="1602" spans="1:13">
      <c r="A1602">
        <v>1421</v>
      </c>
      <c r="B1602">
        <v>1066</v>
      </c>
      <c r="C16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47LA6130-12B/3V</v>
      </c>
      <c r="D1602" s="32">
        <v>46188</v>
      </c>
      <c r="E16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6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602">
        <v>1</v>
      </c>
      <c r="I1602">
        <f>(salidas26[[#This Row],[CANT JUEGOS ]]*salidas26[[#This Row],[PRECIO JUEGO]])</f>
        <v>240</v>
      </c>
      <c r="J1602">
        <f>(salidas26[[#This Row],[CANT BARRAS]]*salidas26[[#This Row],[PRECIO BARRA]])</f>
        <v>0</v>
      </c>
      <c r="K1602">
        <v>192</v>
      </c>
      <c r="L1602" t="s">
        <v>465</v>
      </c>
      <c r="M1602" t="s">
        <v>497</v>
      </c>
    </row>
    <row r="1603" spans="1:13">
      <c r="A1603">
        <v>1422</v>
      </c>
      <c r="B1603">
        <v>1036</v>
      </c>
      <c r="C16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603" s="32">
        <v>46188</v>
      </c>
      <c r="E16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603">
        <v>1</v>
      </c>
      <c r="I1603">
        <f>(salidas26[[#This Row],[CANT JUEGOS ]]*salidas26[[#This Row],[PRECIO JUEGO]])</f>
        <v>180</v>
      </c>
      <c r="J1603">
        <f>(salidas26[[#This Row],[CANT BARRAS]]*salidas26[[#This Row],[PRECIO BARRA]])</f>
        <v>0</v>
      </c>
      <c r="K1603">
        <v>170</v>
      </c>
      <c r="L1603" t="s">
        <v>465</v>
      </c>
      <c r="M1603" t="s">
        <v>507</v>
      </c>
    </row>
    <row r="1604" spans="1:13">
      <c r="A1604">
        <v>1423</v>
      </c>
      <c r="B1604">
        <v>6000</v>
      </c>
      <c r="C16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604" s="32">
        <v>46188</v>
      </c>
      <c r="E16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04">
        <v>1</v>
      </c>
      <c r="I1604">
        <f>(salidas26[[#This Row],[CANT JUEGOS ]]*salidas26[[#This Row],[PRECIO JUEGO]])</f>
        <v>60</v>
      </c>
      <c r="J1604">
        <f>(salidas26[[#This Row],[CANT BARRAS]]*salidas26[[#This Row],[PRECIO BARRA]])</f>
        <v>0</v>
      </c>
      <c r="K1604">
        <v>50</v>
      </c>
      <c r="L1604" t="s">
        <v>465</v>
      </c>
      <c r="M1604" t="s">
        <v>542</v>
      </c>
    </row>
    <row r="1605" spans="1:13">
      <c r="A1605">
        <v>1424</v>
      </c>
      <c r="B1605">
        <v>2036</v>
      </c>
      <c r="C16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605" s="32">
        <v>46188</v>
      </c>
      <c r="E16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605">
        <v>1</v>
      </c>
      <c r="I1605">
        <f>(salidas26[[#This Row],[CANT JUEGOS ]]*salidas26[[#This Row],[PRECIO JUEGO]])</f>
        <v>220</v>
      </c>
      <c r="J1605">
        <f>(salidas26[[#This Row],[CANT BARRAS]]*salidas26[[#This Row],[PRECIO BARRA]])</f>
        <v>0</v>
      </c>
      <c r="K1605">
        <v>220</v>
      </c>
      <c r="L1605" t="s">
        <v>496</v>
      </c>
      <c r="M1605" t="s">
        <v>485</v>
      </c>
    </row>
    <row r="1606" spans="1:13">
      <c r="A1606">
        <v>1425</v>
      </c>
      <c r="B1606">
        <v>1015</v>
      </c>
      <c r="C16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606" s="32">
        <v>46188</v>
      </c>
      <c r="E16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6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606">
        <v>1</v>
      </c>
      <c r="I1606">
        <f>(salidas26[[#This Row],[CANT JUEGOS ]]*salidas26[[#This Row],[PRECIO JUEGO]])</f>
        <v>80</v>
      </c>
      <c r="J1606">
        <f>(salidas26[[#This Row],[CANT BARRAS]]*salidas26[[#This Row],[PRECIO BARRA]])</f>
        <v>0</v>
      </c>
      <c r="K1606">
        <v>98</v>
      </c>
      <c r="L1606" t="s">
        <v>496</v>
      </c>
      <c r="M1606" t="s">
        <v>485</v>
      </c>
    </row>
    <row r="1607" spans="1:13">
      <c r="A1607">
        <v>1426</v>
      </c>
      <c r="B1607">
        <v>2036</v>
      </c>
      <c r="C16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607" s="32">
        <v>46188</v>
      </c>
      <c r="E16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607">
        <v>1</v>
      </c>
      <c r="I1607">
        <f>(salidas26[[#This Row],[CANT JUEGOS ]]*salidas26[[#This Row],[PRECIO JUEGO]])</f>
        <v>220</v>
      </c>
      <c r="J1607">
        <f>(salidas26[[#This Row],[CANT BARRAS]]*salidas26[[#This Row],[PRECIO BARRA]])</f>
        <v>0</v>
      </c>
      <c r="K1607">
        <v>200</v>
      </c>
      <c r="L1607" t="s">
        <v>496</v>
      </c>
      <c r="M1607" t="s">
        <v>474</v>
      </c>
    </row>
    <row r="1608" spans="1:13">
      <c r="A1608">
        <v>1427</v>
      </c>
      <c r="B1608">
        <v>1036</v>
      </c>
      <c r="C16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42LA6130-42LN5400  10B/3V</v>
      </c>
      <c r="D1608" s="32">
        <v>46188</v>
      </c>
      <c r="E16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18</v>
      </c>
      <c r="G1608">
        <v>1</v>
      </c>
      <c r="I1608">
        <f>(salidas26[[#This Row],[CANT JUEGOS ]]*salidas26[[#This Row],[PRECIO JUEGO]])</f>
        <v>180</v>
      </c>
      <c r="J1608">
        <f>(salidas26[[#This Row],[CANT BARRAS]]*salidas26[[#This Row],[PRECIO BARRA]])</f>
        <v>0</v>
      </c>
      <c r="K1608">
        <v>180</v>
      </c>
      <c r="L1608" t="s">
        <v>496</v>
      </c>
      <c r="M1608" t="s">
        <v>474</v>
      </c>
    </row>
    <row r="1609" spans="1:13">
      <c r="A1609">
        <v>1428</v>
      </c>
      <c r="B1609">
        <v>6009</v>
      </c>
      <c r="C16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609" s="32">
        <v>46188</v>
      </c>
      <c r="E16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609">
        <v>6</v>
      </c>
      <c r="I1609">
        <f>(salidas26[[#This Row],[CANT JUEGOS ]]*salidas26[[#This Row],[PRECIO JUEGO]])</f>
        <v>0</v>
      </c>
      <c r="J1609">
        <f>(salidas26[[#This Row],[CANT BARRAS]]*salidas26[[#This Row],[PRECIO BARRA]])</f>
        <v>135</v>
      </c>
      <c r="K1609">
        <v>150</v>
      </c>
      <c r="L1609" t="s">
        <v>465</v>
      </c>
      <c r="M1609" t="s">
        <v>523</v>
      </c>
    </row>
    <row r="1610" spans="1:13">
      <c r="A1610">
        <v>1429</v>
      </c>
      <c r="B1610">
        <v>8033</v>
      </c>
      <c r="C16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610" s="32">
        <v>46188</v>
      </c>
      <c r="E16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6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10">
        <v>1</v>
      </c>
      <c r="I1610">
        <f>(salidas26[[#This Row],[CANT JUEGOS ]]*salidas26[[#This Row],[PRECIO JUEGO]])</f>
        <v>150</v>
      </c>
      <c r="J1610">
        <f>(salidas26[[#This Row],[CANT BARRAS]]*salidas26[[#This Row],[PRECIO BARRA]])</f>
        <v>0</v>
      </c>
      <c r="K1610">
        <v>170</v>
      </c>
      <c r="L1610" t="s">
        <v>465</v>
      </c>
      <c r="M1610" t="s">
        <v>886</v>
      </c>
    </row>
    <row r="1611" spans="1:13">
      <c r="A1611">
        <v>1430</v>
      </c>
      <c r="B1611">
        <v>8100</v>
      </c>
      <c r="C16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611" s="32">
        <v>46188</v>
      </c>
      <c r="E16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6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611">
        <v>1</v>
      </c>
      <c r="I1611">
        <f>(salidas26[[#This Row],[CANT JUEGOS ]]*salidas26[[#This Row],[PRECIO JUEGO]])</f>
        <v>300</v>
      </c>
      <c r="J1611">
        <f>(salidas26[[#This Row],[CANT BARRAS]]*salidas26[[#This Row],[PRECIO BARRA]])</f>
        <v>0</v>
      </c>
      <c r="K1611">
        <v>290</v>
      </c>
      <c r="L1611" t="s">
        <v>465</v>
      </c>
      <c r="M1611" t="s">
        <v>507</v>
      </c>
    </row>
    <row r="1612" spans="1:13">
      <c r="A1612">
        <v>1431</v>
      </c>
      <c r="B1612">
        <v>1069</v>
      </c>
      <c r="C16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612" s="32">
        <v>46188</v>
      </c>
      <c r="E16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6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612">
        <v>1</v>
      </c>
      <c r="I1612">
        <f>(salidas26[[#This Row],[CANT JUEGOS ]]*salidas26[[#This Row],[PRECIO JUEGO]])</f>
        <v>250</v>
      </c>
      <c r="J1612">
        <f>(salidas26[[#This Row],[CANT BARRAS]]*salidas26[[#This Row],[PRECIO BARRA]])</f>
        <v>0</v>
      </c>
      <c r="K1612">
        <v>220</v>
      </c>
      <c r="L1612" t="s">
        <v>496</v>
      </c>
      <c r="M1612" t="s">
        <v>474</v>
      </c>
    </row>
    <row r="1613" spans="1:13">
      <c r="A1613">
        <v>1432</v>
      </c>
      <c r="B1613">
        <v>2063</v>
      </c>
      <c r="C16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1613" s="32">
        <v>46188</v>
      </c>
      <c r="E16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1613">
        <v>1</v>
      </c>
      <c r="I1613">
        <f>(salidas26[[#This Row],[CANT JUEGOS ]]*salidas26[[#This Row],[PRECIO JUEGO]])</f>
        <v>180</v>
      </c>
      <c r="J1613">
        <f>(salidas26[[#This Row],[CANT BARRAS]]*salidas26[[#This Row],[PRECIO BARRA]])</f>
        <v>0</v>
      </c>
      <c r="K1613">
        <v>180</v>
      </c>
      <c r="L1613" t="s">
        <v>496</v>
      </c>
      <c r="M1613" t="s">
        <v>474</v>
      </c>
    </row>
    <row r="1614" spans="1:13">
      <c r="A1614">
        <v>1433</v>
      </c>
      <c r="B1614">
        <v>8015</v>
      </c>
      <c r="C16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614" s="32">
        <v>46189</v>
      </c>
      <c r="E16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14">
        <v>1</v>
      </c>
      <c r="I1614">
        <f>(salidas26[[#This Row],[CANT JUEGOS ]]*salidas26[[#This Row],[PRECIO JUEGO]])</f>
        <v>60</v>
      </c>
      <c r="J1614">
        <f>(salidas26[[#This Row],[CANT BARRAS]]*salidas26[[#This Row],[PRECIO BARRA]])</f>
        <v>0</v>
      </c>
      <c r="K1614">
        <v>60</v>
      </c>
      <c r="L1614" t="s">
        <v>496</v>
      </c>
      <c r="M1614" t="s">
        <v>919</v>
      </c>
    </row>
    <row r="1615" spans="1:13">
      <c r="A1615">
        <v>1434</v>
      </c>
      <c r="B1615">
        <v>4002</v>
      </c>
      <c r="C16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S780 6L/6V -2B</v>
      </c>
      <c r="D1615" s="32">
        <v>46189</v>
      </c>
      <c r="E16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15">
        <v>1</v>
      </c>
      <c r="I1615">
        <f>(salidas26[[#This Row],[CANT JUEGOS ]]*salidas26[[#This Row],[PRECIO JUEGO]])</f>
        <v>60</v>
      </c>
      <c r="J1615">
        <f>(salidas26[[#This Row],[CANT BARRAS]]*salidas26[[#This Row],[PRECIO BARRA]])</f>
        <v>0</v>
      </c>
      <c r="K1615">
        <v>50</v>
      </c>
      <c r="L1615" t="s">
        <v>496</v>
      </c>
      <c r="M1615" t="s">
        <v>466</v>
      </c>
    </row>
    <row r="1616" spans="1:13">
      <c r="A1616">
        <v>1437</v>
      </c>
      <c r="B1616">
        <v>1069</v>
      </c>
      <c r="C16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616" s="32">
        <v>46189</v>
      </c>
      <c r="E16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6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616">
        <v>1</v>
      </c>
      <c r="I1616">
        <f>(salidas26[[#This Row],[CANT JUEGOS ]]*salidas26[[#This Row],[PRECIO JUEGO]])</f>
        <v>250</v>
      </c>
      <c r="J1616">
        <f>(salidas26[[#This Row],[CANT BARRAS]]*salidas26[[#This Row],[PRECIO BARRA]])</f>
        <v>0</v>
      </c>
      <c r="K1616">
        <v>220</v>
      </c>
      <c r="L1616" t="s">
        <v>496</v>
      </c>
      <c r="M1616" t="s">
        <v>474</v>
      </c>
    </row>
    <row r="1617" spans="1:13">
      <c r="A1617">
        <v>1439</v>
      </c>
      <c r="B1617">
        <v>4011</v>
      </c>
      <c r="C16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617" s="32">
        <v>46189</v>
      </c>
      <c r="E16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617">
        <v>1</v>
      </c>
      <c r="H1617">
        <v>1</v>
      </c>
      <c r="I1617">
        <f>(salidas26[[#This Row],[CANT JUEGOS ]]*salidas26[[#This Row],[PRECIO JUEGO]])</f>
        <v>160</v>
      </c>
      <c r="J1617">
        <f>(salidas26[[#This Row],[CANT BARRAS]]*salidas26[[#This Row],[PRECIO BARRA]])</f>
        <v>53.333333333333336</v>
      </c>
      <c r="K1617">
        <v>200</v>
      </c>
      <c r="L1617" t="s">
        <v>465</v>
      </c>
      <c r="M1617" t="s">
        <v>481</v>
      </c>
    </row>
    <row r="1618" spans="1:13">
      <c r="A1618">
        <v>1440</v>
      </c>
      <c r="B1618">
        <v>4009</v>
      </c>
      <c r="C16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618" s="32">
        <v>46189</v>
      </c>
      <c r="E16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H1618">
        <v>2</v>
      </c>
      <c r="I1618">
        <f>(salidas26[[#This Row],[CANT JUEGOS ]]*salidas26[[#This Row],[PRECIO JUEGO]])</f>
        <v>0</v>
      </c>
      <c r="J1618">
        <f>(salidas26[[#This Row],[CANT BARRAS]]*salidas26[[#This Row],[PRECIO BARRA]])</f>
        <v>40</v>
      </c>
      <c r="K1618">
        <v>40</v>
      </c>
      <c r="L1618" t="s">
        <v>465</v>
      </c>
      <c r="M1618" t="s">
        <v>468</v>
      </c>
    </row>
    <row r="1619" spans="1:13">
      <c r="A1619">
        <v>1441</v>
      </c>
      <c r="B1619">
        <v>6000</v>
      </c>
      <c r="C16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619" s="32">
        <v>46189</v>
      </c>
      <c r="E16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19">
        <v>1</v>
      </c>
      <c r="I1619">
        <f>(salidas26[[#This Row],[CANT JUEGOS ]]*salidas26[[#This Row],[PRECIO JUEGO]])</f>
        <v>60</v>
      </c>
      <c r="J1619">
        <f>(salidas26[[#This Row],[CANT BARRAS]]*salidas26[[#This Row],[PRECIO BARRA]])</f>
        <v>0</v>
      </c>
      <c r="K1619">
        <v>60</v>
      </c>
      <c r="L1619" t="s">
        <v>465</v>
      </c>
      <c r="M1619" t="s">
        <v>555</v>
      </c>
    </row>
    <row r="1620" spans="1:13">
      <c r="A1620">
        <v>1442</v>
      </c>
      <c r="B1620">
        <v>8057</v>
      </c>
      <c r="C16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620" s="32">
        <v>46189</v>
      </c>
      <c r="E16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20">
        <v>1</v>
      </c>
      <c r="I1620">
        <f>(salidas26[[#This Row],[CANT JUEGOS ]]*salidas26[[#This Row],[PRECIO JUEGO]])</f>
        <v>200</v>
      </c>
      <c r="J1620">
        <f>(salidas26[[#This Row],[CANT BARRAS]]*salidas26[[#This Row],[PRECIO BARRA]])</f>
        <v>0</v>
      </c>
      <c r="K1620">
        <v>200</v>
      </c>
      <c r="L1620" t="s">
        <v>465</v>
      </c>
      <c r="M1620" t="s">
        <v>481</v>
      </c>
    </row>
    <row r="1621" spans="1:13">
      <c r="A1621">
        <v>1443</v>
      </c>
      <c r="B1621">
        <v>1117</v>
      </c>
      <c r="C16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621" s="32">
        <v>46190</v>
      </c>
      <c r="E16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6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621">
        <v>1</v>
      </c>
      <c r="I1621">
        <f>(salidas26[[#This Row],[CANT JUEGOS ]]*salidas26[[#This Row],[PRECIO JUEGO]])</f>
        <v>350</v>
      </c>
      <c r="J1621">
        <f>(salidas26[[#This Row],[CANT BARRAS]]*salidas26[[#This Row],[PRECIO BARRA]])</f>
        <v>0</v>
      </c>
      <c r="K1621">
        <v>350</v>
      </c>
      <c r="L1621" t="s">
        <v>465</v>
      </c>
      <c r="M1621" t="s">
        <v>625</v>
      </c>
    </row>
    <row r="1622" spans="1:13">
      <c r="A1622">
        <v>1444</v>
      </c>
      <c r="B1622">
        <v>2063</v>
      </c>
      <c r="C16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1622" s="32">
        <v>46190</v>
      </c>
      <c r="E16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1622">
        <v>1</v>
      </c>
      <c r="I1622">
        <f>(salidas26[[#This Row],[CANT JUEGOS ]]*salidas26[[#This Row],[PRECIO JUEGO]])</f>
        <v>180</v>
      </c>
      <c r="J1622">
        <f>(salidas26[[#This Row],[CANT BARRAS]]*salidas26[[#This Row],[PRECIO BARRA]])</f>
        <v>0</v>
      </c>
      <c r="K1622">
        <v>150</v>
      </c>
      <c r="L1622" t="s">
        <v>465</v>
      </c>
      <c r="M1622" t="s">
        <v>625</v>
      </c>
    </row>
    <row r="1623" spans="1:13">
      <c r="A1623">
        <v>1445</v>
      </c>
      <c r="B1623">
        <v>8073</v>
      </c>
      <c r="C16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DISMAC 4B/9L TV-6747SF50SFW 50 (PREMIER)</v>
      </c>
      <c r="D1623" s="32">
        <v>46190</v>
      </c>
      <c r="E16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623">
        <v>1</v>
      </c>
      <c r="I1623">
        <f>(salidas26[[#This Row],[CANT JUEGOS ]]*salidas26[[#This Row],[PRECIO JUEGO]])</f>
        <v>220</v>
      </c>
      <c r="J1623">
        <f>(salidas26[[#This Row],[CANT BARRAS]]*salidas26[[#This Row],[PRECIO BARRA]])</f>
        <v>0</v>
      </c>
      <c r="K1623">
        <v>200</v>
      </c>
      <c r="L1623" t="s">
        <v>465</v>
      </c>
      <c r="M1623" t="s">
        <v>471</v>
      </c>
    </row>
    <row r="1624" spans="1:13">
      <c r="A1624">
        <v>1446</v>
      </c>
      <c r="B1624">
        <v>2072</v>
      </c>
      <c r="C16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UN55H6400/12B</v>
      </c>
      <c r="D1624" s="32">
        <v>46190</v>
      </c>
      <c r="E16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480</v>
      </c>
      <c r="F16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624">
        <v>1</v>
      </c>
      <c r="H1624">
        <v>8</v>
      </c>
      <c r="I1624">
        <f>(salidas26[[#This Row],[CANT JUEGOS ]]*salidas26[[#This Row],[PRECIO JUEGO]])</f>
        <v>480</v>
      </c>
      <c r="J1624">
        <f>(salidas26[[#This Row],[CANT BARRAS]]*salidas26[[#This Row],[PRECIO BARRA]])</f>
        <v>320</v>
      </c>
      <c r="K1624">
        <v>320</v>
      </c>
      <c r="L1624" t="s">
        <v>465</v>
      </c>
      <c r="M1624" t="s">
        <v>508</v>
      </c>
    </row>
    <row r="1625" spans="1:13">
      <c r="A1625">
        <v>1447</v>
      </c>
      <c r="B1625">
        <v>7015</v>
      </c>
      <c r="C16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1625" s="32">
        <v>46190</v>
      </c>
      <c r="E16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25">
        <v>1</v>
      </c>
      <c r="I1625">
        <f>(salidas26[[#This Row],[CANT JUEGOS ]]*salidas26[[#This Row],[PRECIO JUEGO]])</f>
        <v>200</v>
      </c>
      <c r="J1625">
        <f>(salidas26[[#This Row],[CANT BARRAS]]*salidas26[[#This Row],[PRECIO BARRA]])</f>
        <v>0</v>
      </c>
      <c r="K1625">
        <v>200</v>
      </c>
      <c r="L1625" t="s">
        <v>465</v>
      </c>
      <c r="M1625" t="s">
        <v>466</v>
      </c>
    </row>
    <row r="1626" spans="1:13">
      <c r="A1626">
        <v>1448</v>
      </c>
      <c r="B1626">
        <v>2015</v>
      </c>
      <c r="C16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UN40FH5005 3B/2C/1R/13-12-13</v>
      </c>
      <c r="D1626" s="32">
        <v>46190</v>
      </c>
      <c r="E16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626">
        <v>1</v>
      </c>
      <c r="I1626">
        <f>(salidas26[[#This Row],[CANT JUEGOS ]]*salidas26[[#This Row],[PRECIO JUEGO]])</f>
        <v>160</v>
      </c>
      <c r="J1626">
        <f>(salidas26[[#This Row],[CANT BARRAS]]*salidas26[[#This Row],[PRECIO BARRA]])</f>
        <v>0</v>
      </c>
      <c r="K1626">
        <v>160</v>
      </c>
      <c r="L1626" t="s">
        <v>465</v>
      </c>
      <c r="M1626" t="s">
        <v>547</v>
      </c>
    </row>
    <row r="1627" spans="1:13">
      <c r="A1627">
        <v>1449</v>
      </c>
      <c r="B1627">
        <v>1033</v>
      </c>
      <c r="C16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627" s="32">
        <v>46190</v>
      </c>
      <c r="E16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627">
        <v>1</v>
      </c>
      <c r="I1627">
        <f>(salidas26[[#This Row],[CANT JUEGOS ]]*salidas26[[#This Row],[PRECIO JUEGO]])</f>
        <v>180</v>
      </c>
      <c r="J1627">
        <f>(salidas26[[#This Row],[CANT BARRAS]]*salidas26[[#This Row],[PRECIO BARRA]])</f>
        <v>0</v>
      </c>
      <c r="K1627">
        <v>180</v>
      </c>
      <c r="L1627" t="s">
        <v>496</v>
      </c>
      <c r="M1627" t="s">
        <v>466</v>
      </c>
    </row>
    <row r="1628" spans="1:13">
      <c r="A1628">
        <v>1450</v>
      </c>
      <c r="B1628">
        <v>8095</v>
      </c>
      <c r="C16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1628" s="32">
        <v>46190</v>
      </c>
      <c r="E16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6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28">
        <v>1</v>
      </c>
      <c r="I1628">
        <f>(salidas26[[#This Row],[CANT JUEGOS ]]*salidas26[[#This Row],[PRECIO JUEGO]])</f>
        <v>300</v>
      </c>
      <c r="J1628">
        <f>(salidas26[[#This Row],[CANT BARRAS]]*salidas26[[#This Row],[PRECIO BARRA]])</f>
        <v>0</v>
      </c>
      <c r="K1628">
        <v>300</v>
      </c>
      <c r="L1628" t="s">
        <v>496</v>
      </c>
      <c r="M1628" t="s">
        <v>920</v>
      </c>
    </row>
    <row r="1629" spans="1:13">
      <c r="A1629">
        <v>1451</v>
      </c>
      <c r="B1629">
        <v>1138</v>
      </c>
      <c r="C16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629" s="32">
        <v>46191</v>
      </c>
      <c r="E16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6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629">
        <v>1</v>
      </c>
      <c r="I1629">
        <f>(salidas26[[#This Row],[CANT JUEGOS ]]*salidas26[[#This Row],[PRECIO JUEGO]])</f>
        <v>280</v>
      </c>
      <c r="J1629">
        <f>(salidas26[[#This Row],[CANT BARRAS]]*salidas26[[#This Row],[PRECIO BARRA]])</f>
        <v>0</v>
      </c>
      <c r="K1629">
        <v>280</v>
      </c>
      <c r="L1629" t="s">
        <v>496</v>
      </c>
      <c r="M1629" t="s">
        <v>921</v>
      </c>
    </row>
    <row r="1630" spans="1:13">
      <c r="A1630">
        <v>1454</v>
      </c>
      <c r="B1630">
        <v>3009</v>
      </c>
      <c r="C16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43U6600 4B/ 8L/3V DIF 180º</v>
      </c>
      <c r="D1630" s="32">
        <v>46191</v>
      </c>
      <c r="E16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H1630">
        <v>3</v>
      </c>
      <c r="I1630">
        <f>(salidas26[[#This Row],[CANT JUEGOS ]]*salidas26[[#This Row],[PRECIO JUEGO]])</f>
        <v>0</v>
      </c>
      <c r="J1630">
        <f>(salidas26[[#This Row],[CANT BARRAS]]*salidas26[[#This Row],[PRECIO BARRA]])</f>
        <v>165</v>
      </c>
      <c r="K1630">
        <v>170</v>
      </c>
      <c r="L1630" t="s">
        <v>465</v>
      </c>
      <c r="M1630" t="s">
        <v>802</v>
      </c>
    </row>
    <row r="1631" spans="1:13">
      <c r="A1631">
        <v>1455</v>
      </c>
      <c r="B1631">
        <v>8033</v>
      </c>
      <c r="C16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631" s="32">
        <v>46191</v>
      </c>
      <c r="E16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6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31">
        <v>1</v>
      </c>
      <c r="I1631">
        <f>(salidas26[[#This Row],[CANT JUEGOS ]]*salidas26[[#This Row],[PRECIO JUEGO]])</f>
        <v>150</v>
      </c>
      <c r="J1631">
        <f>(salidas26[[#This Row],[CANT BARRAS]]*salidas26[[#This Row],[PRECIO BARRA]])</f>
        <v>0</v>
      </c>
      <c r="K1631">
        <v>140</v>
      </c>
      <c r="L1631" t="s">
        <v>465</v>
      </c>
      <c r="M1631" t="s">
        <v>802</v>
      </c>
    </row>
    <row r="1632" spans="1:13">
      <c r="A1632">
        <v>1457</v>
      </c>
      <c r="B1632">
        <v>8100</v>
      </c>
      <c r="C16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632" s="32">
        <v>46191</v>
      </c>
      <c r="E16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6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632">
        <v>1</v>
      </c>
      <c r="I1632">
        <f>(salidas26[[#This Row],[CANT JUEGOS ]]*salidas26[[#This Row],[PRECIO JUEGO]])</f>
        <v>300</v>
      </c>
      <c r="J1632">
        <f>(salidas26[[#This Row],[CANT BARRAS]]*salidas26[[#This Row],[PRECIO BARRA]])</f>
        <v>0</v>
      </c>
      <c r="K1632">
        <v>300</v>
      </c>
      <c r="L1632" t="s">
        <v>496</v>
      </c>
      <c r="M1632" t="s">
        <v>466</v>
      </c>
    </row>
    <row r="1633" spans="1:13">
      <c r="A1633">
        <v>1458</v>
      </c>
      <c r="B1633">
        <v>3000</v>
      </c>
      <c r="C16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633" s="32">
        <v>46191</v>
      </c>
      <c r="E16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33">
        <v>1</v>
      </c>
      <c r="I1633">
        <f>(salidas26[[#This Row],[CANT JUEGOS ]]*salidas26[[#This Row],[PRECIO JUEGO]])</f>
        <v>90</v>
      </c>
      <c r="J1633">
        <f>(salidas26[[#This Row],[CANT BARRAS]]*salidas26[[#This Row],[PRECIO BARRA]])</f>
        <v>0</v>
      </c>
      <c r="K1633">
        <v>80</v>
      </c>
      <c r="L1633" t="s">
        <v>496</v>
      </c>
      <c r="M1633" t="s">
        <v>670</v>
      </c>
    </row>
    <row r="1634" spans="1:13">
      <c r="A1634">
        <v>1459</v>
      </c>
      <c r="B1634">
        <v>1006</v>
      </c>
      <c r="C16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-3B/3V/8-8-8</v>
      </c>
      <c r="D1634" s="32">
        <v>46191</v>
      </c>
      <c r="E16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6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634">
        <v>1</v>
      </c>
      <c r="I1634">
        <f>(salidas26[[#This Row],[CANT JUEGOS ]]*salidas26[[#This Row],[PRECIO JUEGO]])</f>
        <v>80</v>
      </c>
      <c r="J1634">
        <f>(salidas26[[#This Row],[CANT BARRAS]]*salidas26[[#This Row],[PRECIO BARRA]])</f>
        <v>0</v>
      </c>
      <c r="K1634">
        <v>90</v>
      </c>
      <c r="L1634" t="s">
        <v>465</v>
      </c>
      <c r="M1634" t="s">
        <v>730</v>
      </c>
    </row>
    <row r="1635" spans="1:13">
      <c r="A1635">
        <v>1460</v>
      </c>
      <c r="B1635">
        <v>1033</v>
      </c>
      <c r="C16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635" s="32">
        <v>46191</v>
      </c>
      <c r="E16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635">
        <v>1</v>
      </c>
      <c r="I1635">
        <f>(salidas26[[#This Row],[CANT JUEGOS ]]*salidas26[[#This Row],[PRECIO JUEGO]])</f>
        <v>180</v>
      </c>
      <c r="J1635">
        <f>(salidas26[[#This Row],[CANT BARRAS]]*salidas26[[#This Row],[PRECIO BARRA]])</f>
        <v>0</v>
      </c>
      <c r="K1635">
        <v>150</v>
      </c>
      <c r="L1635" t="s">
        <v>465</v>
      </c>
      <c r="M1635" t="s">
        <v>471</v>
      </c>
    </row>
    <row r="1636" spans="1:13">
      <c r="A1636">
        <v>1461</v>
      </c>
      <c r="B1636" t="s">
        <v>850</v>
      </c>
      <c r="C16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55BU/AU 8000</v>
      </c>
      <c r="D1636" s="32">
        <v>46191</v>
      </c>
      <c r="E16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63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636">
        <v>1</v>
      </c>
      <c r="I1636">
        <f>(salidas26[[#This Row],[CANT JUEGOS ]]*salidas26[[#This Row],[PRECIO JUEGO]])</f>
        <v>250</v>
      </c>
      <c r="J1636" t="e">
        <f>(salidas26[[#This Row],[CANT BARRAS]]*salidas26[[#This Row],[PRECIO BARRA]])</f>
        <v>#VALUE!</v>
      </c>
      <c r="K1636">
        <v>250</v>
      </c>
      <c r="L1636" t="s">
        <v>465</v>
      </c>
      <c r="M1636" t="s">
        <v>876</v>
      </c>
    </row>
    <row r="1637" spans="1:13">
      <c r="A1637">
        <v>1462</v>
      </c>
      <c r="B1637">
        <v>7000</v>
      </c>
      <c r="C16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IRT/6L/2B/6V</v>
      </c>
      <c r="D1637" s="32">
        <v>46192</v>
      </c>
      <c r="E16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37">
        <v>1</v>
      </c>
      <c r="I1637">
        <f>(salidas26[[#This Row],[CANT JUEGOS ]]*salidas26[[#This Row],[PRECIO JUEGO]])</f>
        <v>60</v>
      </c>
      <c r="J1637">
        <f>(salidas26[[#This Row],[CANT BARRAS]]*salidas26[[#This Row],[PRECIO BARRA]])</f>
        <v>0</v>
      </c>
      <c r="K1637">
        <v>50</v>
      </c>
      <c r="L1637" t="s">
        <v>564</v>
      </c>
      <c r="M1637" t="s">
        <v>523</v>
      </c>
    </row>
    <row r="1638" spans="1:13">
      <c r="A1638">
        <v>1463</v>
      </c>
      <c r="B1638">
        <v>8087</v>
      </c>
      <c r="C16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PREMIER TV-7130SF55SF/9B</v>
      </c>
      <c r="D1638" s="32">
        <v>46192</v>
      </c>
      <c r="E16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6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638">
        <v>1</v>
      </c>
      <c r="I1638">
        <f>(salidas26[[#This Row],[CANT JUEGOS ]]*salidas26[[#This Row],[PRECIO JUEGO]])</f>
        <v>250</v>
      </c>
      <c r="J1638">
        <f>(salidas26[[#This Row],[CANT BARRAS]]*salidas26[[#This Row],[PRECIO BARRA]])</f>
        <v>0</v>
      </c>
      <c r="K1638">
        <v>250</v>
      </c>
      <c r="L1638" t="s">
        <v>465</v>
      </c>
      <c r="M1638" t="s">
        <v>922</v>
      </c>
    </row>
    <row r="1639" spans="1:13">
      <c r="A1639">
        <v>1464</v>
      </c>
      <c r="B1639">
        <v>6022</v>
      </c>
      <c r="C16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639" s="32">
        <v>46192</v>
      </c>
      <c r="E16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6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639">
        <v>1</v>
      </c>
      <c r="I1639">
        <f>(salidas26[[#This Row],[CANT JUEGOS ]]*salidas26[[#This Row],[PRECIO JUEGO]])</f>
        <v>350</v>
      </c>
      <c r="J1639">
        <f>(salidas26[[#This Row],[CANT BARRAS]]*salidas26[[#This Row],[PRECIO BARRA]])</f>
        <v>0</v>
      </c>
      <c r="K1639">
        <v>300</v>
      </c>
      <c r="L1639" t="s">
        <v>496</v>
      </c>
      <c r="M1639" t="s">
        <v>469</v>
      </c>
    </row>
    <row r="1640" spans="1:13">
      <c r="A1640">
        <v>1465</v>
      </c>
      <c r="B1640">
        <v>8015</v>
      </c>
      <c r="C16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640" s="32">
        <v>46192</v>
      </c>
      <c r="E16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40">
        <v>1</v>
      </c>
      <c r="I1640">
        <f>(salidas26[[#This Row],[CANT JUEGOS ]]*salidas26[[#This Row],[PRECIO JUEGO]])</f>
        <v>60</v>
      </c>
      <c r="J1640">
        <f>(salidas26[[#This Row],[CANT BARRAS]]*salidas26[[#This Row],[PRECIO BARRA]])</f>
        <v>0</v>
      </c>
      <c r="K1640">
        <v>60</v>
      </c>
      <c r="L1640" t="s">
        <v>465</v>
      </c>
      <c r="M1640" t="s">
        <v>481</v>
      </c>
    </row>
    <row r="1641" spans="1:13">
      <c r="A1641">
        <v>1466</v>
      </c>
      <c r="B1641">
        <v>3000</v>
      </c>
      <c r="C16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641" s="32">
        <v>46192</v>
      </c>
      <c r="E16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41">
        <v>1</v>
      </c>
      <c r="I1641">
        <f>(salidas26[[#This Row],[CANT JUEGOS ]]*salidas26[[#This Row],[PRECIO JUEGO]])</f>
        <v>90</v>
      </c>
      <c r="J1641">
        <f>(salidas26[[#This Row],[CANT BARRAS]]*salidas26[[#This Row],[PRECIO BARRA]])</f>
        <v>0</v>
      </c>
      <c r="K1641">
        <v>90</v>
      </c>
      <c r="L1641" t="s">
        <v>465</v>
      </c>
      <c r="M1641" t="s">
        <v>658</v>
      </c>
    </row>
    <row r="1642" spans="1:13">
      <c r="A1642">
        <v>1467</v>
      </c>
      <c r="B1642">
        <v>6009</v>
      </c>
      <c r="C16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642" s="32">
        <v>46192</v>
      </c>
      <c r="E16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642">
        <v>6</v>
      </c>
      <c r="I1642">
        <f>(salidas26[[#This Row],[CANT JUEGOS ]]*salidas26[[#This Row],[PRECIO JUEGO]])</f>
        <v>0</v>
      </c>
      <c r="J1642">
        <f>(salidas26[[#This Row],[CANT BARRAS]]*salidas26[[#This Row],[PRECIO BARRA]])</f>
        <v>135</v>
      </c>
      <c r="K1642">
        <v>160</v>
      </c>
      <c r="L1642" t="s">
        <v>465</v>
      </c>
      <c r="M1642" t="s">
        <v>658</v>
      </c>
    </row>
    <row r="1643" spans="1:13">
      <c r="A1643">
        <v>1468</v>
      </c>
      <c r="B1643">
        <v>3018</v>
      </c>
      <c r="C16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HAIER 9B/5L</v>
      </c>
      <c r="D1643" s="32">
        <v>46192</v>
      </c>
      <c r="E16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6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643">
        <v>1</v>
      </c>
      <c r="H1643">
        <v>3</v>
      </c>
      <c r="I1643">
        <f>(salidas26[[#This Row],[CANT JUEGOS ]]*salidas26[[#This Row],[PRECIO JUEGO]])</f>
        <v>250</v>
      </c>
      <c r="J1643">
        <f>(salidas26[[#This Row],[CANT BARRAS]]*salidas26[[#This Row],[PRECIO BARRA]])</f>
        <v>83.333333333333343</v>
      </c>
      <c r="K1643">
        <v>80</v>
      </c>
      <c r="L1643" t="s">
        <v>465</v>
      </c>
      <c r="M1643" t="s">
        <v>658</v>
      </c>
    </row>
    <row r="1644" spans="1:13">
      <c r="A1644">
        <v>1469</v>
      </c>
      <c r="B1644">
        <v>2087</v>
      </c>
      <c r="C16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644" s="32">
        <v>46192</v>
      </c>
      <c r="E16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6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644">
        <v>1</v>
      </c>
      <c r="I1644">
        <f>(salidas26[[#This Row],[CANT JUEGOS ]]*salidas26[[#This Row],[PRECIO JUEGO]])</f>
        <v>240</v>
      </c>
      <c r="J1644">
        <f>(salidas26[[#This Row],[CANT BARRAS]]*salidas26[[#This Row],[PRECIO BARRA]])</f>
        <v>0</v>
      </c>
      <c r="K1644">
        <v>200</v>
      </c>
      <c r="L1644" t="s">
        <v>465</v>
      </c>
      <c r="M1644" t="s">
        <v>466</v>
      </c>
    </row>
    <row r="1645" spans="1:13">
      <c r="A1645">
        <v>1470</v>
      </c>
      <c r="B1645">
        <v>2105</v>
      </c>
      <c r="C16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UN85AU8000G  4B EGDE</v>
      </c>
      <c r="D1645" s="32">
        <v>46192</v>
      </c>
      <c r="E16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600</v>
      </c>
      <c r="F16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150</v>
      </c>
      <c r="G1645">
        <v>1</v>
      </c>
      <c r="I1645">
        <f>(salidas26[[#This Row],[CANT JUEGOS ]]*salidas26[[#This Row],[PRECIO JUEGO]])</f>
        <v>600</v>
      </c>
      <c r="J1645">
        <f>(salidas26[[#This Row],[CANT BARRAS]]*salidas26[[#This Row],[PRECIO BARRA]])</f>
        <v>0</v>
      </c>
      <c r="K1645">
        <v>480</v>
      </c>
      <c r="L1645" t="s">
        <v>496</v>
      </c>
      <c r="M1645" t="s">
        <v>497</v>
      </c>
    </row>
    <row r="1646" spans="1:13">
      <c r="A1646">
        <v>1471</v>
      </c>
      <c r="B1646">
        <v>2089</v>
      </c>
      <c r="C16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UN58TU7100 8B/6L 3V-58TU7000</v>
      </c>
      <c r="D1646" s="32">
        <v>46192</v>
      </c>
      <c r="E16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6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646">
        <v>1</v>
      </c>
      <c r="I1646">
        <f>(salidas26[[#This Row],[CANT JUEGOS ]]*salidas26[[#This Row],[PRECIO JUEGO]])</f>
        <v>320</v>
      </c>
      <c r="J1646">
        <f>(salidas26[[#This Row],[CANT BARRAS]]*salidas26[[#This Row],[PRECIO BARRA]])</f>
        <v>0</v>
      </c>
      <c r="K1646">
        <v>256</v>
      </c>
      <c r="L1646" t="s">
        <v>496</v>
      </c>
      <c r="M1646" t="s">
        <v>497</v>
      </c>
    </row>
    <row r="1647" spans="1:13">
      <c r="A1647">
        <v>1472</v>
      </c>
      <c r="B1647">
        <v>1138</v>
      </c>
      <c r="C16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647" s="32">
        <v>46192</v>
      </c>
      <c r="E16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6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647">
        <v>1</v>
      </c>
      <c r="I1647">
        <f>(salidas26[[#This Row],[CANT JUEGOS ]]*salidas26[[#This Row],[PRECIO JUEGO]])</f>
        <v>280</v>
      </c>
      <c r="J1647">
        <f>(salidas26[[#This Row],[CANT BARRAS]]*salidas26[[#This Row],[PRECIO BARRA]])</f>
        <v>0</v>
      </c>
      <c r="K1647">
        <v>224</v>
      </c>
      <c r="M1647" t="s">
        <v>497</v>
      </c>
    </row>
    <row r="1648" spans="1:13">
      <c r="A1648">
        <v>1473</v>
      </c>
      <c r="B1648">
        <v>2087</v>
      </c>
      <c r="C16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648" s="32">
        <v>46192</v>
      </c>
      <c r="E16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6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648">
        <v>1</v>
      </c>
      <c r="I1648">
        <f>(salidas26[[#This Row],[CANT JUEGOS ]]*salidas26[[#This Row],[PRECIO JUEGO]])</f>
        <v>240</v>
      </c>
      <c r="J1648">
        <f>(salidas26[[#This Row],[CANT BARRAS]]*salidas26[[#This Row],[PRECIO BARRA]])</f>
        <v>0</v>
      </c>
      <c r="K1648">
        <v>180</v>
      </c>
      <c r="L1648" t="s">
        <v>465</v>
      </c>
      <c r="M1648" t="s">
        <v>481</v>
      </c>
    </row>
    <row r="1649" spans="1:13">
      <c r="A1649">
        <v>1474</v>
      </c>
      <c r="B1649">
        <v>1012</v>
      </c>
      <c r="C16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649" s="32">
        <v>46192</v>
      </c>
      <c r="E16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49">
        <v>1</v>
      </c>
      <c r="I1649">
        <f>(salidas26[[#This Row],[CANT JUEGOS ]]*salidas26[[#This Row],[PRECIO JUEGO]])</f>
        <v>90</v>
      </c>
      <c r="J1649">
        <f>(salidas26[[#This Row],[CANT BARRAS]]*salidas26[[#This Row],[PRECIO BARRA]])</f>
        <v>0</v>
      </c>
      <c r="K1649">
        <v>85</v>
      </c>
      <c r="L1649" t="s">
        <v>465</v>
      </c>
      <c r="M1649" t="s">
        <v>575</v>
      </c>
    </row>
    <row r="1650" spans="1:13">
      <c r="A1650">
        <v>1475</v>
      </c>
      <c r="B1650">
        <v>8021</v>
      </c>
      <c r="C16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650" s="32">
        <v>46193</v>
      </c>
      <c r="E16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50">
        <v>1</v>
      </c>
      <c r="I1650">
        <f>(salidas26[[#This Row],[CANT JUEGOS ]]*salidas26[[#This Row],[PRECIO JUEGO]])</f>
        <v>60</v>
      </c>
      <c r="J1650">
        <f>(salidas26[[#This Row],[CANT BARRAS]]*salidas26[[#This Row],[PRECIO BARRA]])</f>
        <v>0</v>
      </c>
      <c r="K1650">
        <v>50</v>
      </c>
      <c r="L1650" t="s">
        <v>465</v>
      </c>
      <c r="M1650" t="s">
        <v>470</v>
      </c>
    </row>
    <row r="1651" spans="1:13">
      <c r="A1651">
        <v>1476</v>
      </c>
      <c r="B1651">
        <v>1072</v>
      </c>
      <c r="C16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47LM6200/2B</v>
      </c>
      <c r="D1651" s="32">
        <v>46193</v>
      </c>
      <c r="E16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651">
        <v>1</v>
      </c>
      <c r="I1651">
        <f>(salidas26[[#This Row],[CANT JUEGOS ]]*salidas26[[#This Row],[PRECIO JUEGO]])</f>
        <v>200</v>
      </c>
      <c r="J1651">
        <f>(salidas26[[#This Row],[CANT BARRAS]]*salidas26[[#This Row],[PRECIO BARRA]])</f>
        <v>0</v>
      </c>
      <c r="K1651">
        <v>190</v>
      </c>
      <c r="L1651" t="s">
        <v>465</v>
      </c>
      <c r="M1651" t="s">
        <v>481</v>
      </c>
    </row>
    <row r="1652" spans="1:13">
      <c r="A1652">
        <v>1477</v>
      </c>
      <c r="B1652">
        <v>1096</v>
      </c>
      <c r="C16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49LH6000 /8B</v>
      </c>
      <c r="D1652" s="32">
        <v>46193</v>
      </c>
      <c r="E16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6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652">
        <v>1</v>
      </c>
      <c r="I1652">
        <f>(salidas26[[#This Row],[CANT JUEGOS ]]*salidas26[[#This Row],[PRECIO JUEGO]])</f>
        <v>260</v>
      </c>
      <c r="J1652">
        <f>(salidas26[[#This Row],[CANT BARRAS]]*salidas26[[#This Row],[PRECIO BARRA]])</f>
        <v>0</v>
      </c>
      <c r="K1652">
        <v>220</v>
      </c>
      <c r="L1652" t="s">
        <v>496</v>
      </c>
      <c r="M1652" t="s">
        <v>668</v>
      </c>
    </row>
    <row r="1653" spans="1:13">
      <c r="A1653">
        <v>1478</v>
      </c>
      <c r="B1653">
        <v>2006</v>
      </c>
      <c r="C16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UN32J/ 2B </v>
      </c>
      <c r="D1653" s="32">
        <v>46193</v>
      </c>
      <c r="E16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653">
        <v>1</v>
      </c>
      <c r="I1653">
        <f>(salidas26[[#This Row],[CANT JUEGOS ]]*salidas26[[#This Row],[PRECIO JUEGO]])</f>
        <v>90</v>
      </c>
      <c r="J1653">
        <f>(salidas26[[#This Row],[CANT BARRAS]]*salidas26[[#This Row],[PRECIO BARRA]])</f>
        <v>0</v>
      </c>
      <c r="K1653">
        <v>90</v>
      </c>
      <c r="L1653" t="s">
        <v>496</v>
      </c>
      <c r="M1653" t="s">
        <v>473</v>
      </c>
    </row>
    <row r="1654" spans="1:13">
      <c r="A1654">
        <v>1479</v>
      </c>
      <c r="B1654">
        <v>2000</v>
      </c>
      <c r="C16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654" s="32">
        <v>46193</v>
      </c>
      <c r="E16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6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654">
        <v>1</v>
      </c>
      <c r="I1654">
        <f>(salidas26[[#This Row],[CANT JUEGOS ]]*salidas26[[#This Row],[PRECIO JUEGO]])</f>
        <v>80</v>
      </c>
      <c r="J1654">
        <f>(salidas26[[#This Row],[CANT BARRAS]]*salidas26[[#This Row],[PRECIO BARRA]])</f>
        <v>0</v>
      </c>
      <c r="K1654">
        <v>64</v>
      </c>
      <c r="L1654" t="s">
        <v>465</v>
      </c>
      <c r="M1654" t="s">
        <v>497</v>
      </c>
    </row>
    <row r="1655" spans="1:13">
      <c r="A1655">
        <v>1480</v>
      </c>
      <c r="B1655">
        <v>3006</v>
      </c>
      <c r="C16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655" s="32">
        <v>46193</v>
      </c>
      <c r="E16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655">
        <v>1</v>
      </c>
      <c r="I1655">
        <f>(salidas26[[#This Row],[CANT JUEGOS ]]*salidas26[[#This Row],[PRECIO JUEGO]])</f>
        <v>180</v>
      </c>
      <c r="J1655">
        <f>(salidas26[[#This Row],[CANT BARRAS]]*salidas26[[#This Row],[PRECIO BARRA]])</f>
        <v>0</v>
      </c>
      <c r="K1655">
        <v>144</v>
      </c>
      <c r="L1655" t="s">
        <v>465</v>
      </c>
      <c r="M1655" t="s">
        <v>497</v>
      </c>
    </row>
    <row r="1656" spans="1:13">
      <c r="A1656">
        <v>1481</v>
      </c>
      <c r="B1656">
        <v>5018</v>
      </c>
      <c r="C16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656" s="32">
        <v>46193</v>
      </c>
      <c r="E16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656">
        <v>1</v>
      </c>
      <c r="I1656">
        <f>(salidas26[[#This Row],[CANT JUEGOS ]]*salidas26[[#This Row],[PRECIO JUEGO]])</f>
        <v>200</v>
      </c>
      <c r="J1656">
        <f>(salidas26[[#This Row],[CANT BARRAS]]*salidas26[[#This Row],[PRECIO BARRA]])</f>
        <v>0</v>
      </c>
      <c r="K1656">
        <v>160</v>
      </c>
      <c r="L1656" t="s">
        <v>465</v>
      </c>
      <c r="M1656" t="s">
        <v>497</v>
      </c>
    </row>
    <row r="1657" spans="1:13">
      <c r="A1657">
        <v>1482</v>
      </c>
      <c r="B1657">
        <v>2036</v>
      </c>
      <c r="C16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UN46FH6203-46FH5005/8B</v>
      </c>
      <c r="D1657" s="32">
        <v>46193</v>
      </c>
      <c r="E16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657">
        <v>1</v>
      </c>
      <c r="I1657">
        <f>(salidas26[[#This Row],[CANT JUEGOS ]]*salidas26[[#This Row],[PRECIO JUEGO]])</f>
        <v>220</v>
      </c>
      <c r="J1657">
        <f>(salidas26[[#This Row],[CANT BARRAS]]*salidas26[[#This Row],[PRECIO BARRA]])</f>
        <v>0</v>
      </c>
      <c r="K1657">
        <v>176</v>
      </c>
      <c r="L1657" t="s">
        <v>465</v>
      </c>
      <c r="M1657" t="s">
        <v>497</v>
      </c>
    </row>
    <row r="1658" spans="1:13">
      <c r="A1658">
        <v>1483</v>
      </c>
      <c r="B1658">
        <v>1024</v>
      </c>
      <c r="C16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1658" s="32">
        <v>46193</v>
      </c>
      <c r="E16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6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658">
        <v>1</v>
      </c>
      <c r="I1658">
        <f>(salidas26[[#This Row],[CANT JUEGOS ]]*salidas26[[#This Row],[PRECIO JUEGO]])</f>
        <v>100</v>
      </c>
      <c r="J1658">
        <f>(salidas26[[#This Row],[CANT BARRAS]]*salidas26[[#This Row],[PRECIO BARRA]])</f>
        <v>0</v>
      </c>
      <c r="K1658">
        <v>80</v>
      </c>
      <c r="L1658" t="s">
        <v>465</v>
      </c>
      <c r="M1658" t="s">
        <v>497</v>
      </c>
    </row>
    <row r="1659" spans="1:13">
      <c r="A1659">
        <v>1484</v>
      </c>
      <c r="B1659">
        <v>8033</v>
      </c>
      <c r="C16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659" s="32">
        <v>46193</v>
      </c>
      <c r="E16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6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59">
        <v>1</v>
      </c>
      <c r="I1659">
        <f>(salidas26[[#This Row],[CANT JUEGOS ]]*salidas26[[#This Row],[PRECIO JUEGO]])</f>
        <v>150</v>
      </c>
      <c r="J1659">
        <f>(salidas26[[#This Row],[CANT BARRAS]]*salidas26[[#This Row],[PRECIO BARRA]])</f>
        <v>0</v>
      </c>
      <c r="K1659">
        <v>120</v>
      </c>
      <c r="L1659" t="s">
        <v>465</v>
      </c>
      <c r="M1659" t="s">
        <v>471</v>
      </c>
    </row>
    <row r="1660" spans="1:13">
      <c r="A1660">
        <v>1486</v>
      </c>
      <c r="B1660">
        <v>8033</v>
      </c>
      <c r="C16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660" s="32">
        <v>46193</v>
      </c>
      <c r="E16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6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60">
        <v>1</v>
      </c>
      <c r="I1660">
        <f>(salidas26[[#This Row],[CANT JUEGOS ]]*salidas26[[#This Row],[PRECIO JUEGO]])</f>
        <v>150</v>
      </c>
      <c r="J1660">
        <f>(salidas26[[#This Row],[CANT BARRAS]]*salidas26[[#This Row],[PRECIO BARRA]])</f>
        <v>0</v>
      </c>
      <c r="K1660">
        <v>140</v>
      </c>
      <c r="L1660" t="s">
        <v>465</v>
      </c>
      <c r="M1660" t="s">
        <v>523</v>
      </c>
    </row>
    <row r="1661" spans="1:13">
      <c r="A1661">
        <v>1487</v>
      </c>
      <c r="B1661">
        <v>8067</v>
      </c>
      <c r="C16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661" s="32">
        <v>46193</v>
      </c>
      <c r="E16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661">
        <v>1</v>
      </c>
      <c r="I1661">
        <f>(salidas26[[#This Row],[CANT JUEGOS ]]*salidas26[[#This Row],[PRECIO JUEGO]])</f>
        <v>220</v>
      </c>
      <c r="J1661">
        <f>(salidas26[[#This Row],[CANT BARRAS]]*salidas26[[#This Row],[PRECIO BARRA]])</f>
        <v>0</v>
      </c>
      <c r="K1661">
        <v>220</v>
      </c>
      <c r="L1661" t="s">
        <v>465</v>
      </c>
      <c r="M1661" t="s">
        <v>523</v>
      </c>
    </row>
    <row r="1662" spans="1:13">
      <c r="A1662">
        <v>1488</v>
      </c>
      <c r="B1662">
        <v>1012</v>
      </c>
      <c r="C16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662" s="32">
        <v>46195</v>
      </c>
      <c r="E16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62">
        <v>1</v>
      </c>
      <c r="I1662">
        <f>(salidas26[[#This Row],[CANT JUEGOS ]]*salidas26[[#This Row],[PRECIO JUEGO]])</f>
        <v>90</v>
      </c>
      <c r="J1662">
        <f>(salidas26[[#This Row],[CANT BARRAS]]*salidas26[[#This Row],[PRECIO BARRA]])</f>
        <v>0</v>
      </c>
      <c r="K1662">
        <v>90</v>
      </c>
      <c r="L1662" t="s">
        <v>465</v>
      </c>
      <c r="M1662" t="s">
        <v>470</v>
      </c>
    </row>
    <row r="1663" spans="1:13">
      <c r="A1663">
        <v>1489</v>
      </c>
      <c r="B1663">
        <v>2087</v>
      </c>
      <c r="C16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663" s="32">
        <v>46195</v>
      </c>
      <c r="E16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6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663">
        <v>1</v>
      </c>
      <c r="I1663">
        <f>(salidas26[[#This Row],[CANT JUEGOS ]]*salidas26[[#This Row],[PRECIO JUEGO]])</f>
        <v>240</v>
      </c>
      <c r="J1663">
        <f>(salidas26[[#This Row],[CANT BARRAS]]*salidas26[[#This Row],[PRECIO BARRA]])</f>
        <v>0</v>
      </c>
      <c r="K1663">
        <v>200</v>
      </c>
      <c r="L1663" t="s">
        <v>465</v>
      </c>
      <c r="M1663" t="s">
        <v>481</v>
      </c>
    </row>
    <row r="1664" spans="1:13">
      <c r="A1664">
        <v>1490</v>
      </c>
      <c r="B1664">
        <v>8067</v>
      </c>
      <c r="C16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664" s="32">
        <v>46195</v>
      </c>
      <c r="E16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664">
        <v>1</v>
      </c>
      <c r="I1664">
        <f>(salidas26[[#This Row],[CANT JUEGOS ]]*salidas26[[#This Row],[PRECIO JUEGO]])</f>
        <v>220</v>
      </c>
      <c r="J1664">
        <f>(salidas26[[#This Row],[CANT BARRAS]]*salidas26[[#This Row],[PRECIO BARRA]])</f>
        <v>0</v>
      </c>
      <c r="K1664">
        <v>200</v>
      </c>
      <c r="L1664" t="s">
        <v>465</v>
      </c>
      <c r="M1664" t="s">
        <v>481</v>
      </c>
    </row>
    <row r="1665" spans="1:13">
      <c r="A1665">
        <v>1491</v>
      </c>
      <c r="B1665">
        <v>4009</v>
      </c>
      <c r="C16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43-DAEWO L43R630BKS/ 8B</v>
      </c>
      <c r="D1665" s="32">
        <v>46195</v>
      </c>
      <c r="E16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665">
        <v>1</v>
      </c>
      <c r="I1665">
        <f>(salidas26[[#This Row],[CANT JUEGOS ]]*salidas26[[#This Row],[PRECIO JUEGO]])</f>
        <v>160</v>
      </c>
      <c r="J1665">
        <f>(salidas26[[#This Row],[CANT BARRAS]]*salidas26[[#This Row],[PRECIO BARRA]])</f>
        <v>0</v>
      </c>
      <c r="K1665">
        <v>150</v>
      </c>
      <c r="L1665" t="s">
        <v>465</v>
      </c>
      <c r="M1665" t="s">
        <v>566</v>
      </c>
    </row>
    <row r="1666" spans="1:13">
      <c r="A1666">
        <v>1492</v>
      </c>
      <c r="B1666">
        <v>4010</v>
      </c>
      <c r="C16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666" s="32">
        <v>46195</v>
      </c>
      <c r="E16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6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666">
        <v>1</v>
      </c>
      <c r="I1666">
        <f>(salidas26[[#This Row],[CANT JUEGOS ]]*salidas26[[#This Row],[PRECIO JUEGO]])</f>
        <v>160</v>
      </c>
      <c r="J1666">
        <f>(salidas26[[#This Row],[CANT BARRAS]]*salidas26[[#This Row],[PRECIO BARRA]])</f>
        <v>0</v>
      </c>
      <c r="K1666">
        <v>150</v>
      </c>
      <c r="L1666" t="s">
        <v>465</v>
      </c>
      <c r="M1666" t="s">
        <v>483</v>
      </c>
    </row>
    <row r="1667" spans="1:13">
      <c r="A1667">
        <v>1493</v>
      </c>
      <c r="B1667">
        <v>8082</v>
      </c>
      <c r="C16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1667" s="32">
        <v>46195</v>
      </c>
      <c r="E16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66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667">
        <v>1</v>
      </c>
      <c r="I1667">
        <f>(salidas26[[#This Row],[CANT JUEGOS ]]*salidas26[[#This Row],[PRECIO JUEGO]])</f>
        <v>320</v>
      </c>
      <c r="J1667" t="e">
        <f>(salidas26[[#This Row],[CANT BARRAS]]*salidas26[[#This Row],[PRECIO BARRA]])</f>
        <v>#VALUE!</v>
      </c>
      <c r="K1667">
        <v>300</v>
      </c>
      <c r="L1667" t="s">
        <v>465</v>
      </c>
      <c r="M1667" t="s">
        <v>466</v>
      </c>
    </row>
    <row r="1668" spans="1:13">
      <c r="A1668">
        <v>1494</v>
      </c>
      <c r="B1668">
        <v>8033</v>
      </c>
      <c r="C16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668" s="32">
        <v>46193</v>
      </c>
      <c r="E16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6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68">
        <v>1</v>
      </c>
      <c r="I1668">
        <f>(salidas26[[#This Row],[CANT JUEGOS ]]*salidas26[[#This Row],[PRECIO JUEGO]])</f>
        <v>150</v>
      </c>
      <c r="J1668">
        <f>(salidas26[[#This Row],[CANT BARRAS]]*salidas26[[#This Row],[PRECIO BARRA]])</f>
        <v>0</v>
      </c>
      <c r="K1668">
        <v>140</v>
      </c>
      <c r="L1668" t="s">
        <v>496</v>
      </c>
      <c r="M1668" t="s">
        <v>474</v>
      </c>
    </row>
    <row r="1669" spans="1:13">
      <c r="A1669">
        <v>1495</v>
      </c>
      <c r="B1669">
        <v>8015</v>
      </c>
      <c r="C16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669" s="32">
        <v>46193</v>
      </c>
      <c r="E16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69">
        <v>2</v>
      </c>
      <c r="I1669">
        <f>(salidas26[[#This Row],[CANT JUEGOS ]]*salidas26[[#This Row],[PRECIO JUEGO]])</f>
        <v>120</v>
      </c>
      <c r="J1669">
        <f>(salidas26[[#This Row],[CANT BARRAS]]*salidas26[[#This Row],[PRECIO BARRA]])</f>
        <v>0</v>
      </c>
      <c r="K1669">
        <v>100</v>
      </c>
      <c r="L1669" t="s">
        <v>496</v>
      </c>
      <c r="M1669" t="s">
        <v>474</v>
      </c>
    </row>
    <row r="1670" spans="1:13">
      <c r="A1670">
        <v>1496</v>
      </c>
      <c r="B1670">
        <v>1015</v>
      </c>
      <c r="C16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32LH500B-32LK500 3B/7L/3V</v>
      </c>
      <c r="D1670" s="32">
        <v>46195</v>
      </c>
      <c r="E16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6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670">
        <v>1</v>
      </c>
      <c r="I1670">
        <f>(salidas26[[#This Row],[CANT JUEGOS ]]*salidas26[[#This Row],[PRECIO JUEGO]])</f>
        <v>80</v>
      </c>
      <c r="J1670">
        <f>(salidas26[[#This Row],[CANT BARRAS]]*salidas26[[#This Row],[PRECIO BARRA]])</f>
        <v>0</v>
      </c>
      <c r="K1670">
        <v>80</v>
      </c>
      <c r="L1670" t="s">
        <v>496</v>
      </c>
      <c r="M1670" t="s">
        <v>474</v>
      </c>
    </row>
    <row r="1671" spans="1:13">
      <c r="A1671">
        <v>1497</v>
      </c>
      <c r="B1671">
        <v>8015</v>
      </c>
      <c r="C16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671" s="32">
        <v>46195</v>
      </c>
      <c r="E16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71">
        <v>1</v>
      </c>
      <c r="I1671">
        <f>(salidas26[[#This Row],[CANT JUEGOS ]]*salidas26[[#This Row],[PRECIO JUEGO]])</f>
        <v>60</v>
      </c>
      <c r="J1671">
        <f>(salidas26[[#This Row],[CANT BARRAS]]*salidas26[[#This Row],[PRECIO BARRA]])</f>
        <v>0</v>
      </c>
      <c r="K1671">
        <v>50</v>
      </c>
      <c r="L1671" t="s">
        <v>496</v>
      </c>
      <c r="M1671" t="s">
        <v>474</v>
      </c>
    </row>
    <row r="1672" spans="1:13">
      <c r="A1672">
        <v>1498</v>
      </c>
      <c r="B1672">
        <v>8098</v>
      </c>
      <c r="C16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1672" s="32">
        <v>46195</v>
      </c>
      <c r="E16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6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672">
        <v>1</v>
      </c>
      <c r="I1672">
        <f>(salidas26[[#This Row],[CANT JUEGOS ]]*salidas26[[#This Row],[PRECIO JUEGO]])</f>
        <v>420</v>
      </c>
      <c r="J1672">
        <f>(salidas26[[#This Row],[CANT BARRAS]]*salidas26[[#This Row],[PRECIO BARRA]])</f>
        <v>0</v>
      </c>
      <c r="K1672">
        <v>400</v>
      </c>
      <c r="L1672" t="s">
        <v>496</v>
      </c>
      <c r="M1672" t="s">
        <v>925</v>
      </c>
    </row>
    <row r="1673" spans="1:13">
      <c r="A1673">
        <v>1499</v>
      </c>
      <c r="B1673">
        <v>8087</v>
      </c>
      <c r="C16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PREMIER TV-7130SF55SF/9B</v>
      </c>
      <c r="D1673" s="32">
        <v>46195</v>
      </c>
      <c r="E16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6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27.777777777777779</v>
      </c>
      <c r="G1673">
        <v>1</v>
      </c>
      <c r="I1673">
        <f>(salidas26[[#This Row],[CANT JUEGOS ]]*salidas26[[#This Row],[PRECIO JUEGO]])</f>
        <v>250</v>
      </c>
      <c r="J1673">
        <f>(salidas26[[#This Row],[CANT BARRAS]]*salidas26[[#This Row],[PRECIO BARRA]])</f>
        <v>0</v>
      </c>
      <c r="K1673">
        <v>240</v>
      </c>
      <c r="L1673" t="s">
        <v>496</v>
      </c>
      <c r="M1673" t="s">
        <v>926</v>
      </c>
    </row>
    <row r="1674" spans="1:13">
      <c r="A1674">
        <v>1500</v>
      </c>
      <c r="B1674">
        <v>8067</v>
      </c>
      <c r="C16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674" s="32">
        <v>46195</v>
      </c>
      <c r="E16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674">
        <v>1</v>
      </c>
      <c r="I1674">
        <f>(salidas26[[#This Row],[CANT JUEGOS ]]*salidas26[[#This Row],[PRECIO JUEGO]])</f>
        <v>220</v>
      </c>
      <c r="J1674">
        <f>(salidas26[[#This Row],[CANT BARRAS]]*salidas26[[#This Row],[PRECIO BARRA]])</f>
        <v>0</v>
      </c>
      <c r="K1674">
        <v>190</v>
      </c>
      <c r="L1674" t="s">
        <v>496</v>
      </c>
      <c r="M1674" t="s">
        <v>926</v>
      </c>
    </row>
    <row r="1675" spans="1:13">
      <c r="A1675">
        <v>1501</v>
      </c>
      <c r="B1675">
        <v>6000</v>
      </c>
      <c r="C16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675" s="32">
        <v>46195</v>
      </c>
      <c r="E16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75">
        <v>3</v>
      </c>
      <c r="I1675">
        <f>(salidas26[[#This Row],[CANT JUEGOS ]]*salidas26[[#This Row],[PRECIO JUEGO]])</f>
        <v>180</v>
      </c>
      <c r="J1675">
        <f>(salidas26[[#This Row],[CANT BARRAS]]*salidas26[[#This Row],[PRECIO BARRA]])</f>
        <v>0</v>
      </c>
      <c r="K1675">
        <v>140</v>
      </c>
      <c r="L1675" t="s">
        <v>496</v>
      </c>
      <c r="M1675" t="s">
        <v>926</v>
      </c>
    </row>
    <row r="1676" spans="1:13">
      <c r="A1676">
        <v>1502</v>
      </c>
      <c r="B1676">
        <v>4021</v>
      </c>
      <c r="C16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DAEWOO LS50U1   8B/4L/3v</v>
      </c>
      <c r="D1676" s="32">
        <v>46195</v>
      </c>
      <c r="E16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676">
        <v>1</v>
      </c>
      <c r="I1676">
        <f>(salidas26[[#This Row],[CANT JUEGOS ]]*salidas26[[#This Row],[PRECIO JUEGO]])</f>
        <v>200</v>
      </c>
      <c r="J1676">
        <f>(salidas26[[#This Row],[CANT BARRAS]]*salidas26[[#This Row],[PRECIO BARRA]])</f>
        <v>0</v>
      </c>
      <c r="K1676">
        <v>190</v>
      </c>
      <c r="L1676" t="s">
        <v>496</v>
      </c>
      <c r="M1676" t="s">
        <v>926</v>
      </c>
    </row>
    <row r="1677" spans="1:13">
      <c r="A1677">
        <v>1503</v>
      </c>
      <c r="B1677">
        <v>6012</v>
      </c>
      <c r="C16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1677" s="32">
        <v>46195</v>
      </c>
      <c r="E16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677">
        <v>1</v>
      </c>
      <c r="I1677">
        <f>(salidas26[[#This Row],[CANT JUEGOS ]]*salidas26[[#This Row],[PRECIO JUEGO]])</f>
        <v>220</v>
      </c>
      <c r="J1677">
        <f>(salidas26[[#This Row],[CANT BARRAS]]*salidas26[[#This Row],[PRECIO BARRA]])</f>
        <v>0</v>
      </c>
      <c r="K1677">
        <v>190</v>
      </c>
      <c r="L1677" t="s">
        <v>496</v>
      </c>
      <c r="M1677" t="s">
        <v>926</v>
      </c>
    </row>
    <row r="1678" spans="1:13">
      <c r="A1678">
        <v>1504</v>
      </c>
      <c r="B1678">
        <v>6022</v>
      </c>
      <c r="C16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678" s="32">
        <v>46195</v>
      </c>
      <c r="E16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6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678">
        <v>1</v>
      </c>
      <c r="I1678">
        <f>(salidas26[[#This Row],[CANT JUEGOS ]]*salidas26[[#This Row],[PRECIO JUEGO]])</f>
        <v>350</v>
      </c>
      <c r="J1678">
        <f>(salidas26[[#This Row],[CANT BARRAS]]*salidas26[[#This Row],[PRECIO BARRA]])</f>
        <v>0</v>
      </c>
      <c r="K1678">
        <v>300</v>
      </c>
      <c r="L1678" t="s">
        <v>496</v>
      </c>
      <c r="M1678" t="s">
        <v>714</v>
      </c>
    </row>
    <row r="1679" spans="1:13">
      <c r="A1679">
        <v>1505</v>
      </c>
      <c r="B1679">
        <v>8082</v>
      </c>
      <c r="C16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L55M5-5ASP-XIAOMI 4B/12L/3V</v>
      </c>
      <c r="D1679" s="32">
        <v>46195</v>
      </c>
      <c r="E16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67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679">
        <v>1</v>
      </c>
      <c r="I1679">
        <f>(salidas26[[#This Row],[CANT JUEGOS ]]*salidas26[[#This Row],[PRECIO JUEGO]])</f>
        <v>320</v>
      </c>
      <c r="J1679" t="e">
        <f>(salidas26[[#This Row],[CANT BARRAS]]*salidas26[[#This Row],[PRECIO BARRA]])</f>
        <v>#VALUE!</v>
      </c>
      <c r="K1679">
        <v>250</v>
      </c>
      <c r="L1679" t="s">
        <v>496</v>
      </c>
      <c r="M1679" t="s">
        <v>714</v>
      </c>
    </row>
    <row r="1680" spans="1:13">
      <c r="A1680">
        <v>1506</v>
      </c>
      <c r="B1680">
        <v>1060</v>
      </c>
      <c r="C16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43LH-LF 5100/6B</v>
      </c>
      <c r="D1680" s="32">
        <v>46195</v>
      </c>
      <c r="E16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8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80">
        <v>1</v>
      </c>
      <c r="I1680">
        <f>(salidas26[[#This Row],[CANT JUEGOS ]]*salidas26[[#This Row],[PRECIO JUEGO]])</f>
        <v>180</v>
      </c>
      <c r="J1680">
        <f>(salidas26[[#This Row],[CANT BARRAS]]*salidas26[[#This Row],[PRECIO BARRA]])</f>
        <v>0</v>
      </c>
      <c r="K1680">
        <v>150</v>
      </c>
      <c r="L1680" t="s">
        <v>496</v>
      </c>
      <c r="M1680" t="s">
        <v>714</v>
      </c>
    </row>
    <row r="1681" spans="1:13">
      <c r="A1681">
        <v>1507</v>
      </c>
      <c r="B1681">
        <v>1024</v>
      </c>
      <c r="C16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1681" s="32">
        <v>46195</v>
      </c>
      <c r="E16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68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681">
        <v>1</v>
      </c>
      <c r="I1681">
        <f>(salidas26[[#This Row],[CANT JUEGOS ]]*salidas26[[#This Row],[PRECIO JUEGO]])</f>
        <v>100</v>
      </c>
      <c r="J1681">
        <f>(salidas26[[#This Row],[CANT BARRAS]]*salidas26[[#This Row],[PRECIO BARRA]])</f>
        <v>0</v>
      </c>
      <c r="K1681">
        <v>80</v>
      </c>
      <c r="L1681" t="s">
        <v>496</v>
      </c>
      <c r="M1681" t="s">
        <v>714</v>
      </c>
    </row>
    <row r="1682" spans="1:13">
      <c r="A1682">
        <v>1508</v>
      </c>
      <c r="B1682">
        <v>8033</v>
      </c>
      <c r="C16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682" s="32">
        <v>46195</v>
      </c>
      <c r="E16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6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682">
        <v>2</v>
      </c>
      <c r="I1682">
        <f>(salidas26[[#This Row],[CANT JUEGOS ]]*salidas26[[#This Row],[PRECIO JUEGO]])</f>
        <v>300</v>
      </c>
      <c r="J1682">
        <f>(salidas26[[#This Row],[CANT BARRAS]]*salidas26[[#This Row],[PRECIO BARRA]])</f>
        <v>0</v>
      </c>
      <c r="K1682">
        <v>260</v>
      </c>
      <c r="L1682" t="s">
        <v>496</v>
      </c>
      <c r="M1682" t="s">
        <v>714</v>
      </c>
    </row>
    <row r="1683" spans="1:13">
      <c r="A1683">
        <v>1509</v>
      </c>
      <c r="B1683">
        <v>6027</v>
      </c>
      <c r="C16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683" s="32">
        <v>46195</v>
      </c>
      <c r="E16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6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683">
        <v>3</v>
      </c>
      <c r="I1683">
        <f>(salidas26[[#This Row],[CANT JUEGOS ]]*salidas26[[#This Row],[PRECIO JUEGO]])</f>
        <v>0</v>
      </c>
      <c r="J1683">
        <f>(salidas26[[#This Row],[CANT BARRAS]]*salidas26[[#This Row],[PRECIO BARRA]])</f>
        <v>84</v>
      </c>
      <c r="K1683">
        <v>80</v>
      </c>
      <c r="L1683" t="s">
        <v>496</v>
      </c>
      <c r="M1683" t="s">
        <v>714</v>
      </c>
    </row>
    <row r="1684" spans="1:13">
      <c r="A1684">
        <v>1510</v>
      </c>
      <c r="B1684">
        <v>3027</v>
      </c>
      <c r="C16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50U6600 5L/9B</v>
      </c>
      <c r="D1684" s="32">
        <v>46196</v>
      </c>
      <c r="E16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6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1684">
        <v>1</v>
      </c>
      <c r="I1684">
        <f>(salidas26[[#This Row],[CANT JUEGOS ]]*salidas26[[#This Row],[PRECIO JUEGO]])</f>
        <v>280</v>
      </c>
      <c r="J1684">
        <f>(salidas26[[#This Row],[CANT BARRAS]]*salidas26[[#This Row],[PRECIO BARRA]])</f>
        <v>0</v>
      </c>
      <c r="K1684">
        <v>280</v>
      </c>
      <c r="L1684" t="s">
        <v>465</v>
      </c>
      <c r="M1684" t="s">
        <v>628</v>
      </c>
    </row>
    <row r="1685" spans="1:13">
      <c r="A1685">
        <v>1513</v>
      </c>
      <c r="B1685">
        <v>8098</v>
      </c>
      <c r="C16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65 PREMIER 11B/6L </v>
      </c>
      <c r="D1685" s="32">
        <v>46197</v>
      </c>
      <c r="E16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6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685">
        <v>1</v>
      </c>
      <c r="I1685">
        <f>(salidas26[[#This Row],[CANT JUEGOS ]]*salidas26[[#This Row],[PRECIO JUEGO]])</f>
        <v>420</v>
      </c>
      <c r="J1685">
        <f>(salidas26[[#This Row],[CANT BARRAS]]*salidas26[[#This Row],[PRECIO BARRA]])</f>
        <v>0</v>
      </c>
      <c r="K1685">
        <v>400</v>
      </c>
      <c r="L1685" t="s">
        <v>465</v>
      </c>
      <c r="M1685" t="s">
        <v>628</v>
      </c>
    </row>
    <row r="1686" spans="1:13">
      <c r="A1686">
        <v>1514</v>
      </c>
      <c r="B1686">
        <v>8104</v>
      </c>
      <c r="C16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LT65KB527 10 B</v>
      </c>
      <c r="D1686" s="32">
        <v>46197</v>
      </c>
      <c r="E16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6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686">
        <v>1</v>
      </c>
      <c r="I1686">
        <f>(salidas26[[#This Row],[CANT JUEGOS ]]*salidas26[[#This Row],[PRECIO JUEGO]])</f>
        <v>400</v>
      </c>
      <c r="J1686">
        <f>(salidas26[[#This Row],[CANT BARRAS]]*salidas26[[#This Row],[PRECIO BARRA]])</f>
        <v>0</v>
      </c>
      <c r="K1686">
        <v>450</v>
      </c>
      <c r="L1686" t="s">
        <v>496</v>
      </c>
      <c r="M1686" t="s">
        <v>485</v>
      </c>
    </row>
    <row r="1687" spans="1:13">
      <c r="A1687">
        <v>1515</v>
      </c>
      <c r="B1687">
        <v>1033</v>
      </c>
      <c r="C16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687" s="32">
        <v>46197</v>
      </c>
      <c r="E16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687">
        <v>1</v>
      </c>
      <c r="I1687">
        <f>(salidas26[[#This Row],[CANT JUEGOS ]]*salidas26[[#This Row],[PRECIO JUEGO]])</f>
        <v>180</v>
      </c>
      <c r="J1687">
        <f>(salidas26[[#This Row],[CANT BARRAS]]*salidas26[[#This Row],[PRECIO BARRA]])</f>
        <v>0</v>
      </c>
      <c r="K1687">
        <v>200</v>
      </c>
      <c r="L1687" t="s">
        <v>496</v>
      </c>
      <c r="M1687" t="s">
        <v>485</v>
      </c>
    </row>
    <row r="1688" spans="1:13">
      <c r="A1688">
        <v>1516</v>
      </c>
      <c r="B1688">
        <v>2033</v>
      </c>
      <c r="C16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UN46F5000 - F6400 /16B</v>
      </c>
      <c r="D1688" s="32">
        <v>46197</v>
      </c>
      <c r="E16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6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21.875</v>
      </c>
      <c r="G1688">
        <v>1</v>
      </c>
      <c r="I1688">
        <f>(salidas26[[#This Row],[CANT JUEGOS ]]*salidas26[[#This Row],[PRECIO JUEGO]])</f>
        <v>350</v>
      </c>
      <c r="J1688">
        <f>(salidas26[[#This Row],[CANT BARRAS]]*salidas26[[#This Row],[PRECIO BARRA]])</f>
        <v>0</v>
      </c>
      <c r="K1688">
        <v>321</v>
      </c>
      <c r="L1688" t="s">
        <v>496</v>
      </c>
      <c r="M1688" t="s">
        <v>485</v>
      </c>
    </row>
    <row r="1689" spans="1:13">
      <c r="A1689">
        <v>1517</v>
      </c>
      <c r="B1689">
        <v>1117</v>
      </c>
      <c r="C16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55LB6500/10B/6V </v>
      </c>
      <c r="D1689" s="32">
        <v>46196</v>
      </c>
      <c r="E16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6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689">
        <v>1</v>
      </c>
      <c r="I1689">
        <f>(salidas26[[#This Row],[CANT JUEGOS ]]*salidas26[[#This Row],[PRECIO JUEGO]])</f>
        <v>350</v>
      </c>
      <c r="J1689">
        <f>(salidas26[[#This Row],[CANT BARRAS]]*salidas26[[#This Row],[PRECIO BARRA]])</f>
        <v>0</v>
      </c>
      <c r="K1689">
        <v>330</v>
      </c>
      <c r="L1689" t="s">
        <v>496</v>
      </c>
      <c r="M1689" t="s">
        <v>474</v>
      </c>
    </row>
    <row r="1690" spans="1:13">
      <c r="A1690">
        <v>1518</v>
      </c>
      <c r="B1690">
        <v>3009</v>
      </c>
      <c r="C16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43U6600 4B/ 8L/3V DIF 180º</v>
      </c>
      <c r="D1690" s="32">
        <v>46196</v>
      </c>
      <c r="E16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6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690">
        <v>1</v>
      </c>
      <c r="H1690">
        <v>3</v>
      </c>
      <c r="I1690">
        <f>(salidas26[[#This Row],[CANT JUEGOS ]]*salidas26[[#This Row],[PRECIO JUEGO]])</f>
        <v>220</v>
      </c>
      <c r="J1690">
        <f>(salidas26[[#This Row],[CANT BARRAS]]*salidas26[[#This Row],[PRECIO BARRA]])</f>
        <v>165</v>
      </c>
      <c r="K1690">
        <v>150</v>
      </c>
      <c r="L1690" t="s">
        <v>496</v>
      </c>
      <c r="M1690" t="s">
        <v>474</v>
      </c>
    </row>
    <row r="1691" spans="1:13">
      <c r="A1691">
        <v>1519</v>
      </c>
      <c r="B1691">
        <v>6027</v>
      </c>
      <c r="C16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691" s="32">
        <v>46196</v>
      </c>
      <c r="E16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6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691">
        <v>2</v>
      </c>
      <c r="I1691">
        <f>(salidas26[[#This Row],[CANT JUEGOS ]]*salidas26[[#This Row],[PRECIO JUEGO]])</f>
        <v>0</v>
      </c>
      <c r="J1691">
        <f>(salidas26[[#This Row],[CANT BARRAS]]*salidas26[[#This Row],[PRECIO BARRA]])</f>
        <v>56</v>
      </c>
      <c r="K1691">
        <v>50</v>
      </c>
      <c r="L1691" t="s">
        <v>496</v>
      </c>
      <c r="M1691" t="s">
        <v>474</v>
      </c>
    </row>
    <row r="1692" spans="1:13">
      <c r="A1692">
        <v>1520</v>
      </c>
      <c r="B1692">
        <v>8015</v>
      </c>
      <c r="C16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692" s="32">
        <v>46196</v>
      </c>
      <c r="E16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92">
        <v>2</v>
      </c>
      <c r="I1692">
        <f>(salidas26[[#This Row],[CANT JUEGOS ]]*salidas26[[#This Row],[PRECIO JUEGO]])</f>
        <v>120</v>
      </c>
      <c r="J1692">
        <f>(salidas26[[#This Row],[CANT BARRAS]]*salidas26[[#This Row],[PRECIO BARRA]])</f>
        <v>0</v>
      </c>
      <c r="K1692">
        <v>100</v>
      </c>
      <c r="L1692" t="s">
        <v>496</v>
      </c>
      <c r="M1692" t="s">
        <v>474</v>
      </c>
    </row>
    <row r="1693" spans="1:13">
      <c r="A1693">
        <v>1521</v>
      </c>
      <c r="B1693">
        <v>2039</v>
      </c>
      <c r="C16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UN48H4200/8B</v>
      </c>
      <c r="D1693" s="32">
        <v>46197</v>
      </c>
      <c r="E16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6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693">
        <v>1</v>
      </c>
      <c r="I1693">
        <f>(salidas26[[#This Row],[CANT JUEGOS ]]*salidas26[[#This Row],[PRECIO JUEGO]])</f>
        <v>280</v>
      </c>
      <c r="J1693">
        <f>(salidas26[[#This Row],[CANT BARRAS]]*salidas26[[#This Row],[PRECIO BARRA]])</f>
        <v>0</v>
      </c>
      <c r="K1693">
        <v>270</v>
      </c>
      <c r="L1693" t="s">
        <v>496</v>
      </c>
      <c r="M1693" t="s">
        <v>466</v>
      </c>
    </row>
    <row r="1694" spans="1:13">
      <c r="A1694">
        <v>1522</v>
      </c>
      <c r="B1694">
        <v>2003</v>
      </c>
      <c r="C16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UN32F5000-SAMSUNG 5B</v>
      </c>
      <c r="D1694" s="32">
        <v>46197</v>
      </c>
      <c r="E16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130</v>
      </c>
      <c r="F16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694">
        <v>1</v>
      </c>
      <c r="I1694">
        <f>(salidas26[[#This Row],[CANT JUEGOS ]]*salidas26[[#This Row],[PRECIO JUEGO]])</f>
        <v>130</v>
      </c>
      <c r="J1694">
        <f>(salidas26[[#This Row],[CANT BARRAS]]*salidas26[[#This Row],[PRECIO BARRA]])</f>
        <v>0</v>
      </c>
      <c r="M1694" t="s">
        <v>677</v>
      </c>
    </row>
    <row r="1695" spans="1:13">
      <c r="A1695">
        <v>1523</v>
      </c>
      <c r="B1695">
        <v>2027</v>
      </c>
      <c r="C16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695" s="32">
        <v>46197</v>
      </c>
      <c r="E16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6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695">
        <v>1</v>
      </c>
      <c r="I1695">
        <f>(salidas26[[#This Row],[CANT JUEGOS ]]*salidas26[[#This Row],[PRECIO JUEGO]])</f>
        <v>180</v>
      </c>
      <c r="J1695">
        <f>(salidas26[[#This Row],[CANT BARRAS]]*salidas26[[#This Row],[PRECIO BARRA]])</f>
        <v>0</v>
      </c>
      <c r="K1695">
        <v>180</v>
      </c>
      <c r="L1695" t="s">
        <v>465</v>
      </c>
      <c r="M1695" t="s">
        <v>523</v>
      </c>
    </row>
    <row r="1696" spans="1:13">
      <c r="A1696">
        <v>1524</v>
      </c>
      <c r="B1696">
        <v>8014</v>
      </c>
      <c r="C16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PREMIER 5L/6V/2B</v>
      </c>
      <c r="D1696" s="32">
        <v>46197</v>
      </c>
      <c r="E16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69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696">
        <v>1</v>
      </c>
      <c r="I1696">
        <f>(salidas26[[#This Row],[CANT JUEGOS ]]*salidas26[[#This Row],[PRECIO JUEGO]])</f>
        <v>60</v>
      </c>
      <c r="J1696" t="e">
        <f>(salidas26[[#This Row],[CANT BARRAS]]*salidas26[[#This Row],[PRECIO BARRA]])</f>
        <v>#VALUE!</v>
      </c>
      <c r="K1696">
        <v>50</v>
      </c>
      <c r="L1696" t="s">
        <v>465</v>
      </c>
      <c r="M1696" t="s">
        <v>470</v>
      </c>
    </row>
    <row r="1697" spans="1:13">
      <c r="A1697">
        <v>1525</v>
      </c>
      <c r="B1697">
        <v>5006</v>
      </c>
      <c r="C16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KDL-32R304B/3B</v>
      </c>
      <c r="D1697" s="32">
        <v>46197</v>
      </c>
      <c r="E16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97">
        <v>1</v>
      </c>
      <c r="I1697">
        <f>(salidas26[[#This Row],[CANT JUEGOS ]]*salidas26[[#This Row],[PRECIO JUEGO]])</f>
        <v>90</v>
      </c>
      <c r="J1697">
        <f>(salidas26[[#This Row],[CANT BARRAS]]*salidas26[[#This Row],[PRECIO BARRA]])</f>
        <v>0</v>
      </c>
      <c r="K1697">
        <v>90</v>
      </c>
      <c r="L1697" t="s">
        <v>465</v>
      </c>
      <c r="M1697" t="s">
        <v>658</v>
      </c>
    </row>
    <row r="1698" spans="1:13">
      <c r="A1698">
        <v>1526</v>
      </c>
      <c r="B1698">
        <v>5018</v>
      </c>
      <c r="C16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698" s="32">
        <v>46197</v>
      </c>
      <c r="E16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6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698">
        <v>1</v>
      </c>
      <c r="I1698">
        <f>(salidas26[[#This Row],[CANT JUEGOS ]]*salidas26[[#This Row],[PRECIO JUEGO]])</f>
        <v>200</v>
      </c>
      <c r="J1698">
        <f>(salidas26[[#This Row],[CANT BARRAS]]*salidas26[[#This Row],[PRECIO BARRA]])</f>
        <v>0</v>
      </c>
      <c r="K1698">
        <v>160</v>
      </c>
      <c r="L1698" t="s">
        <v>465</v>
      </c>
      <c r="M1698" t="s">
        <v>497</v>
      </c>
    </row>
    <row r="1699" spans="1:13">
      <c r="A1699">
        <v>1527</v>
      </c>
      <c r="B1699">
        <v>3000</v>
      </c>
      <c r="C16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699" s="32">
        <v>46197</v>
      </c>
      <c r="E16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6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699">
        <v>1</v>
      </c>
      <c r="I1699">
        <f>(salidas26[[#This Row],[CANT JUEGOS ]]*salidas26[[#This Row],[PRECIO JUEGO]])</f>
        <v>90</v>
      </c>
      <c r="J1699">
        <f>(salidas26[[#This Row],[CANT BARRAS]]*salidas26[[#This Row],[PRECIO BARRA]])</f>
        <v>0</v>
      </c>
      <c r="K1699">
        <v>72</v>
      </c>
      <c r="L1699" t="s">
        <v>465</v>
      </c>
      <c r="M1699" t="s">
        <v>497</v>
      </c>
    </row>
    <row r="1700" spans="1:13">
      <c r="A1700">
        <v>1528</v>
      </c>
      <c r="B1700">
        <v>2000</v>
      </c>
      <c r="C17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700" s="32">
        <v>46197</v>
      </c>
      <c r="E17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7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00">
        <v>1</v>
      </c>
      <c r="I1700">
        <f>(salidas26[[#This Row],[CANT JUEGOS ]]*salidas26[[#This Row],[PRECIO JUEGO]])</f>
        <v>80</v>
      </c>
      <c r="J1700">
        <f>(salidas26[[#This Row],[CANT BARRAS]]*salidas26[[#This Row],[PRECIO BARRA]])</f>
        <v>0</v>
      </c>
      <c r="K1700">
        <v>64</v>
      </c>
      <c r="L1700" t="s">
        <v>465</v>
      </c>
      <c r="M1700" t="s">
        <v>497</v>
      </c>
    </row>
    <row r="1701" spans="1:13">
      <c r="A1701">
        <v>1529</v>
      </c>
      <c r="B1701">
        <v>8090</v>
      </c>
      <c r="C17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TCL /8B/MASTER MGS5502XMG-</v>
      </c>
      <c r="D1701" s="32">
        <v>46197</v>
      </c>
      <c r="E17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0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701">
        <v>1</v>
      </c>
      <c r="I1701">
        <f>(salidas26[[#This Row],[CANT JUEGOS ]]*salidas26[[#This Row],[PRECIO JUEGO]])</f>
        <v>300</v>
      </c>
      <c r="J1701" t="e">
        <f>(salidas26[[#This Row],[CANT BARRAS]]*salidas26[[#This Row],[PRECIO BARRA]])</f>
        <v>#VALUE!</v>
      </c>
      <c r="K1701">
        <v>240</v>
      </c>
      <c r="L1701" t="s">
        <v>465</v>
      </c>
      <c r="M1701" t="s">
        <v>497</v>
      </c>
    </row>
    <row r="1702" spans="1:13">
      <c r="A1702">
        <v>1530</v>
      </c>
      <c r="B1702">
        <v>8015</v>
      </c>
      <c r="C17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702" s="32">
        <v>46197</v>
      </c>
      <c r="E17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02">
        <v>1</v>
      </c>
      <c r="I1702">
        <f>(salidas26[[#This Row],[CANT JUEGOS ]]*salidas26[[#This Row],[PRECIO JUEGO]])</f>
        <v>60</v>
      </c>
      <c r="J1702">
        <f>(salidas26[[#This Row],[CANT BARRAS]]*salidas26[[#This Row],[PRECIO BARRA]])</f>
        <v>0</v>
      </c>
      <c r="K1702">
        <v>50</v>
      </c>
      <c r="L1702" t="s">
        <v>465</v>
      </c>
      <c r="M1702" t="s">
        <v>730</v>
      </c>
    </row>
    <row r="1703" spans="1:13">
      <c r="A1703">
        <v>1531</v>
      </c>
      <c r="B1703">
        <v>8030</v>
      </c>
      <c r="C17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CHINO TCL 10L/6V/2B DIF 180º</v>
      </c>
      <c r="D1703" s="32">
        <v>46197</v>
      </c>
      <c r="E17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7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03">
        <v>1</v>
      </c>
      <c r="I1703">
        <f>(salidas26[[#This Row],[CANT JUEGOS ]]*salidas26[[#This Row],[PRECIO JUEGO]])</f>
        <v>150</v>
      </c>
      <c r="J1703">
        <f>(salidas26[[#This Row],[CANT BARRAS]]*salidas26[[#This Row],[PRECIO BARRA]])</f>
        <v>0</v>
      </c>
      <c r="K1703">
        <v>140</v>
      </c>
      <c r="L1703" t="s">
        <v>465</v>
      </c>
      <c r="M1703" t="s">
        <v>924</v>
      </c>
    </row>
    <row r="1704" spans="1:13">
      <c r="A1704">
        <v>1532</v>
      </c>
      <c r="B1704">
        <v>8067</v>
      </c>
      <c r="C17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704" s="32">
        <v>46197</v>
      </c>
      <c r="E17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04">
        <v>1</v>
      </c>
      <c r="I1704">
        <f>(salidas26[[#This Row],[CANT JUEGOS ]]*salidas26[[#This Row],[PRECIO JUEGO]])</f>
        <v>220</v>
      </c>
      <c r="J1704">
        <f>(salidas26[[#This Row],[CANT BARRAS]]*salidas26[[#This Row],[PRECIO BARRA]])</f>
        <v>0</v>
      </c>
      <c r="K1704">
        <v>200</v>
      </c>
      <c r="L1704" t="s">
        <v>465</v>
      </c>
      <c r="M1704" t="s">
        <v>924</v>
      </c>
    </row>
    <row r="1705" spans="1:13">
      <c r="A1705">
        <v>1533</v>
      </c>
      <c r="B1705">
        <v>6009</v>
      </c>
      <c r="C17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705" s="32">
        <v>46197</v>
      </c>
      <c r="E17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705">
        <v>6</v>
      </c>
      <c r="I1705">
        <f>(salidas26[[#This Row],[CANT JUEGOS ]]*salidas26[[#This Row],[PRECIO JUEGO]])</f>
        <v>0</v>
      </c>
      <c r="J1705">
        <f>(salidas26[[#This Row],[CANT BARRAS]]*salidas26[[#This Row],[PRECIO BARRA]])</f>
        <v>135</v>
      </c>
      <c r="K1705">
        <v>160</v>
      </c>
      <c r="L1705" t="s">
        <v>465</v>
      </c>
      <c r="M1705" t="s">
        <v>876</v>
      </c>
    </row>
    <row r="1706" spans="1:13">
      <c r="A1706">
        <v>1535</v>
      </c>
      <c r="B1706">
        <v>1033</v>
      </c>
      <c r="C17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706" s="32">
        <v>46198</v>
      </c>
      <c r="E17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706">
        <v>1</v>
      </c>
      <c r="I1706">
        <f>(salidas26[[#This Row],[CANT JUEGOS ]]*salidas26[[#This Row],[PRECIO JUEGO]])</f>
        <v>180</v>
      </c>
      <c r="J1706">
        <f>(salidas26[[#This Row],[CANT BARRAS]]*salidas26[[#This Row],[PRECIO BARRA]])</f>
        <v>0</v>
      </c>
      <c r="K1706">
        <v>180</v>
      </c>
      <c r="L1706" t="s">
        <v>465</v>
      </c>
      <c r="M1706" t="s">
        <v>468</v>
      </c>
    </row>
    <row r="1707" spans="1:13">
      <c r="A1707">
        <v>1536</v>
      </c>
      <c r="B1707">
        <v>7018</v>
      </c>
      <c r="C17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IRT 5L/3V KONKA- CROWN-TV5577SD/9L/9B</v>
      </c>
      <c r="D1707" s="32">
        <v>46198</v>
      </c>
      <c r="E17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7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1707">
        <v>1</v>
      </c>
      <c r="I1707">
        <f>(salidas26[[#This Row],[CANT JUEGOS ]]*salidas26[[#This Row],[PRECIO JUEGO]])</f>
        <v>280</v>
      </c>
      <c r="J1707">
        <f>(salidas26[[#This Row],[CANT BARRAS]]*salidas26[[#This Row],[PRECIO BARRA]])</f>
        <v>0</v>
      </c>
      <c r="K1707">
        <v>280</v>
      </c>
      <c r="L1707" t="s">
        <v>465</v>
      </c>
      <c r="M1707" t="s">
        <v>628</v>
      </c>
    </row>
    <row r="1708" spans="1:13">
      <c r="A1708">
        <v>1537</v>
      </c>
      <c r="B1708">
        <v>2072</v>
      </c>
      <c r="C17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UN55H6400/12B</v>
      </c>
      <c r="D1708" s="32">
        <v>46198</v>
      </c>
      <c r="E17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480</v>
      </c>
      <c r="F17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08">
        <v>1</v>
      </c>
      <c r="H1708">
        <v>8</v>
      </c>
      <c r="I1708">
        <f>(salidas26[[#This Row],[CANT JUEGOS ]]*salidas26[[#This Row],[PRECIO JUEGO]])</f>
        <v>480</v>
      </c>
      <c r="J1708">
        <f>(salidas26[[#This Row],[CANT BARRAS]]*salidas26[[#This Row],[PRECIO BARRA]])</f>
        <v>320</v>
      </c>
      <c r="K1708">
        <v>250</v>
      </c>
      <c r="L1708" t="s">
        <v>496</v>
      </c>
      <c r="M1708" t="s">
        <v>471</v>
      </c>
    </row>
    <row r="1709" spans="1:13">
      <c r="A1709">
        <v>1538</v>
      </c>
      <c r="B1709" t="s">
        <v>858</v>
      </c>
      <c r="C17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SUE 9500</v>
      </c>
      <c r="D1709" s="32">
        <v>46198</v>
      </c>
      <c r="E17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70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709">
        <v>1</v>
      </c>
      <c r="I1709">
        <f>(salidas26[[#This Row],[CANT JUEGOS ]]*salidas26[[#This Row],[PRECIO JUEGO]])</f>
        <v>420</v>
      </c>
      <c r="J1709" t="e">
        <f>(salidas26[[#This Row],[CANT BARRAS]]*salidas26[[#This Row],[PRECIO BARRA]])</f>
        <v>#VALUE!</v>
      </c>
      <c r="K1709">
        <v>400</v>
      </c>
      <c r="L1709" t="s">
        <v>465</v>
      </c>
      <c r="M1709" t="s">
        <v>948</v>
      </c>
    </row>
    <row r="1710" spans="1:13">
      <c r="A1710">
        <v>1539</v>
      </c>
      <c r="B1710">
        <v>8124</v>
      </c>
      <c r="C17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LED SUELTO LUPA NORMAL 3V/2W S/C </v>
      </c>
      <c r="D1710" s="32">
        <v>46198</v>
      </c>
      <c r="E17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7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710">
        <v>12</v>
      </c>
      <c r="I1710">
        <f>(salidas26[[#This Row],[CANT JUEGOS ]]*salidas26[[#This Row],[PRECIO JUEGO]])</f>
        <v>0</v>
      </c>
      <c r="J1710">
        <f>(salidas26[[#This Row],[CANT BARRAS]]*salidas26[[#This Row],[PRECIO BARRA]])</f>
        <v>42</v>
      </c>
      <c r="K1710">
        <v>42</v>
      </c>
      <c r="L1710" t="s">
        <v>496</v>
      </c>
      <c r="M1710" t="s">
        <v>706</v>
      </c>
    </row>
    <row r="1711" spans="1:13">
      <c r="A1711">
        <v>1540</v>
      </c>
      <c r="B1711">
        <v>8069</v>
      </c>
      <c r="C17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711" s="32">
        <v>46198</v>
      </c>
      <c r="E17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11">
        <v>1</v>
      </c>
      <c r="I1711">
        <f>(salidas26[[#This Row],[CANT JUEGOS ]]*salidas26[[#This Row],[PRECIO JUEGO]])</f>
        <v>220</v>
      </c>
      <c r="J1711">
        <f>(salidas26[[#This Row],[CANT BARRAS]]*salidas26[[#This Row],[PRECIO BARRA]])</f>
        <v>0</v>
      </c>
      <c r="K1711">
        <v>210</v>
      </c>
      <c r="L1711" t="s">
        <v>496</v>
      </c>
      <c r="M1711" t="s">
        <v>474</v>
      </c>
    </row>
    <row r="1712" spans="1:13">
      <c r="A1712">
        <v>1541</v>
      </c>
      <c r="B1712">
        <v>3021</v>
      </c>
      <c r="C17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U6500 3V/6L/12B</v>
      </c>
      <c r="D1712" s="32">
        <v>46198</v>
      </c>
      <c r="E17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7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20.833333333333332</v>
      </c>
      <c r="G1712">
        <v>1</v>
      </c>
      <c r="I1712">
        <f>(salidas26[[#This Row],[CANT JUEGOS ]]*salidas26[[#This Row],[PRECIO JUEGO]])</f>
        <v>250</v>
      </c>
      <c r="J1712">
        <f>(salidas26[[#This Row],[CANT BARRAS]]*salidas26[[#This Row],[PRECIO BARRA]])</f>
        <v>0</v>
      </c>
      <c r="K1712">
        <v>250</v>
      </c>
      <c r="L1712" t="s">
        <v>496</v>
      </c>
      <c r="M1712" t="s">
        <v>474</v>
      </c>
    </row>
    <row r="1713" spans="1:13">
      <c r="A1713">
        <v>1542</v>
      </c>
      <c r="B1713">
        <v>1138</v>
      </c>
      <c r="C17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713" s="32">
        <v>46198</v>
      </c>
      <c r="E17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7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713">
        <v>1</v>
      </c>
      <c r="I1713">
        <f>(salidas26[[#This Row],[CANT JUEGOS ]]*salidas26[[#This Row],[PRECIO JUEGO]])</f>
        <v>280</v>
      </c>
      <c r="J1713">
        <f>(salidas26[[#This Row],[CANT BARRAS]]*salidas26[[#This Row],[PRECIO BARRA]])</f>
        <v>0</v>
      </c>
      <c r="K1713">
        <v>250</v>
      </c>
      <c r="L1713" t="s">
        <v>496</v>
      </c>
      <c r="M1713" t="s">
        <v>628</v>
      </c>
    </row>
    <row r="1714" spans="1:13">
      <c r="A1714">
        <v>1543</v>
      </c>
      <c r="B1714">
        <v>3006</v>
      </c>
      <c r="C17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714" s="32">
        <v>46198</v>
      </c>
      <c r="E17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1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714">
        <v>1</v>
      </c>
      <c r="I1714">
        <f>(salidas26[[#This Row],[CANT JUEGOS ]]*salidas26[[#This Row],[PRECIO JUEGO]])</f>
        <v>180</v>
      </c>
      <c r="J1714">
        <f>(salidas26[[#This Row],[CANT BARRAS]]*salidas26[[#This Row],[PRECIO BARRA]])</f>
        <v>0</v>
      </c>
      <c r="K1714">
        <v>180</v>
      </c>
      <c r="L1714" t="s">
        <v>465</v>
      </c>
      <c r="M1714" t="s">
        <v>876</v>
      </c>
    </row>
    <row r="1715" spans="1:13">
      <c r="A1715">
        <v>1544</v>
      </c>
      <c r="B1715">
        <v>8100</v>
      </c>
      <c r="C17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715" s="32">
        <v>46198</v>
      </c>
      <c r="E17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15">
        <v>1</v>
      </c>
      <c r="I1715">
        <f>(salidas26[[#This Row],[CANT JUEGOS ]]*salidas26[[#This Row],[PRECIO JUEGO]])</f>
        <v>300</v>
      </c>
      <c r="J1715">
        <f>(salidas26[[#This Row],[CANT BARRAS]]*salidas26[[#This Row],[PRECIO BARRA]])</f>
        <v>0</v>
      </c>
      <c r="K1715">
        <v>300</v>
      </c>
      <c r="L1715" t="s">
        <v>496</v>
      </c>
      <c r="M1715" t="s">
        <v>566</v>
      </c>
    </row>
    <row r="1716" spans="1:13">
      <c r="A1716">
        <v>1545</v>
      </c>
      <c r="B1716">
        <v>4003</v>
      </c>
      <c r="C17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716" s="32">
        <v>46198</v>
      </c>
      <c r="E17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16">
        <v>1</v>
      </c>
      <c r="I1716">
        <f>(salidas26[[#This Row],[CANT JUEGOS ]]*salidas26[[#This Row],[PRECIO JUEGO]])</f>
        <v>90</v>
      </c>
      <c r="J1716">
        <f>(salidas26[[#This Row],[CANT BARRAS]]*salidas26[[#This Row],[PRECIO BARRA]])</f>
        <v>0</v>
      </c>
      <c r="K1716">
        <v>80</v>
      </c>
      <c r="L1716" t="s">
        <v>496</v>
      </c>
      <c r="M1716" t="s">
        <v>481</v>
      </c>
    </row>
    <row r="1717" spans="1:13">
      <c r="A1717">
        <v>1546</v>
      </c>
      <c r="B1717">
        <v>4003</v>
      </c>
      <c r="C17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717" s="32">
        <v>46198</v>
      </c>
      <c r="E17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17">
        <v>1</v>
      </c>
      <c r="H1717">
        <v>2</v>
      </c>
      <c r="I1717">
        <f>(salidas26[[#This Row],[CANT JUEGOS ]]*salidas26[[#This Row],[PRECIO JUEGO]])</f>
        <v>90</v>
      </c>
      <c r="J1717">
        <f>(salidas26[[#This Row],[CANT BARRAS]]*salidas26[[#This Row],[PRECIO BARRA]])</f>
        <v>60</v>
      </c>
      <c r="K1717">
        <v>50</v>
      </c>
      <c r="L1717" t="s">
        <v>465</v>
      </c>
      <c r="M1717" t="s">
        <v>886</v>
      </c>
    </row>
    <row r="1718" spans="1:13">
      <c r="A1718">
        <v>1548</v>
      </c>
      <c r="B1718">
        <v>2027</v>
      </c>
      <c r="C17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718" s="32">
        <v>46198</v>
      </c>
      <c r="E17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718">
        <v>1</v>
      </c>
      <c r="I1718">
        <f>(salidas26[[#This Row],[CANT JUEGOS ]]*salidas26[[#This Row],[PRECIO JUEGO]])</f>
        <v>180</v>
      </c>
      <c r="J1718">
        <f>(salidas26[[#This Row],[CANT BARRAS]]*salidas26[[#This Row],[PRECIO BARRA]])</f>
        <v>0</v>
      </c>
      <c r="K1718">
        <v>180</v>
      </c>
      <c r="L1718" t="s">
        <v>465</v>
      </c>
      <c r="M1718" t="s">
        <v>484</v>
      </c>
    </row>
    <row r="1719" spans="1:13">
      <c r="A1719">
        <v>1549</v>
      </c>
      <c r="B1719">
        <v>8003</v>
      </c>
      <c r="C17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24 PULG</v>
      </c>
      <c r="D1719" s="32">
        <v>46198</v>
      </c>
      <c r="E17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7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719">
        <v>1</v>
      </c>
      <c r="I1719">
        <f>(salidas26[[#This Row],[CANT JUEGOS ]]*salidas26[[#This Row],[PRECIO JUEGO]])</f>
        <v>70</v>
      </c>
      <c r="J1719">
        <f>(salidas26[[#This Row],[CANT BARRAS]]*salidas26[[#This Row],[PRECIO BARRA]])</f>
        <v>0</v>
      </c>
      <c r="M1719" t="s">
        <v>471</v>
      </c>
    </row>
    <row r="1720" spans="1:13">
      <c r="A1720">
        <v>1550</v>
      </c>
      <c r="B1720">
        <v>8101</v>
      </c>
      <c r="C17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LT-65 KB608 JVC /12B</v>
      </c>
      <c r="D1720" s="32">
        <v>46198</v>
      </c>
      <c r="E17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7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720">
        <v>1</v>
      </c>
      <c r="I1720">
        <f>(salidas26[[#This Row],[CANT JUEGOS ]]*salidas26[[#This Row],[PRECIO JUEGO]])</f>
        <v>400</v>
      </c>
      <c r="J1720">
        <f>(salidas26[[#This Row],[CANT BARRAS]]*salidas26[[#This Row],[PRECIO BARRA]])</f>
        <v>0</v>
      </c>
      <c r="K1720">
        <v>40</v>
      </c>
      <c r="L1720" t="s">
        <v>465</v>
      </c>
      <c r="M1720" t="s">
        <v>876</v>
      </c>
    </row>
    <row r="1721" spans="1:13">
      <c r="A1721">
        <v>1551</v>
      </c>
      <c r="B1721">
        <v>3006</v>
      </c>
      <c r="C17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721" s="32">
        <v>46199</v>
      </c>
      <c r="E17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721">
        <v>2</v>
      </c>
      <c r="I1721">
        <f>(salidas26[[#This Row],[CANT JUEGOS ]]*salidas26[[#This Row],[PRECIO JUEGO]])</f>
        <v>360</v>
      </c>
      <c r="J1721">
        <f>(salidas26[[#This Row],[CANT BARRAS]]*salidas26[[#This Row],[PRECIO BARRA]])</f>
        <v>0</v>
      </c>
      <c r="K1721">
        <v>320</v>
      </c>
      <c r="L1721" t="s">
        <v>465</v>
      </c>
      <c r="M1721" t="s">
        <v>797</v>
      </c>
    </row>
    <row r="1722" spans="1:13">
      <c r="A1722">
        <v>1552</v>
      </c>
      <c r="B1722">
        <v>8069</v>
      </c>
      <c r="C17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722" s="32">
        <v>46199</v>
      </c>
      <c r="E17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22">
        <v>1</v>
      </c>
      <c r="I1722">
        <f>(salidas26[[#This Row],[CANT JUEGOS ]]*salidas26[[#This Row],[PRECIO JUEGO]])</f>
        <v>220</v>
      </c>
      <c r="J1722">
        <f>(salidas26[[#This Row],[CANT BARRAS]]*salidas26[[#This Row],[PRECIO BARRA]])</f>
        <v>0</v>
      </c>
      <c r="K1722">
        <v>250</v>
      </c>
      <c r="L1722" t="s">
        <v>496</v>
      </c>
      <c r="M1722" t="s">
        <v>485</v>
      </c>
    </row>
    <row r="1723" spans="1:13">
      <c r="A1723">
        <v>1553</v>
      </c>
      <c r="B1723">
        <v>3003</v>
      </c>
      <c r="C17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723" s="32">
        <v>46199</v>
      </c>
      <c r="E17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7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23">
        <v>1</v>
      </c>
      <c r="I1723">
        <f>(salidas26[[#This Row],[CANT JUEGOS ]]*salidas26[[#This Row],[PRECIO JUEGO]])</f>
        <v>160</v>
      </c>
      <c r="J1723">
        <f>(salidas26[[#This Row],[CANT BARRAS]]*salidas26[[#This Row],[PRECIO BARRA]])</f>
        <v>0</v>
      </c>
      <c r="K1723">
        <v>164</v>
      </c>
      <c r="L1723" t="s">
        <v>496</v>
      </c>
      <c r="M1723" t="s">
        <v>485</v>
      </c>
    </row>
    <row r="1724" spans="1:13">
      <c r="A1724">
        <v>1554</v>
      </c>
      <c r="B1724">
        <v>8015</v>
      </c>
      <c r="C17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724" s="32">
        <v>46199</v>
      </c>
      <c r="E17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24">
        <v>1</v>
      </c>
      <c r="I1724">
        <f>(salidas26[[#This Row],[CANT JUEGOS ]]*salidas26[[#This Row],[PRECIO JUEGO]])</f>
        <v>60</v>
      </c>
      <c r="J1724">
        <f>(salidas26[[#This Row],[CANT BARRAS]]*salidas26[[#This Row],[PRECIO BARRA]])</f>
        <v>0</v>
      </c>
      <c r="K1724">
        <v>50</v>
      </c>
      <c r="L1724" t="s">
        <v>465</v>
      </c>
      <c r="M1724" t="s">
        <v>730</v>
      </c>
    </row>
    <row r="1725" spans="1:13">
      <c r="A1725">
        <v>1555</v>
      </c>
      <c r="B1725">
        <v>4010</v>
      </c>
      <c r="C17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S780 3B/8LED/3V</v>
      </c>
      <c r="D1725" s="32">
        <v>46199</v>
      </c>
      <c r="E17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7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725">
        <v>1</v>
      </c>
      <c r="H1725">
        <v>1</v>
      </c>
      <c r="I1725">
        <f>(salidas26[[#This Row],[CANT JUEGOS ]]*salidas26[[#This Row],[PRECIO JUEGO]])</f>
        <v>160</v>
      </c>
      <c r="J1725">
        <f>(salidas26[[#This Row],[CANT BARRAS]]*salidas26[[#This Row],[PRECIO BARRA]])</f>
        <v>53.333333333333336</v>
      </c>
      <c r="K1725">
        <v>180</v>
      </c>
      <c r="L1725" t="s">
        <v>465</v>
      </c>
      <c r="M1725" t="s">
        <v>481</v>
      </c>
    </row>
    <row r="1726" spans="1:13">
      <c r="A1726">
        <v>1556</v>
      </c>
      <c r="B1726">
        <v>8033</v>
      </c>
      <c r="C17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726" s="32">
        <v>46199</v>
      </c>
      <c r="E17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7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26">
        <v>1</v>
      </c>
      <c r="I1726">
        <f>(salidas26[[#This Row],[CANT JUEGOS ]]*salidas26[[#This Row],[PRECIO JUEGO]])</f>
        <v>150</v>
      </c>
      <c r="J1726">
        <f>(salidas26[[#This Row],[CANT BARRAS]]*salidas26[[#This Row],[PRECIO BARRA]])</f>
        <v>0</v>
      </c>
      <c r="K1726">
        <v>150</v>
      </c>
      <c r="L1726" t="s">
        <v>496</v>
      </c>
      <c r="M1726" t="s">
        <v>466</v>
      </c>
    </row>
    <row r="1727" spans="1:13">
      <c r="A1727">
        <v>1557</v>
      </c>
      <c r="B1727">
        <v>2024</v>
      </c>
      <c r="C17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727" s="32">
        <v>46199</v>
      </c>
      <c r="E17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27">
        <v>1</v>
      </c>
      <c r="I1727">
        <f>(salidas26[[#This Row],[CANT JUEGOS ]]*salidas26[[#This Row],[PRECIO JUEGO]])</f>
        <v>180</v>
      </c>
      <c r="J1727">
        <f>(salidas26[[#This Row],[CANT BARRAS]]*salidas26[[#This Row],[PRECIO BARRA]])</f>
        <v>0</v>
      </c>
      <c r="K1727">
        <v>180</v>
      </c>
      <c r="L1727" t="s">
        <v>496</v>
      </c>
      <c r="M1727" t="s">
        <v>466</v>
      </c>
    </row>
    <row r="1728" spans="1:13">
      <c r="A1728">
        <v>1558</v>
      </c>
      <c r="B1728">
        <v>4018</v>
      </c>
      <c r="C17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49 DAEWO DOBLE PIN </v>
      </c>
      <c r="D1728" s="32">
        <v>46199</v>
      </c>
      <c r="E17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7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200</v>
      </c>
      <c r="G1728">
        <v>1</v>
      </c>
      <c r="I1728">
        <f>(salidas26[[#This Row],[CANT JUEGOS ]]*salidas26[[#This Row],[PRECIO JUEGO]])</f>
        <v>200</v>
      </c>
      <c r="J1728">
        <f>(salidas26[[#This Row],[CANT BARRAS]]*salidas26[[#This Row],[PRECIO BARRA]])</f>
        <v>0</v>
      </c>
      <c r="K1728">
        <v>200</v>
      </c>
      <c r="L1728" t="s">
        <v>496</v>
      </c>
      <c r="M1728" t="s">
        <v>466</v>
      </c>
    </row>
    <row r="1729" spans="1:13">
      <c r="A1729">
        <v>1559</v>
      </c>
      <c r="B1729">
        <v>7003</v>
      </c>
      <c r="C17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IRT 8L/6V/3B</v>
      </c>
      <c r="D1729" s="32">
        <v>46199</v>
      </c>
      <c r="E17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7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29">
        <v>1</v>
      </c>
      <c r="I1729">
        <f>(salidas26[[#This Row],[CANT JUEGOS ]]*salidas26[[#This Row],[PRECIO JUEGO]])</f>
        <v>150</v>
      </c>
      <c r="J1729">
        <f>(salidas26[[#This Row],[CANT BARRAS]]*salidas26[[#This Row],[PRECIO BARRA]])</f>
        <v>0</v>
      </c>
      <c r="K1729">
        <v>150</v>
      </c>
      <c r="L1729" t="s">
        <v>465</v>
      </c>
      <c r="M1729" t="s">
        <v>523</v>
      </c>
    </row>
    <row r="1730" spans="1:13">
      <c r="A1730">
        <v>1560</v>
      </c>
      <c r="B1730">
        <v>8015</v>
      </c>
      <c r="C17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730" s="32">
        <v>46199</v>
      </c>
      <c r="E17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30">
        <v>1</v>
      </c>
      <c r="I1730">
        <f>(salidas26[[#This Row],[CANT JUEGOS ]]*salidas26[[#This Row],[PRECIO JUEGO]])</f>
        <v>60</v>
      </c>
      <c r="J1730">
        <f>(salidas26[[#This Row],[CANT BARRAS]]*salidas26[[#This Row],[PRECIO BARRA]])</f>
        <v>0</v>
      </c>
      <c r="K1730">
        <v>50</v>
      </c>
      <c r="L1730" t="s">
        <v>496</v>
      </c>
      <c r="M1730" t="s">
        <v>474</v>
      </c>
    </row>
    <row r="1731" spans="1:13">
      <c r="A1731">
        <v>1561</v>
      </c>
      <c r="B1731">
        <v>3003</v>
      </c>
      <c r="C17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40B8000 4B/12LED/3V</v>
      </c>
      <c r="D1731" s="32">
        <v>46199</v>
      </c>
      <c r="E17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7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31">
        <v>1</v>
      </c>
      <c r="I1731">
        <f>(salidas26[[#This Row],[CANT JUEGOS ]]*salidas26[[#This Row],[PRECIO JUEGO]])</f>
        <v>160</v>
      </c>
      <c r="J1731">
        <f>(salidas26[[#This Row],[CANT BARRAS]]*salidas26[[#This Row],[PRECIO BARRA]])</f>
        <v>0</v>
      </c>
      <c r="K1731">
        <v>160</v>
      </c>
      <c r="L1731" t="s">
        <v>465</v>
      </c>
      <c r="M1731" t="s">
        <v>869</v>
      </c>
    </row>
    <row r="1732" spans="1:13">
      <c r="A1732">
        <v>1562</v>
      </c>
      <c r="B1732">
        <v>2063</v>
      </c>
      <c r="C17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UN50NU7100./2B EDGE</v>
      </c>
      <c r="D1732" s="32">
        <v>46199</v>
      </c>
      <c r="E17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90</v>
      </c>
      <c r="G1732">
        <v>1</v>
      </c>
      <c r="I1732">
        <f>(salidas26[[#This Row],[CANT JUEGOS ]]*salidas26[[#This Row],[PRECIO JUEGO]])</f>
        <v>180</v>
      </c>
      <c r="J1732">
        <f>(salidas26[[#This Row],[CANT BARRAS]]*salidas26[[#This Row],[PRECIO BARRA]])</f>
        <v>0</v>
      </c>
      <c r="K1732">
        <v>150</v>
      </c>
      <c r="L1732" t="s">
        <v>465</v>
      </c>
      <c r="M1732" t="s">
        <v>949</v>
      </c>
    </row>
    <row r="1733" spans="1:13">
      <c r="A1733">
        <v>1563</v>
      </c>
      <c r="B1733">
        <v>8100</v>
      </c>
      <c r="C17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733" s="32">
        <v>46199</v>
      </c>
      <c r="E17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33">
        <v>1</v>
      </c>
      <c r="I1733">
        <f>(salidas26[[#This Row],[CANT JUEGOS ]]*salidas26[[#This Row],[PRECIO JUEGO]])</f>
        <v>300</v>
      </c>
      <c r="J1733">
        <f>(salidas26[[#This Row],[CANT BARRAS]]*salidas26[[#This Row],[PRECIO BARRA]])</f>
        <v>0</v>
      </c>
      <c r="K1733">
        <v>250</v>
      </c>
      <c r="L1733" t="s">
        <v>465</v>
      </c>
      <c r="M1733" t="s">
        <v>471</v>
      </c>
    </row>
    <row r="1734" spans="1:13">
      <c r="A1734">
        <v>1564</v>
      </c>
      <c r="B1734">
        <v>8057</v>
      </c>
      <c r="C17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734" s="32">
        <v>46199</v>
      </c>
      <c r="E17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7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34">
        <v>1</v>
      </c>
      <c r="I1734">
        <f>(salidas26[[#This Row],[CANT JUEGOS ]]*salidas26[[#This Row],[PRECIO JUEGO]])</f>
        <v>200</v>
      </c>
      <c r="J1734">
        <f>(salidas26[[#This Row],[CANT BARRAS]]*salidas26[[#This Row],[PRECIO BARRA]])</f>
        <v>0</v>
      </c>
      <c r="K1734">
        <v>200</v>
      </c>
      <c r="L1734" t="s">
        <v>465</v>
      </c>
      <c r="M1734" t="s">
        <v>555</v>
      </c>
    </row>
    <row r="1735" spans="1:13">
      <c r="A1735">
        <v>1565</v>
      </c>
      <c r="B1735">
        <v>2072</v>
      </c>
      <c r="C17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UN55H6400/12B</v>
      </c>
      <c r="D1735" s="32">
        <v>46199</v>
      </c>
      <c r="E17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480</v>
      </c>
      <c r="F17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35">
        <v>1</v>
      </c>
      <c r="I1735">
        <f>(salidas26[[#This Row],[CANT JUEGOS ]]*salidas26[[#This Row],[PRECIO JUEGO]])</f>
        <v>480</v>
      </c>
      <c r="J1735">
        <f>(salidas26[[#This Row],[CANT BARRAS]]*salidas26[[#This Row],[PRECIO BARRA]])</f>
        <v>0</v>
      </c>
      <c r="K1735">
        <v>400</v>
      </c>
      <c r="L1735" t="s">
        <v>496</v>
      </c>
      <c r="M1735" t="s">
        <v>950</v>
      </c>
    </row>
    <row r="1736" spans="1:13">
      <c r="A1736">
        <v>1566</v>
      </c>
      <c r="B1736">
        <v>1090</v>
      </c>
      <c r="C17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49UB8300/ 2B</v>
      </c>
      <c r="D1736" s="32">
        <v>46199</v>
      </c>
      <c r="E17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7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736">
        <v>1</v>
      </c>
      <c r="I1736">
        <f>(salidas26[[#This Row],[CANT JUEGOS ]]*salidas26[[#This Row],[PRECIO JUEGO]])</f>
        <v>250</v>
      </c>
      <c r="J1736">
        <f>(salidas26[[#This Row],[CANT BARRAS]]*salidas26[[#This Row],[PRECIO BARRA]])</f>
        <v>0</v>
      </c>
      <c r="K1736">
        <v>200</v>
      </c>
      <c r="L1736" t="s">
        <v>496</v>
      </c>
      <c r="M1736" t="s">
        <v>950</v>
      </c>
    </row>
    <row r="1737" spans="1:13">
      <c r="A1737">
        <v>1567</v>
      </c>
      <c r="B1737">
        <v>1012</v>
      </c>
      <c r="C17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737" s="32">
        <v>46199</v>
      </c>
      <c r="E17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37">
        <v>1</v>
      </c>
      <c r="I1737">
        <f>(salidas26[[#This Row],[CANT JUEGOS ]]*salidas26[[#This Row],[PRECIO JUEGO]])</f>
        <v>90</v>
      </c>
      <c r="J1737">
        <f>(salidas26[[#This Row],[CANT BARRAS]]*salidas26[[#This Row],[PRECIO BARRA]])</f>
        <v>0</v>
      </c>
      <c r="K1737">
        <v>80</v>
      </c>
      <c r="L1737" t="s">
        <v>496</v>
      </c>
      <c r="M1737" t="s">
        <v>474</v>
      </c>
    </row>
    <row r="1738" spans="1:13">
      <c r="A1738">
        <v>1568</v>
      </c>
      <c r="B1738">
        <v>4011</v>
      </c>
      <c r="C17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DAEWO L43V780BTS 3B/7LED/3V</v>
      </c>
      <c r="D1738" s="32">
        <v>46199</v>
      </c>
      <c r="E17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7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738">
        <v>2</v>
      </c>
      <c r="H1738">
        <v>1</v>
      </c>
      <c r="I1738">
        <f>(salidas26[[#This Row],[CANT JUEGOS ]]*salidas26[[#This Row],[PRECIO JUEGO]])</f>
        <v>320</v>
      </c>
      <c r="J1738">
        <f>(salidas26[[#This Row],[CANT BARRAS]]*salidas26[[#This Row],[PRECIO BARRA]])</f>
        <v>53.333333333333336</v>
      </c>
      <c r="K1738">
        <v>170</v>
      </c>
      <c r="L1738" t="s">
        <v>496</v>
      </c>
      <c r="M1738" t="s">
        <v>474</v>
      </c>
    </row>
    <row r="1739" spans="1:13">
      <c r="A1739">
        <v>1569</v>
      </c>
      <c r="B1739">
        <v>8033</v>
      </c>
      <c r="C17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739" s="32">
        <v>46199</v>
      </c>
      <c r="E17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7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39">
        <v>1</v>
      </c>
      <c r="I1739">
        <f>(salidas26[[#This Row],[CANT JUEGOS ]]*salidas26[[#This Row],[PRECIO JUEGO]])</f>
        <v>150</v>
      </c>
      <c r="J1739">
        <f>(salidas26[[#This Row],[CANT BARRAS]]*salidas26[[#This Row],[PRECIO BARRA]])</f>
        <v>0</v>
      </c>
      <c r="K1739">
        <v>150</v>
      </c>
      <c r="L1739" t="s">
        <v>496</v>
      </c>
      <c r="M1739" t="s">
        <v>466</v>
      </c>
    </row>
    <row r="1740" spans="1:13">
      <c r="A1740">
        <v>1570</v>
      </c>
      <c r="B1740">
        <v>8069</v>
      </c>
      <c r="C17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740" s="32">
        <v>46199</v>
      </c>
      <c r="E17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40">
        <v>1</v>
      </c>
      <c r="I1740">
        <f>(salidas26[[#This Row],[CANT JUEGOS ]]*salidas26[[#This Row],[PRECIO JUEGO]])</f>
        <v>220</v>
      </c>
      <c r="J1740">
        <f>(salidas26[[#This Row],[CANT BARRAS]]*salidas26[[#This Row],[PRECIO BARRA]])</f>
        <v>0</v>
      </c>
      <c r="K1740">
        <v>200</v>
      </c>
      <c r="L1740" t="s">
        <v>496</v>
      </c>
      <c r="M1740" t="s">
        <v>926</v>
      </c>
    </row>
    <row r="1741" spans="1:13">
      <c r="A1741">
        <v>1571</v>
      </c>
      <c r="B1741">
        <v>3027</v>
      </c>
      <c r="C17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50U6600 5L/9B</v>
      </c>
      <c r="D1741" s="32">
        <v>46199</v>
      </c>
      <c r="E17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7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31.111111111111111</v>
      </c>
      <c r="G1741">
        <v>1</v>
      </c>
      <c r="I1741">
        <f>(salidas26[[#This Row],[CANT JUEGOS ]]*salidas26[[#This Row],[PRECIO JUEGO]])</f>
        <v>280</v>
      </c>
      <c r="J1741">
        <f>(salidas26[[#This Row],[CANT BARRAS]]*salidas26[[#This Row],[PRECIO BARRA]])</f>
        <v>0</v>
      </c>
      <c r="K1741">
        <v>220</v>
      </c>
      <c r="L1741" t="s">
        <v>496</v>
      </c>
      <c r="M1741" t="s">
        <v>926</v>
      </c>
    </row>
    <row r="1742" spans="1:13">
      <c r="A1742">
        <v>1574</v>
      </c>
      <c r="B1742">
        <v>9002</v>
      </c>
      <c r="C17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 KB527 14B/7L</v>
      </c>
      <c r="D1742" s="32">
        <v>46200</v>
      </c>
      <c r="E17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7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32.142857142857146</v>
      </c>
      <c r="G1742">
        <v>1</v>
      </c>
      <c r="H1742">
        <v>3</v>
      </c>
      <c r="I1742">
        <f>(salidas26[[#This Row],[CANT JUEGOS ]]*salidas26[[#This Row],[PRECIO JUEGO]])</f>
        <v>450</v>
      </c>
      <c r="J1742">
        <f>(salidas26[[#This Row],[CANT BARRAS]]*salidas26[[#This Row],[PRECIO BARRA]])</f>
        <v>96.428571428571445</v>
      </c>
      <c r="K1742">
        <v>160</v>
      </c>
      <c r="L1742" t="s">
        <v>465</v>
      </c>
      <c r="M1742" t="s">
        <v>658</v>
      </c>
    </row>
    <row r="1743" spans="1:13">
      <c r="A1743">
        <v>1575</v>
      </c>
      <c r="B1743">
        <v>2024</v>
      </c>
      <c r="C17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743" s="32">
        <v>46200</v>
      </c>
      <c r="E17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43">
        <v>1</v>
      </c>
      <c r="I1743">
        <f>(salidas26[[#This Row],[CANT JUEGOS ]]*salidas26[[#This Row],[PRECIO JUEGO]])</f>
        <v>180</v>
      </c>
      <c r="J1743">
        <f>(salidas26[[#This Row],[CANT BARRAS]]*salidas26[[#This Row],[PRECIO BARRA]])</f>
        <v>0</v>
      </c>
      <c r="K1743">
        <v>180</v>
      </c>
      <c r="L1743" t="s">
        <v>496</v>
      </c>
      <c r="M1743" t="s">
        <v>481</v>
      </c>
    </row>
    <row r="1744" spans="1:13">
      <c r="A1744">
        <v>1576</v>
      </c>
      <c r="B1744">
        <v>6027</v>
      </c>
      <c r="C17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744" s="32">
        <v>46200</v>
      </c>
      <c r="E17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7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H1744">
        <v>2</v>
      </c>
      <c r="I1744">
        <f>(salidas26[[#This Row],[CANT JUEGOS ]]*salidas26[[#This Row],[PRECIO JUEGO]])</f>
        <v>0</v>
      </c>
      <c r="J1744">
        <f>(salidas26[[#This Row],[CANT BARRAS]]*salidas26[[#This Row],[PRECIO BARRA]])</f>
        <v>56</v>
      </c>
      <c r="K1744">
        <v>50</v>
      </c>
      <c r="L1744" t="s">
        <v>465</v>
      </c>
      <c r="M1744" t="s">
        <v>951</v>
      </c>
    </row>
    <row r="1745" spans="1:13">
      <c r="A1745">
        <v>1577</v>
      </c>
      <c r="B1745">
        <v>2006</v>
      </c>
      <c r="C17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UN32J/ 2B </v>
      </c>
      <c r="D1745" s="32">
        <v>46200</v>
      </c>
      <c r="E17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745">
        <v>1</v>
      </c>
      <c r="I1745">
        <f>(salidas26[[#This Row],[CANT JUEGOS ]]*salidas26[[#This Row],[PRECIO JUEGO]])</f>
        <v>90</v>
      </c>
      <c r="J1745">
        <f>(salidas26[[#This Row],[CANT BARRAS]]*salidas26[[#This Row],[PRECIO BARRA]])</f>
        <v>0</v>
      </c>
      <c r="K1745">
        <v>70</v>
      </c>
      <c r="L1745" t="s">
        <v>496</v>
      </c>
      <c r="M1745" t="s">
        <v>822</v>
      </c>
    </row>
    <row r="1746" spans="1:13">
      <c r="A1746">
        <v>1578</v>
      </c>
      <c r="B1746">
        <v>4003</v>
      </c>
      <c r="C17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746" s="32">
        <v>46200</v>
      </c>
      <c r="E17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46">
        <v>1</v>
      </c>
      <c r="I1746">
        <f>(salidas26[[#This Row],[CANT JUEGOS ]]*salidas26[[#This Row],[PRECIO JUEGO]])</f>
        <v>90</v>
      </c>
      <c r="J1746">
        <f>(salidas26[[#This Row],[CANT BARRAS]]*salidas26[[#This Row],[PRECIO BARRA]])</f>
        <v>0</v>
      </c>
      <c r="K1746">
        <v>80</v>
      </c>
      <c r="L1746" t="s">
        <v>465</v>
      </c>
      <c r="M1746" t="s">
        <v>487</v>
      </c>
    </row>
    <row r="1747" spans="1:13">
      <c r="A1747">
        <v>1579</v>
      </c>
      <c r="B1747">
        <v>8069</v>
      </c>
      <c r="C17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747" s="32">
        <v>46200</v>
      </c>
      <c r="E17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47">
        <v>1</v>
      </c>
      <c r="I1747">
        <f>(salidas26[[#This Row],[CANT JUEGOS ]]*salidas26[[#This Row],[PRECIO JUEGO]])</f>
        <v>220</v>
      </c>
      <c r="J1747">
        <f>(salidas26[[#This Row],[CANT BARRAS]]*salidas26[[#This Row],[PRECIO BARRA]])</f>
        <v>0</v>
      </c>
      <c r="K1747">
        <v>200</v>
      </c>
      <c r="L1747" t="s">
        <v>465</v>
      </c>
      <c r="M1747" t="s">
        <v>466</v>
      </c>
    </row>
    <row r="1748" spans="1:13">
      <c r="A1748">
        <v>1580</v>
      </c>
      <c r="B1748">
        <v>1012</v>
      </c>
      <c r="C17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748" s="32">
        <v>46202</v>
      </c>
      <c r="E17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48">
        <v>1</v>
      </c>
      <c r="I1748">
        <f>(salidas26[[#This Row],[CANT JUEGOS ]]*salidas26[[#This Row],[PRECIO JUEGO]])</f>
        <v>90</v>
      </c>
      <c r="J1748">
        <f>(salidas26[[#This Row],[CANT BARRAS]]*salidas26[[#This Row],[PRECIO BARRA]])</f>
        <v>0</v>
      </c>
      <c r="K1748">
        <v>90</v>
      </c>
      <c r="L1748" t="s">
        <v>496</v>
      </c>
      <c r="M1748" t="s">
        <v>540</v>
      </c>
    </row>
    <row r="1749" spans="1:13">
      <c r="A1749">
        <v>1581</v>
      </c>
      <c r="B1749">
        <v>1126</v>
      </c>
      <c r="C17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55UH6150/2B</v>
      </c>
      <c r="D1749" s="32">
        <v>46202</v>
      </c>
      <c r="E17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7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130</v>
      </c>
      <c r="G1749">
        <v>1</v>
      </c>
      <c r="I1749">
        <f>(salidas26[[#This Row],[CANT JUEGOS ]]*salidas26[[#This Row],[PRECIO JUEGO]])</f>
        <v>260</v>
      </c>
      <c r="J1749">
        <f>(salidas26[[#This Row],[CANT BARRAS]]*salidas26[[#This Row],[PRECIO BARRA]])</f>
        <v>0</v>
      </c>
      <c r="K1749">
        <v>200</v>
      </c>
      <c r="L1749" t="s">
        <v>465</v>
      </c>
      <c r="M1749" t="s">
        <v>471</v>
      </c>
    </row>
    <row r="1750" spans="1:13">
      <c r="A1750">
        <v>1582</v>
      </c>
      <c r="B1750">
        <v>8095</v>
      </c>
      <c r="C17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 PREMIER 5L/3V 10B</v>
      </c>
      <c r="D1750" s="32">
        <v>46202</v>
      </c>
      <c r="E17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50">
        <v>1</v>
      </c>
      <c r="I1750">
        <f>(salidas26[[#This Row],[CANT JUEGOS ]]*salidas26[[#This Row],[PRECIO JUEGO]])</f>
        <v>300</v>
      </c>
      <c r="J1750">
        <f>(salidas26[[#This Row],[CANT BARRAS]]*salidas26[[#This Row],[PRECIO BARRA]])</f>
        <v>0</v>
      </c>
      <c r="K1750">
        <v>280</v>
      </c>
      <c r="L1750" t="s">
        <v>465</v>
      </c>
      <c r="M1750" t="s">
        <v>523</v>
      </c>
    </row>
    <row r="1751" spans="1:13">
      <c r="A1751">
        <v>1583</v>
      </c>
      <c r="B1751">
        <v>1024</v>
      </c>
      <c r="C17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32LN5100- 3B/6L-6-7-6 POLA</v>
      </c>
      <c r="D1751" s="32">
        <v>46202</v>
      </c>
      <c r="E17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7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751">
        <v>1</v>
      </c>
      <c r="I1751">
        <f>(salidas26[[#This Row],[CANT JUEGOS ]]*salidas26[[#This Row],[PRECIO JUEGO]])</f>
        <v>100</v>
      </c>
      <c r="J1751">
        <f>(salidas26[[#This Row],[CANT BARRAS]]*salidas26[[#This Row],[PRECIO BARRA]])</f>
        <v>0</v>
      </c>
      <c r="K1751">
        <v>100</v>
      </c>
      <c r="L1751" t="s">
        <v>465</v>
      </c>
      <c r="M1751" t="s">
        <v>481</v>
      </c>
    </row>
    <row r="1752" spans="1:13">
      <c r="A1752">
        <v>1584</v>
      </c>
      <c r="B1752">
        <v>1067</v>
      </c>
      <c r="C17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47LA6600/2B</v>
      </c>
      <c r="D1752" s="32">
        <v>46202</v>
      </c>
      <c r="E17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7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752">
        <v>1</v>
      </c>
      <c r="I1752">
        <f>(salidas26[[#This Row],[CANT JUEGOS ]]*salidas26[[#This Row],[PRECIO JUEGO]])</f>
        <v>250</v>
      </c>
      <c r="J1752">
        <f>(salidas26[[#This Row],[CANT BARRAS]]*salidas26[[#This Row],[PRECIO BARRA]])</f>
        <v>0</v>
      </c>
      <c r="K1752">
        <v>240</v>
      </c>
      <c r="L1752" t="s">
        <v>465</v>
      </c>
      <c r="M1752" t="s">
        <v>952</v>
      </c>
    </row>
    <row r="1753" spans="1:13">
      <c r="A1753">
        <v>1585</v>
      </c>
      <c r="B1753">
        <v>2042</v>
      </c>
      <c r="C17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UN48J5000AG/8B</v>
      </c>
      <c r="D1753" s="32">
        <v>46202</v>
      </c>
      <c r="E17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7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32.5</v>
      </c>
      <c r="G1753">
        <v>1</v>
      </c>
      <c r="I1753">
        <f>(salidas26[[#This Row],[CANT JUEGOS ]]*salidas26[[#This Row],[PRECIO JUEGO]])</f>
        <v>260</v>
      </c>
      <c r="J1753">
        <f>(salidas26[[#This Row],[CANT BARRAS]]*salidas26[[#This Row],[PRECIO BARRA]])</f>
        <v>0</v>
      </c>
      <c r="K1753">
        <v>240</v>
      </c>
      <c r="L1753" t="s">
        <v>496</v>
      </c>
      <c r="M1753" t="s">
        <v>953</v>
      </c>
    </row>
    <row r="1754" spans="1:13">
      <c r="A1754">
        <v>1586</v>
      </c>
      <c r="B1754">
        <v>1063</v>
      </c>
      <c r="C17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43LH5000/5B</v>
      </c>
      <c r="D1754" s="32">
        <v>46202</v>
      </c>
      <c r="E17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1754">
        <v>1</v>
      </c>
      <c r="I1754">
        <f>(salidas26[[#This Row],[CANT JUEGOS ]]*salidas26[[#This Row],[PRECIO JUEGO]])</f>
        <v>180</v>
      </c>
      <c r="J1754">
        <f>(salidas26[[#This Row],[CANT BARRAS]]*salidas26[[#This Row],[PRECIO BARRA]])</f>
        <v>0</v>
      </c>
      <c r="K1754">
        <v>180</v>
      </c>
      <c r="L1754" t="s">
        <v>496</v>
      </c>
      <c r="M1754" t="s">
        <v>954</v>
      </c>
    </row>
    <row r="1755" spans="1:13">
      <c r="A1755">
        <v>1587</v>
      </c>
      <c r="B1755">
        <v>1072</v>
      </c>
      <c r="C17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47LM6200/2B</v>
      </c>
      <c r="D1755" s="32">
        <v>46203</v>
      </c>
      <c r="E17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7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755">
        <v>1</v>
      </c>
      <c r="I1755">
        <f>(salidas26[[#This Row],[CANT JUEGOS ]]*salidas26[[#This Row],[PRECIO JUEGO]])</f>
        <v>200</v>
      </c>
      <c r="J1755">
        <f>(salidas26[[#This Row],[CANT BARRAS]]*salidas26[[#This Row],[PRECIO BARRA]])</f>
        <v>0</v>
      </c>
      <c r="K1755">
        <v>200</v>
      </c>
      <c r="L1755" t="s">
        <v>496</v>
      </c>
      <c r="M1755" t="s">
        <v>540</v>
      </c>
    </row>
    <row r="1756" spans="1:13">
      <c r="A1756">
        <v>1590</v>
      </c>
      <c r="B1756">
        <v>1060</v>
      </c>
      <c r="C17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43LH-LF 5100/6B</v>
      </c>
      <c r="D1756" s="32">
        <v>46200</v>
      </c>
      <c r="E17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56">
        <v>1</v>
      </c>
      <c r="I1756">
        <f>(salidas26[[#This Row],[CANT JUEGOS ]]*salidas26[[#This Row],[PRECIO JUEGO]])</f>
        <v>180</v>
      </c>
      <c r="J1756">
        <f>(salidas26[[#This Row],[CANT BARRAS]]*salidas26[[#This Row],[PRECIO BARRA]])</f>
        <v>0</v>
      </c>
      <c r="K1756">
        <v>150</v>
      </c>
      <c r="L1756" t="s">
        <v>496</v>
      </c>
      <c r="M1756" t="s">
        <v>714</v>
      </c>
    </row>
    <row r="1757" spans="1:13">
      <c r="A1757">
        <v>1591</v>
      </c>
      <c r="B1757">
        <v>8021</v>
      </c>
      <c r="C17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757" s="32">
        <v>46200</v>
      </c>
      <c r="E17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57">
        <v>2</v>
      </c>
      <c r="I1757">
        <f>(salidas26[[#This Row],[CANT JUEGOS ]]*salidas26[[#This Row],[PRECIO JUEGO]])</f>
        <v>120</v>
      </c>
      <c r="J1757">
        <f>(salidas26[[#This Row],[CANT BARRAS]]*salidas26[[#This Row],[PRECIO BARRA]])</f>
        <v>0</v>
      </c>
      <c r="K1757">
        <v>100</v>
      </c>
      <c r="L1757" t="s">
        <v>496</v>
      </c>
      <c r="M1757" t="s">
        <v>714</v>
      </c>
    </row>
    <row r="1758" spans="1:13">
      <c r="A1758">
        <v>1592</v>
      </c>
      <c r="B1758">
        <v>8094</v>
      </c>
      <c r="C17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AIWA CHIQ CROWN 15L/3V/6B DIF180º</v>
      </c>
      <c r="D1758" s="32">
        <v>46200</v>
      </c>
      <c r="E17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75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758">
        <v>1</v>
      </c>
      <c r="I1758">
        <f>(salidas26[[#This Row],[CANT JUEGOS ]]*salidas26[[#This Row],[PRECIO JUEGO]])</f>
        <v>320</v>
      </c>
      <c r="J1758" t="e">
        <f>(salidas26[[#This Row],[CANT BARRAS]]*salidas26[[#This Row],[PRECIO BARRA]])</f>
        <v>#VALUE!</v>
      </c>
      <c r="K1758">
        <v>300</v>
      </c>
      <c r="L1758" t="s">
        <v>496</v>
      </c>
      <c r="M1758" t="s">
        <v>714</v>
      </c>
    </row>
    <row r="1759" spans="1:13">
      <c r="A1759">
        <v>1593</v>
      </c>
      <c r="B1759">
        <v>8069</v>
      </c>
      <c r="C17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10L/6V/4B -50 WESTPOINT TEJ -EN SERIE</v>
      </c>
      <c r="D1759" s="32">
        <v>46200</v>
      </c>
      <c r="E17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59">
        <v>1</v>
      </c>
      <c r="I1759">
        <f>(salidas26[[#This Row],[CANT JUEGOS ]]*salidas26[[#This Row],[PRECIO JUEGO]])</f>
        <v>220</v>
      </c>
      <c r="J1759">
        <f>(salidas26[[#This Row],[CANT BARRAS]]*salidas26[[#This Row],[PRECIO BARRA]])</f>
        <v>0</v>
      </c>
      <c r="K1759">
        <v>200</v>
      </c>
      <c r="L1759" t="s">
        <v>496</v>
      </c>
      <c r="M1759" t="s">
        <v>714</v>
      </c>
    </row>
    <row r="1760" spans="1:13">
      <c r="A1760">
        <v>1594</v>
      </c>
      <c r="B1760">
        <v>8021</v>
      </c>
      <c r="C17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760" s="32">
        <v>46203</v>
      </c>
      <c r="E17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60">
        <v>1</v>
      </c>
      <c r="I1760">
        <f>(salidas26[[#This Row],[CANT JUEGOS ]]*salidas26[[#This Row],[PRECIO JUEGO]])</f>
        <v>60</v>
      </c>
      <c r="J1760">
        <f>(salidas26[[#This Row],[CANT BARRAS]]*salidas26[[#This Row],[PRECIO BARRA]])</f>
        <v>0</v>
      </c>
      <c r="K1760">
        <v>50</v>
      </c>
      <c r="L1760" t="s">
        <v>465</v>
      </c>
      <c r="M1760" t="s">
        <v>481</v>
      </c>
    </row>
    <row r="1761" spans="1:13">
      <c r="A1761">
        <v>1595</v>
      </c>
      <c r="B1761">
        <v>1049</v>
      </c>
      <c r="C17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43LJ5500 3B/7L</v>
      </c>
      <c r="D1761" s="32">
        <v>46203</v>
      </c>
      <c r="E17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61">
        <v>1</v>
      </c>
      <c r="I1761">
        <f>(salidas26[[#This Row],[CANT JUEGOS ]]*salidas26[[#This Row],[PRECIO JUEGO]])</f>
        <v>180</v>
      </c>
      <c r="J1761">
        <f>(salidas26[[#This Row],[CANT BARRAS]]*salidas26[[#This Row],[PRECIO BARRA]])</f>
        <v>0</v>
      </c>
      <c r="M1761" t="s">
        <v>474</v>
      </c>
    </row>
    <row r="1762" spans="1:13">
      <c r="A1762">
        <v>1596</v>
      </c>
      <c r="B1762">
        <v>3000</v>
      </c>
      <c r="C17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762" s="32">
        <v>46203</v>
      </c>
      <c r="E17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62">
        <v>1</v>
      </c>
      <c r="I1762">
        <f>(salidas26[[#This Row],[CANT JUEGOS ]]*salidas26[[#This Row],[PRECIO JUEGO]])</f>
        <v>90</v>
      </c>
      <c r="J1762">
        <f>(salidas26[[#This Row],[CANT BARRAS]]*salidas26[[#This Row],[PRECIO BARRA]])</f>
        <v>0</v>
      </c>
      <c r="K1762">
        <v>72</v>
      </c>
      <c r="L1762" t="s">
        <v>496</v>
      </c>
      <c r="M1762" t="s">
        <v>497</v>
      </c>
    </row>
    <row r="1763" spans="1:13">
      <c r="A1763">
        <v>1597</v>
      </c>
      <c r="B1763">
        <v>2087</v>
      </c>
      <c r="C17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763" s="32">
        <v>46203</v>
      </c>
      <c r="E17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7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763">
        <v>1</v>
      </c>
      <c r="I1763">
        <f>(salidas26[[#This Row],[CANT JUEGOS ]]*salidas26[[#This Row],[PRECIO JUEGO]])</f>
        <v>240</v>
      </c>
      <c r="J1763">
        <f>(salidas26[[#This Row],[CANT BARRAS]]*salidas26[[#This Row],[PRECIO BARRA]])</f>
        <v>0</v>
      </c>
      <c r="K1763">
        <v>192</v>
      </c>
      <c r="L1763" t="s">
        <v>496</v>
      </c>
      <c r="M1763" t="s">
        <v>497</v>
      </c>
    </row>
    <row r="1764" spans="1:13">
      <c r="A1764">
        <v>1598</v>
      </c>
      <c r="B1764">
        <v>3012</v>
      </c>
      <c r="C17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48M600 10B/6-7LEDS Y 4 -8LEDS/3V </v>
      </c>
      <c r="D1764" s="32">
        <v>46203</v>
      </c>
      <c r="E176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76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764">
        <v>1</v>
      </c>
      <c r="I1764">
        <f>(salidas26[[#This Row],[CANT JUEGOS ]]*salidas26[[#This Row],[PRECIO JUEGO]])</f>
        <v>260</v>
      </c>
      <c r="J1764">
        <f>(salidas26[[#This Row],[CANT BARRAS]]*salidas26[[#This Row],[PRECIO BARRA]])</f>
        <v>0</v>
      </c>
      <c r="K1764">
        <v>208</v>
      </c>
      <c r="L1764" t="s">
        <v>496</v>
      </c>
      <c r="M1764" t="s">
        <v>497</v>
      </c>
    </row>
    <row r="1765" spans="1:13">
      <c r="A1765">
        <v>1599</v>
      </c>
      <c r="B1765">
        <v>7002</v>
      </c>
      <c r="C17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1765" s="32">
        <v>46203</v>
      </c>
      <c r="E17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7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765">
        <v>1</v>
      </c>
      <c r="I1765">
        <f>(salidas26[[#This Row],[CANT JUEGOS ]]*salidas26[[#This Row],[PRECIO JUEGO]])</f>
        <v>70</v>
      </c>
      <c r="J1765">
        <f>(salidas26[[#This Row],[CANT BARRAS]]*salidas26[[#This Row],[PRECIO BARRA]])</f>
        <v>0</v>
      </c>
      <c r="K1765">
        <v>56</v>
      </c>
      <c r="L1765" t="s">
        <v>496</v>
      </c>
      <c r="M1765" t="s">
        <v>497</v>
      </c>
    </row>
    <row r="1766" spans="1:13">
      <c r="A1766">
        <v>1600</v>
      </c>
      <c r="B1766">
        <v>2000</v>
      </c>
      <c r="C17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766" s="32">
        <v>46203</v>
      </c>
      <c r="E17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7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66">
        <v>1</v>
      </c>
      <c r="I1766">
        <f>(salidas26[[#This Row],[CANT JUEGOS ]]*salidas26[[#This Row],[PRECIO JUEGO]])</f>
        <v>80</v>
      </c>
      <c r="J1766">
        <f>(salidas26[[#This Row],[CANT BARRAS]]*salidas26[[#This Row],[PRECIO BARRA]])</f>
        <v>0</v>
      </c>
      <c r="K1766">
        <v>64</v>
      </c>
      <c r="L1766" t="s">
        <v>496</v>
      </c>
      <c r="M1766" t="s">
        <v>497</v>
      </c>
    </row>
    <row r="1767" spans="1:13">
      <c r="A1767">
        <v>1601</v>
      </c>
      <c r="B1767">
        <v>8100</v>
      </c>
      <c r="C17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58 JVC 58KB527- 58KB538</v>
      </c>
      <c r="D1767" s="32">
        <v>46203</v>
      </c>
      <c r="E17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67">
        <v>1</v>
      </c>
      <c r="I1767">
        <f>(salidas26[[#This Row],[CANT JUEGOS ]]*salidas26[[#This Row],[PRECIO JUEGO]])</f>
        <v>300</v>
      </c>
      <c r="J1767">
        <f>(salidas26[[#This Row],[CANT BARRAS]]*salidas26[[#This Row],[PRECIO BARRA]])</f>
        <v>0</v>
      </c>
      <c r="K1767">
        <v>300</v>
      </c>
      <c r="L1767" t="s">
        <v>496</v>
      </c>
      <c r="M1767" t="s">
        <v>955</v>
      </c>
    </row>
    <row r="1768" spans="1:13">
      <c r="A1768">
        <v>1602</v>
      </c>
      <c r="B1768">
        <v>6024</v>
      </c>
      <c r="C17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768" s="32">
        <v>46203</v>
      </c>
      <c r="E17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768">
        <v>1</v>
      </c>
      <c r="H1768">
        <v>2</v>
      </c>
      <c r="I1768">
        <f>(salidas26[[#This Row],[CANT JUEGOS ]]*salidas26[[#This Row],[PRECIO JUEGO]])</f>
        <v>300</v>
      </c>
      <c r="J1768">
        <f>(salidas26[[#This Row],[CANT BARRAS]]*salidas26[[#This Row],[PRECIO BARRA]])</f>
        <v>50</v>
      </c>
      <c r="K1768">
        <v>50</v>
      </c>
      <c r="L1768" t="s">
        <v>465</v>
      </c>
      <c r="M1768" t="s">
        <v>481</v>
      </c>
    </row>
    <row r="1769" spans="1:13">
      <c r="A1769">
        <v>1603</v>
      </c>
      <c r="B1769">
        <v>4000</v>
      </c>
      <c r="C17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769" s="32">
        <v>46203</v>
      </c>
      <c r="E176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6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69">
        <v>1</v>
      </c>
      <c r="I1769">
        <f>(salidas26[[#This Row],[CANT JUEGOS ]]*salidas26[[#This Row],[PRECIO JUEGO]])</f>
        <v>60</v>
      </c>
      <c r="J1769">
        <f>(salidas26[[#This Row],[CANT BARRAS]]*salidas26[[#This Row],[PRECIO BARRA]])</f>
        <v>0</v>
      </c>
      <c r="M1769" t="s">
        <v>677</v>
      </c>
    </row>
    <row r="1770" spans="1:13">
      <c r="A1770">
        <v>1604</v>
      </c>
      <c r="B1770">
        <v>1139</v>
      </c>
      <c r="C17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UM 8L 4B EL JUEGO</v>
      </c>
      <c r="D1770" s="32">
        <v>46203</v>
      </c>
      <c r="E177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77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80</v>
      </c>
      <c r="G1770">
        <v>1</v>
      </c>
      <c r="I1770">
        <f>(salidas26[[#This Row],[CANT JUEGOS ]]*salidas26[[#This Row],[PRECIO JUEGO]])</f>
        <v>320</v>
      </c>
      <c r="J1770">
        <f>(salidas26[[#This Row],[CANT BARRAS]]*salidas26[[#This Row],[PRECIO BARRA]])</f>
        <v>0</v>
      </c>
      <c r="K1770">
        <v>320</v>
      </c>
      <c r="L1770" t="s">
        <v>465</v>
      </c>
      <c r="M1770" t="s">
        <v>481</v>
      </c>
    </row>
    <row r="1771" spans="1:13">
      <c r="A1771">
        <v>1605</v>
      </c>
      <c r="B1771">
        <v>8055</v>
      </c>
      <c r="C17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771" s="32">
        <v>46203</v>
      </c>
      <c r="E177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7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71">
        <v>1</v>
      </c>
      <c r="I1771">
        <f>(salidas26[[#This Row],[CANT JUEGOS ]]*salidas26[[#This Row],[PRECIO JUEGO]])</f>
        <v>180</v>
      </c>
      <c r="J1771">
        <f>(salidas26[[#This Row],[CANT BARRAS]]*salidas26[[#This Row],[PRECIO BARRA]])</f>
        <v>0</v>
      </c>
      <c r="K1771">
        <v>320</v>
      </c>
      <c r="L1771" t="s">
        <v>496</v>
      </c>
      <c r="M1771" t="s">
        <v>516</v>
      </c>
    </row>
    <row r="1772" spans="1:13">
      <c r="A1772">
        <v>1607</v>
      </c>
      <c r="B1772">
        <v>2024</v>
      </c>
      <c r="C17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772" s="32">
        <v>46203</v>
      </c>
      <c r="E177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7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72">
        <v>1</v>
      </c>
      <c r="I1772">
        <f>(salidas26[[#This Row],[CANT JUEGOS ]]*salidas26[[#This Row],[PRECIO JUEGO]])</f>
        <v>180</v>
      </c>
      <c r="J1772">
        <f>(salidas26[[#This Row],[CANT BARRAS]]*salidas26[[#This Row],[PRECIO BARRA]])</f>
        <v>0</v>
      </c>
      <c r="K1772">
        <v>180</v>
      </c>
      <c r="L1772" t="s">
        <v>465</v>
      </c>
      <c r="M1772" t="s">
        <v>924</v>
      </c>
    </row>
    <row r="1773" spans="1:13">
      <c r="A1773">
        <v>1608</v>
      </c>
      <c r="B1773">
        <v>6015</v>
      </c>
      <c r="C17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49L4700 TOSHIBA 4B/8L</v>
      </c>
      <c r="D1773" s="32">
        <v>46203</v>
      </c>
      <c r="E177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7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773">
        <v>1</v>
      </c>
      <c r="I1773">
        <f>(salidas26[[#This Row],[CANT JUEGOS ]]*salidas26[[#This Row],[PRECIO JUEGO]])</f>
        <v>220</v>
      </c>
      <c r="J1773">
        <f>(salidas26[[#This Row],[CANT BARRAS]]*salidas26[[#This Row],[PRECIO BARRA]])</f>
        <v>0</v>
      </c>
      <c r="K1773">
        <v>198</v>
      </c>
      <c r="L1773" t="s">
        <v>496</v>
      </c>
      <c r="M1773" t="s">
        <v>485</v>
      </c>
    </row>
    <row r="1774" spans="1:13">
      <c r="A1774">
        <v>1609</v>
      </c>
      <c r="B1774">
        <v>8021</v>
      </c>
      <c r="C17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774" s="32">
        <v>46203</v>
      </c>
      <c r="E177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7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74">
        <v>1</v>
      </c>
      <c r="I1774">
        <f>(salidas26[[#This Row],[CANT JUEGOS ]]*salidas26[[#This Row],[PRECIO JUEGO]])</f>
        <v>60</v>
      </c>
      <c r="J1774">
        <f>(salidas26[[#This Row],[CANT BARRAS]]*salidas26[[#This Row],[PRECIO BARRA]])</f>
        <v>0</v>
      </c>
      <c r="K1774">
        <v>50</v>
      </c>
      <c r="L1774" t="s">
        <v>465</v>
      </c>
      <c r="M1774" t="s">
        <v>470</v>
      </c>
    </row>
    <row r="1775" spans="1:13">
      <c r="A1775">
        <v>1610</v>
      </c>
      <c r="B1775">
        <v>2075</v>
      </c>
      <c r="C17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UN55NU7100-UN55RU7100/2B EDGE</v>
      </c>
      <c r="D1775" s="32">
        <v>46203</v>
      </c>
      <c r="E177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77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100</v>
      </c>
      <c r="G1775">
        <v>1</v>
      </c>
      <c r="I1775">
        <f>(salidas26[[#This Row],[CANT JUEGOS ]]*salidas26[[#This Row],[PRECIO JUEGO]])</f>
        <v>200</v>
      </c>
      <c r="J1775">
        <f>(salidas26[[#This Row],[CANT BARRAS]]*salidas26[[#This Row],[PRECIO BARRA]])</f>
        <v>0</v>
      </c>
      <c r="K1775">
        <v>200</v>
      </c>
      <c r="L1775" t="s">
        <v>496</v>
      </c>
      <c r="M1775" t="s">
        <v>864</v>
      </c>
    </row>
    <row r="1776" spans="1:13">
      <c r="A1776">
        <v>1613</v>
      </c>
      <c r="B1776">
        <v>1033</v>
      </c>
      <c r="C17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776" s="32">
        <v>46203</v>
      </c>
      <c r="E177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7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776">
        <v>1</v>
      </c>
      <c r="I1776">
        <f>(salidas26[[#This Row],[CANT JUEGOS ]]*salidas26[[#This Row],[PRECIO JUEGO]])</f>
        <v>180</v>
      </c>
      <c r="J1776">
        <f>(salidas26[[#This Row],[CANT BARRAS]]*salidas26[[#This Row],[PRECIO BARRA]])</f>
        <v>0</v>
      </c>
      <c r="K1776">
        <v>144</v>
      </c>
      <c r="L1776" t="s">
        <v>465</v>
      </c>
      <c r="M1776" t="s">
        <v>497</v>
      </c>
    </row>
    <row r="1777" spans="1:13">
      <c r="A1777">
        <v>1614</v>
      </c>
      <c r="B1777">
        <v>2000</v>
      </c>
      <c r="C17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777" s="32">
        <v>46203</v>
      </c>
      <c r="E177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77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77">
        <v>1</v>
      </c>
      <c r="I1777">
        <f>(salidas26[[#This Row],[CANT JUEGOS ]]*salidas26[[#This Row],[PRECIO JUEGO]])</f>
        <v>80</v>
      </c>
      <c r="J1777">
        <f>(salidas26[[#This Row],[CANT BARRAS]]*salidas26[[#This Row],[PRECIO BARRA]])</f>
        <v>0</v>
      </c>
      <c r="K1777">
        <v>64</v>
      </c>
      <c r="L1777" t="s">
        <v>465</v>
      </c>
      <c r="M1777" t="s">
        <v>497</v>
      </c>
    </row>
    <row r="1778" spans="1:13">
      <c r="A1778">
        <v>1615</v>
      </c>
      <c r="B1778">
        <v>1067</v>
      </c>
      <c r="C17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47LA6600/2B</v>
      </c>
      <c r="D1778" s="32">
        <v>46203</v>
      </c>
      <c r="E177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77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125</v>
      </c>
      <c r="G1778">
        <v>1</v>
      </c>
      <c r="I1778">
        <f>(salidas26[[#This Row],[CANT JUEGOS ]]*salidas26[[#This Row],[PRECIO JUEGO]])</f>
        <v>250</v>
      </c>
      <c r="J1778">
        <f>(salidas26[[#This Row],[CANT BARRAS]]*salidas26[[#This Row],[PRECIO BARRA]])</f>
        <v>0</v>
      </c>
      <c r="K1778">
        <v>200</v>
      </c>
      <c r="L1778" t="s">
        <v>465</v>
      </c>
      <c r="M1778" t="s">
        <v>497</v>
      </c>
    </row>
    <row r="1779" spans="1:13">
      <c r="A1779">
        <v>1616</v>
      </c>
      <c r="B1779">
        <v>7015</v>
      </c>
      <c r="C17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9L  lupa 180 4B</v>
      </c>
      <c r="D1779" s="32">
        <v>46204</v>
      </c>
      <c r="E177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77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79">
        <v>1</v>
      </c>
      <c r="I1779">
        <f>(salidas26[[#This Row],[CANT JUEGOS ]]*salidas26[[#This Row],[PRECIO JUEGO]])</f>
        <v>200</v>
      </c>
      <c r="J1779">
        <f>(salidas26[[#This Row],[CANT BARRAS]]*salidas26[[#This Row],[PRECIO BARRA]])</f>
        <v>0</v>
      </c>
      <c r="K1779">
        <v>60</v>
      </c>
      <c r="L1779" t="s">
        <v>496</v>
      </c>
      <c r="M1779" t="s">
        <v>466</v>
      </c>
    </row>
    <row r="1780" spans="1:13">
      <c r="A1780">
        <v>1617</v>
      </c>
      <c r="B1780">
        <v>1034</v>
      </c>
      <c r="C17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 LA6600</v>
      </c>
      <c r="D1780" s="32">
        <v>46204</v>
      </c>
      <c r="E178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8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780">
        <v>1</v>
      </c>
      <c r="I1780">
        <f>(salidas26[[#This Row],[CANT JUEGOS ]]*salidas26[[#This Row],[PRECIO JUEGO]])</f>
        <v>180</v>
      </c>
      <c r="J1780" t="e">
        <f>(salidas26[[#This Row],[CANT BARRAS]]*salidas26[[#This Row],[PRECIO BARRA]])</f>
        <v>#VALUE!</v>
      </c>
      <c r="K1780">
        <v>180</v>
      </c>
      <c r="L1780" t="s">
        <v>496</v>
      </c>
      <c r="M1780" t="s">
        <v>466</v>
      </c>
    </row>
    <row r="1781" spans="1:13">
      <c r="A1781">
        <v>1618</v>
      </c>
      <c r="B1781" t="s">
        <v>839</v>
      </c>
      <c r="C17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MASTER GMGUF55WK</v>
      </c>
      <c r="D1781" s="32">
        <v>46204</v>
      </c>
      <c r="E178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78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781">
        <v>1</v>
      </c>
      <c r="I1781">
        <f>(salidas26[[#This Row],[CANT JUEGOS ]]*salidas26[[#This Row],[PRECIO JUEGO]])</f>
        <v>320</v>
      </c>
      <c r="J1781" t="e">
        <f>(salidas26[[#This Row],[CANT BARRAS]]*salidas26[[#This Row],[PRECIO BARRA]])</f>
        <v>#VALUE!</v>
      </c>
      <c r="K1781">
        <v>250</v>
      </c>
      <c r="L1781" t="s">
        <v>465</v>
      </c>
      <c r="M1781" t="s">
        <v>471</v>
      </c>
    </row>
    <row r="1782" spans="1:13">
      <c r="A1782">
        <v>1619</v>
      </c>
      <c r="B1782">
        <v>1033</v>
      </c>
      <c r="C17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42LB6200-42LF6200 8B/6V</v>
      </c>
      <c r="D1782" s="32">
        <v>46204</v>
      </c>
      <c r="E178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8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782">
        <v>2</v>
      </c>
      <c r="I1782">
        <f>(salidas26[[#This Row],[CANT JUEGOS ]]*salidas26[[#This Row],[PRECIO JUEGO]])</f>
        <v>360</v>
      </c>
      <c r="J1782">
        <f>(salidas26[[#This Row],[CANT BARRAS]]*salidas26[[#This Row],[PRECIO BARRA]])</f>
        <v>0</v>
      </c>
      <c r="K1782">
        <v>288</v>
      </c>
      <c r="L1782" t="s">
        <v>465</v>
      </c>
      <c r="M1782" t="s">
        <v>497</v>
      </c>
    </row>
    <row r="1783" spans="1:13">
      <c r="A1783">
        <v>1620</v>
      </c>
      <c r="B1783">
        <v>2000</v>
      </c>
      <c r="C17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783" s="32">
        <v>46204</v>
      </c>
      <c r="E178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78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783">
        <v>1</v>
      </c>
      <c r="I1783">
        <f>(salidas26[[#This Row],[CANT JUEGOS ]]*salidas26[[#This Row],[PRECIO JUEGO]])</f>
        <v>80</v>
      </c>
      <c r="J1783">
        <f>(salidas26[[#This Row],[CANT BARRAS]]*salidas26[[#This Row],[PRECIO BARRA]])</f>
        <v>0</v>
      </c>
      <c r="K1783">
        <v>64</v>
      </c>
      <c r="L1783" t="s">
        <v>465</v>
      </c>
      <c r="M1783" t="s">
        <v>497</v>
      </c>
    </row>
    <row r="1784" spans="1:13">
      <c r="A1784">
        <v>1621</v>
      </c>
      <c r="B1784">
        <v>8033</v>
      </c>
      <c r="C17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784" s="32">
        <v>46204</v>
      </c>
      <c r="E178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78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84">
        <v>1</v>
      </c>
      <c r="I1784">
        <f>(salidas26[[#This Row],[CANT JUEGOS ]]*salidas26[[#This Row],[PRECIO JUEGO]])</f>
        <v>150</v>
      </c>
      <c r="J1784">
        <f>(salidas26[[#This Row],[CANT BARRAS]]*salidas26[[#This Row],[PRECIO BARRA]])</f>
        <v>0</v>
      </c>
      <c r="K1784">
        <v>140</v>
      </c>
      <c r="L1784" t="s">
        <v>496</v>
      </c>
      <c r="M1784" t="s">
        <v>658</v>
      </c>
    </row>
    <row r="1785" spans="1:13">
      <c r="A1785">
        <v>1622</v>
      </c>
      <c r="B1785">
        <v>6000</v>
      </c>
      <c r="C17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785" s="32">
        <v>46204</v>
      </c>
      <c r="E178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8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85">
        <v>1</v>
      </c>
      <c r="I1785">
        <f>(salidas26[[#This Row],[CANT JUEGOS ]]*salidas26[[#This Row],[PRECIO JUEGO]])</f>
        <v>60</v>
      </c>
      <c r="J1785">
        <f>(salidas26[[#This Row],[CANT BARRAS]]*salidas26[[#This Row],[PRECIO BARRA]])</f>
        <v>0</v>
      </c>
      <c r="K1785">
        <v>50</v>
      </c>
      <c r="L1785" t="s">
        <v>496</v>
      </c>
      <c r="M1785" t="s">
        <v>956</v>
      </c>
    </row>
    <row r="1786" spans="1:13">
      <c r="A1786">
        <v>1623</v>
      </c>
      <c r="B1786">
        <v>3006</v>
      </c>
      <c r="C17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42B8000 4B/15LEDS/3V</v>
      </c>
      <c r="D1786" s="32">
        <v>46204</v>
      </c>
      <c r="E178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8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786">
        <v>1</v>
      </c>
      <c r="I1786">
        <f>(salidas26[[#This Row],[CANT JUEGOS ]]*salidas26[[#This Row],[PRECIO JUEGO]])</f>
        <v>180</v>
      </c>
      <c r="J1786">
        <f>(salidas26[[#This Row],[CANT BARRAS]]*salidas26[[#This Row],[PRECIO BARRA]])</f>
        <v>0</v>
      </c>
      <c r="K1786">
        <v>180</v>
      </c>
      <c r="L1786" t="s">
        <v>465</v>
      </c>
      <c r="M1786" t="s">
        <v>508</v>
      </c>
    </row>
    <row r="1787" spans="1:13">
      <c r="A1787">
        <v>1624</v>
      </c>
      <c r="B1787">
        <v>2027</v>
      </c>
      <c r="C17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787" s="32">
        <v>46204</v>
      </c>
      <c r="E178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8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787">
        <v>1</v>
      </c>
      <c r="I1787">
        <f>(salidas26[[#This Row],[CANT JUEGOS ]]*salidas26[[#This Row],[PRECIO JUEGO]])</f>
        <v>180</v>
      </c>
      <c r="J1787">
        <f>(salidas26[[#This Row],[CANT BARRAS]]*salidas26[[#This Row],[PRECIO BARRA]])</f>
        <v>0</v>
      </c>
      <c r="K1787">
        <v>180</v>
      </c>
      <c r="L1787" t="s">
        <v>465</v>
      </c>
      <c r="M1787" t="s">
        <v>508</v>
      </c>
    </row>
    <row r="1788" spans="1:13">
      <c r="A1788">
        <v>1625</v>
      </c>
      <c r="B1788">
        <v>8055</v>
      </c>
      <c r="C17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PREMIER 8L/3V/3B 8047SF43SF</v>
      </c>
      <c r="D1788" s="32">
        <v>46204</v>
      </c>
      <c r="E178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8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88">
        <v>1</v>
      </c>
      <c r="I1788">
        <f>(salidas26[[#This Row],[CANT JUEGOS ]]*salidas26[[#This Row],[PRECIO JUEGO]])</f>
        <v>180</v>
      </c>
      <c r="J1788">
        <f>(salidas26[[#This Row],[CANT BARRAS]]*salidas26[[#This Row],[PRECIO BARRA]])</f>
        <v>0</v>
      </c>
      <c r="K1788">
        <v>180</v>
      </c>
      <c r="L1788" t="s">
        <v>465</v>
      </c>
      <c r="M1788" t="s">
        <v>481</v>
      </c>
    </row>
    <row r="1789" spans="1:13">
      <c r="A1789">
        <v>1626</v>
      </c>
      <c r="B1789">
        <v>3033</v>
      </c>
      <c r="C17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55B8000 14B/2B DE 8L Y 12B DE 7L</v>
      </c>
      <c r="D1789" s="32">
        <v>46204</v>
      </c>
      <c r="E178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78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22.857142857142858</v>
      </c>
      <c r="G1789">
        <v>1</v>
      </c>
      <c r="I1789">
        <f>(salidas26[[#This Row],[CANT JUEGOS ]]*salidas26[[#This Row],[PRECIO JUEGO]])</f>
        <v>320</v>
      </c>
      <c r="J1789">
        <f>(salidas26[[#This Row],[CANT BARRAS]]*salidas26[[#This Row],[PRECIO BARRA]])</f>
        <v>0</v>
      </c>
      <c r="K1789">
        <v>350</v>
      </c>
      <c r="L1789" t="s">
        <v>465</v>
      </c>
      <c r="M1789" t="s">
        <v>957</v>
      </c>
    </row>
    <row r="1790" spans="1:13">
      <c r="A1790">
        <v>1627</v>
      </c>
      <c r="B1790">
        <v>2024</v>
      </c>
      <c r="C17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790" s="32">
        <v>46204</v>
      </c>
      <c r="E179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9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90">
        <v>2</v>
      </c>
      <c r="I1790">
        <f>(salidas26[[#This Row],[CANT JUEGOS ]]*salidas26[[#This Row],[PRECIO JUEGO]])</f>
        <v>360</v>
      </c>
      <c r="J1790">
        <f>(salidas26[[#This Row],[CANT BARRAS]]*salidas26[[#This Row],[PRECIO BARRA]])</f>
        <v>0</v>
      </c>
      <c r="K1790">
        <v>340</v>
      </c>
      <c r="L1790" t="s">
        <v>465</v>
      </c>
      <c r="M1790" t="s">
        <v>481</v>
      </c>
    </row>
    <row r="1791" spans="1:13">
      <c r="A1791">
        <v>1628</v>
      </c>
      <c r="B1791">
        <v>6000</v>
      </c>
      <c r="C17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791" s="32">
        <v>46204</v>
      </c>
      <c r="E179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79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91">
        <v>1</v>
      </c>
      <c r="I1791">
        <f>(salidas26[[#This Row],[CANT JUEGOS ]]*salidas26[[#This Row],[PRECIO JUEGO]])</f>
        <v>60</v>
      </c>
      <c r="J1791">
        <f>(salidas26[[#This Row],[CANT BARRAS]]*salidas26[[#This Row],[PRECIO BARRA]])</f>
        <v>0</v>
      </c>
      <c r="K1791">
        <v>50</v>
      </c>
      <c r="L1791" t="s">
        <v>465</v>
      </c>
      <c r="M1791" t="s">
        <v>876</v>
      </c>
    </row>
    <row r="1792" spans="1:13">
      <c r="A1792">
        <v>1629</v>
      </c>
      <c r="B1792">
        <v>6012</v>
      </c>
      <c r="C17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MASTER G/8B DAEWOO L49S780BTS</v>
      </c>
      <c r="D1792" s="32">
        <v>46204</v>
      </c>
      <c r="E179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79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27.5</v>
      </c>
      <c r="G1792">
        <v>1</v>
      </c>
      <c r="H1792">
        <v>4</v>
      </c>
      <c r="I1792">
        <f>(salidas26[[#This Row],[CANT JUEGOS ]]*salidas26[[#This Row],[PRECIO JUEGO]])</f>
        <v>220</v>
      </c>
      <c r="J1792">
        <f>(salidas26[[#This Row],[CANT BARRAS]]*salidas26[[#This Row],[PRECIO BARRA]])</f>
        <v>110</v>
      </c>
      <c r="K1792">
        <v>250</v>
      </c>
      <c r="L1792" t="s">
        <v>465</v>
      </c>
      <c r="M1792" t="s">
        <v>470</v>
      </c>
    </row>
    <row r="1793" spans="1:13">
      <c r="A1793">
        <v>1630</v>
      </c>
      <c r="B1793">
        <v>5010</v>
      </c>
      <c r="C17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SONY/AOC LE40D3142 -4B/9L</v>
      </c>
      <c r="D1793" s="32">
        <v>46204</v>
      </c>
      <c r="E179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9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45</v>
      </c>
      <c r="G1793">
        <v>1</v>
      </c>
      <c r="I1793">
        <f>(salidas26[[#This Row],[CANT JUEGOS ]]*salidas26[[#This Row],[PRECIO JUEGO]])</f>
        <v>180</v>
      </c>
      <c r="J1793">
        <f>(salidas26[[#This Row],[CANT BARRAS]]*salidas26[[#This Row],[PRECIO BARRA]])</f>
        <v>0</v>
      </c>
      <c r="K1793">
        <v>350</v>
      </c>
      <c r="L1793" t="s">
        <v>496</v>
      </c>
      <c r="M1793" t="s">
        <v>516</v>
      </c>
    </row>
    <row r="1794" spans="1:13">
      <c r="A1794">
        <v>1631</v>
      </c>
      <c r="B1794">
        <v>6024</v>
      </c>
      <c r="C17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794" s="32">
        <v>46204</v>
      </c>
      <c r="E179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79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794">
        <v>1</v>
      </c>
      <c r="I1794">
        <f>(salidas26[[#This Row],[CANT JUEGOS ]]*salidas26[[#This Row],[PRECIO JUEGO]])</f>
        <v>300</v>
      </c>
      <c r="J1794">
        <f>(salidas26[[#This Row],[CANT BARRAS]]*salidas26[[#This Row],[PRECIO BARRA]])</f>
        <v>0</v>
      </c>
      <c r="K1794">
        <v>300</v>
      </c>
      <c r="L1794" t="s">
        <v>496</v>
      </c>
      <c r="M1794" t="s">
        <v>683</v>
      </c>
    </row>
    <row r="1795" spans="1:13">
      <c r="A1795">
        <v>1632</v>
      </c>
      <c r="B1795">
        <v>2024</v>
      </c>
      <c r="C17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UN43J5202/ 3 BARRAS/8L/3V</v>
      </c>
      <c r="D1795" s="32">
        <v>46204</v>
      </c>
      <c r="E179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79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60</v>
      </c>
      <c r="G1795">
        <v>1</v>
      </c>
      <c r="I1795">
        <f>(salidas26[[#This Row],[CANT JUEGOS ]]*salidas26[[#This Row],[PRECIO JUEGO]])</f>
        <v>180</v>
      </c>
      <c r="J1795">
        <f>(salidas26[[#This Row],[CANT BARRAS]]*salidas26[[#This Row],[PRECIO BARRA]])</f>
        <v>0</v>
      </c>
      <c r="K1795">
        <v>180</v>
      </c>
      <c r="L1795" t="s">
        <v>465</v>
      </c>
      <c r="M1795" t="s">
        <v>470</v>
      </c>
    </row>
    <row r="1796" spans="1:13">
      <c r="A1796">
        <v>1635</v>
      </c>
      <c r="B1796">
        <v>1078</v>
      </c>
      <c r="C17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49LB-LF/10B</v>
      </c>
      <c r="D1796" s="32">
        <v>46205</v>
      </c>
      <c r="E179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79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796">
        <v>1</v>
      </c>
      <c r="I1796">
        <f>(salidas26[[#This Row],[CANT JUEGOS ]]*salidas26[[#This Row],[PRECIO JUEGO]])</f>
        <v>280</v>
      </c>
      <c r="J1796">
        <f>(salidas26[[#This Row],[CANT BARRAS]]*salidas26[[#This Row],[PRECIO BARRA]])</f>
        <v>0</v>
      </c>
      <c r="K1796">
        <v>280</v>
      </c>
      <c r="L1796" t="s">
        <v>465</v>
      </c>
      <c r="M1796" t="s">
        <v>466</v>
      </c>
    </row>
    <row r="1797" spans="1:13">
      <c r="A1797">
        <v>1636</v>
      </c>
      <c r="B1797">
        <v>7012</v>
      </c>
      <c r="C17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IRT 50604  9L/ 4B</v>
      </c>
      <c r="D1797" s="32">
        <v>46205</v>
      </c>
      <c r="E179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79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797">
        <v>1</v>
      </c>
      <c r="I1797">
        <f>(salidas26[[#This Row],[CANT JUEGOS ]]*salidas26[[#This Row],[PRECIO JUEGO]])</f>
        <v>200</v>
      </c>
      <c r="J1797">
        <f>(salidas26[[#This Row],[CANT BARRAS]]*salidas26[[#This Row],[PRECIO BARRA]])</f>
        <v>0</v>
      </c>
      <c r="K1797">
        <v>220</v>
      </c>
      <c r="L1797" t="s">
        <v>465</v>
      </c>
      <c r="M1797" t="s">
        <v>958</v>
      </c>
    </row>
    <row r="1798" spans="1:13">
      <c r="A1798">
        <v>1637</v>
      </c>
      <c r="B1798">
        <v>3000</v>
      </c>
      <c r="C17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32B8000 3B/10LED/3V </v>
      </c>
      <c r="D1798" s="32">
        <v>46205</v>
      </c>
      <c r="E179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9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98">
        <v>1</v>
      </c>
      <c r="I1798">
        <f>(salidas26[[#This Row],[CANT JUEGOS ]]*salidas26[[#This Row],[PRECIO JUEGO]])</f>
        <v>90</v>
      </c>
      <c r="J1798">
        <f>(salidas26[[#This Row],[CANT BARRAS]]*salidas26[[#This Row],[PRECIO BARRA]])</f>
        <v>0</v>
      </c>
      <c r="K1798">
        <v>90</v>
      </c>
      <c r="L1798" t="s">
        <v>496</v>
      </c>
      <c r="M1798" t="s">
        <v>468</v>
      </c>
    </row>
    <row r="1799" spans="1:13">
      <c r="A1799">
        <v>1638</v>
      </c>
      <c r="B1799">
        <v>4003</v>
      </c>
      <c r="C17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DAEWOO 8L/3V - 3B</v>
      </c>
      <c r="D1799" s="32">
        <v>46205</v>
      </c>
      <c r="E179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79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799">
        <v>1</v>
      </c>
      <c r="I1799">
        <f>(salidas26[[#This Row],[CANT JUEGOS ]]*salidas26[[#This Row],[PRECIO JUEGO]])</f>
        <v>90</v>
      </c>
      <c r="J1799">
        <f>(salidas26[[#This Row],[CANT BARRAS]]*salidas26[[#This Row],[PRECIO BARRA]])</f>
        <v>0</v>
      </c>
      <c r="K1799">
        <v>80</v>
      </c>
      <c r="L1799" t="s">
        <v>496</v>
      </c>
      <c r="M1799" t="s">
        <v>468</v>
      </c>
    </row>
    <row r="1800" spans="1:13">
      <c r="A1800">
        <v>1639</v>
      </c>
      <c r="B1800">
        <v>2000</v>
      </c>
      <c r="C18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800" s="32">
        <v>46205</v>
      </c>
      <c r="E180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0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800">
        <v>3</v>
      </c>
      <c r="I1800">
        <f>(salidas26[[#This Row],[CANT JUEGOS ]]*salidas26[[#This Row],[PRECIO JUEGO]])</f>
        <v>240</v>
      </c>
      <c r="J1800">
        <f>(salidas26[[#This Row],[CANT BARRAS]]*salidas26[[#This Row],[PRECIO BARRA]])</f>
        <v>0</v>
      </c>
      <c r="K1800">
        <v>180</v>
      </c>
      <c r="L1800" t="s">
        <v>465</v>
      </c>
      <c r="M1800" t="s">
        <v>797</v>
      </c>
    </row>
    <row r="1801" spans="1:13">
      <c r="A1801">
        <v>1640</v>
      </c>
      <c r="B1801">
        <v>2090</v>
      </c>
      <c r="C18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UN58FH/12B</v>
      </c>
      <c r="D1801" s="32">
        <v>46205</v>
      </c>
      <c r="E180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80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29.166666666666668</v>
      </c>
      <c r="G1801">
        <v>1</v>
      </c>
      <c r="I1801">
        <f>(salidas26[[#This Row],[CANT JUEGOS ]]*salidas26[[#This Row],[PRECIO JUEGO]])</f>
        <v>350</v>
      </c>
      <c r="J1801">
        <f>(salidas26[[#This Row],[CANT BARRAS]]*salidas26[[#This Row],[PRECIO BARRA]])</f>
        <v>0</v>
      </c>
      <c r="K1801">
        <v>320</v>
      </c>
      <c r="L1801" t="s">
        <v>496</v>
      </c>
      <c r="M1801" t="s">
        <v>468</v>
      </c>
    </row>
    <row r="1802" spans="1:13">
      <c r="A1802">
        <v>1641</v>
      </c>
      <c r="B1802">
        <v>8067</v>
      </c>
      <c r="C18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802" s="32">
        <v>46205</v>
      </c>
      <c r="E180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0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02">
        <v>1</v>
      </c>
      <c r="I1802">
        <f>(salidas26[[#This Row],[CANT JUEGOS ]]*salidas26[[#This Row],[PRECIO JUEGO]])</f>
        <v>220</v>
      </c>
      <c r="J1802">
        <f>(salidas26[[#This Row],[CANT BARRAS]]*salidas26[[#This Row],[PRECIO BARRA]])</f>
        <v>0</v>
      </c>
      <c r="K1802">
        <v>200</v>
      </c>
      <c r="L1802" t="s">
        <v>465</v>
      </c>
      <c r="M1802" t="s">
        <v>481</v>
      </c>
    </row>
    <row r="1803" spans="1:13">
      <c r="A1803">
        <v>1642</v>
      </c>
      <c r="B1803">
        <v>2027</v>
      </c>
      <c r="C18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UN43J5290/8B</v>
      </c>
      <c r="D1803" s="32">
        <v>46205</v>
      </c>
      <c r="E180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80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803">
        <v>8</v>
      </c>
      <c r="I1803">
        <f>(salidas26[[#This Row],[CANT JUEGOS ]]*salidas26[[#This Row],[PRECIO JUEGO]])</f>
        <v>1440</v>
      </c>
      <c r="J1803">
        <f>(salidas26[[#This Row],[CANT BARRAS]]*salidas26[[#This Row],[PRECIO BARRA]])</f>
        <v>0</v>
      </c>
      <c r="M1803" t="s">
        <v>959</v>
      </c>
    </row>
    <row r="1804" spans="1:13">
      <c r="A1804">
        <v>1643</v>
      </c>
      <c r="B1804">
        <v>6027</v>
      </c>
      <c r="C18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HISENSE K321UW/10B reemplazo 55 6L/3V/10B</v>
      </c>
      <c r="D1804" s="32">
        <v>46205</v>
      </c>
      <c r="E180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80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804">
        <v>1</v>
      </c>
      <c r="H1804">
        <v>3</v>
      </c>
      <c r="I1804">
        <f>(salidas26[[#This Row],[CANT JUEGOS ]]*salidas26[[#This Row],[PRECIO JUEGO]])</f>
        <v>280</v>
      </c>
      <c r="J1804">
        <f>(salidas26[[#This Row],[CANT BARRAS]]*salidas26[[#This Row],[PRECIO BARRA]])</f>
        <v>84</v>
      </c>
      <c r="M1804" t="s">
        <v>677</v>
      </c>
    </row>
    <row r="1805" spans="1:13">
      <c r="A1805">
        <v>1644</v>
      </c>
      <c r="B1805">
        <v>5018</v>
      </c>
      <c r="C18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KDL-40R475 SONY/10B</v>
      </c>
      <c r="D1805" s="32">
        <v>46205</v>
      </c>
      <c r="E180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80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20</v>
      </c>
      <c r="G1805">
        <v>1</v>
      </c>
      <c r="I1805">
        <f>(salidas26[[#This Row],[CANT JUEGOS ]]*salidas26[[#This Row],[PRECIO JUEGO]])</f>
        <v>200</v>
      </c>
      <c r="J1805">
        <f>(salidas26[[#This Row],[CANT BARRAS]]*salidas26[[#This Row],[PRECIO BARRA]])</f>
        <v>0</v>
      </c>
      <c r="K1805">
        <v>170</v>
      </c>
      <c r="L1805" t="s">
        <v>564</v>
      </c>
      <c r="M1805" t="s">
        <v>523</v>
      </c>
    </row>
    <row r="1806" spans="1:13">
      <c r="A1806">
        <v>1645</v>
      </c>
      <c r="B1806">
        <v>2057</v>
      </c>
      <c r="C18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UN50F5000 -50F6400/ 18B</v>
      </c>
      <c r="D1806" s="32">
        <v>46205</v>
      </c>
      <c r="E180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80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22.222222222222221</v>
      </c>
      <c r="G1806">
        <v>1</v>
      </c>
      <c r="I1806">
        <f>(salidas26[[#This Row],[CANT JUEGOS ]]*salidas26[[#This Row],[PRECIO JUEGO]])</f>
        <v>400</v>
      </c>
      <c r="J1806">
        <f>(salidas26[[#This Row],[CANT BARRAS]]*salidas26[[#This Row],[PRECIO BARRA]])</f>
        <v>0</v>
      </c>
      <c r="K1806">
        <v>320</v>
      </c>
      <c r="L1806" t="s">
        <v>465</v>
      </c>
      <c r="M1806" t="s">
        <v>960</v>
      </c>
    </row>
    <row r="1807" spans="1:13">
      <c r="A1807">
        <v>1646</v>
      </c>
      <c r="B1807">
        <v>4000</v>
      </c>
      <c r="C18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807" s="32">
        <v>46205</v>
      </c>
      <c r="E180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0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07">
        <v>1</v>
      </c>
      <c r="I1807">
        <f>(salidas26[[#This Row],[CANT JUEGOS ]]*salidas26[[#This Row],[PRECIO JUEGO]])</f>
        <v>60</v>
      </c>
      <c r="J1807">
        <f>(salidas26[[#This Row],[CANT BARRAS]]*salidas26[[#This Row],[PRECIO BARRA]])</f>
        <v>0</v>
      </c>
      <c r="K1807">
        <v>48</v>
      </c>
      <c r="L1807" t="s">
        <v>465</v>
      </c>
      <c r="M1807" t="s">
        <v>960</v>
      </c>
    </row>
    <row r="1808" spans="1:13">
      <c r="A1808">
        <v>1647</v>
      </c>
      <c r="B1808">
        <v>8015</v>
      </c>
      <c r="C18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808" s="32">
        <v>46205</v>
      </c>
      <c r="E180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0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08">
        <v>1</v>
      </c>
      <c r="I1808">
        <f>(salidas26[[#This Row],[CANT JUEGOS ]]*salidas26[[#This Row],[PRECIO JUEGO]])</f>
        <v>60</v>
      </c>
      <c r="J1808">
        <f>(salidas26[[#This Row],[CANT BARRAS]]*salidas26[[#This Row],[PRECIO BARRA]])</f>
        <v>0</v>
      </c>
      <c r="K1808">
        <v>50</v>
      </c>
      <c r="L1808" t="s">
        <v>465</v>
      </c>
      <c r="M1808" t="s">
        <v>958</v>
      </c>
    </row>
    <row r="1809" spans="1:13">
      <c r="A1809">
        <v>1648</v>
      </c>
      <c r="B1809">
        <v>6000</v>
      </c>
      <c r="C18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809" s="32">
        <v>46205</v>
      </c>
      <c r="E180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0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09">
        <v>1</v>
      </c>
      <c r="I1809">
        <f>(salidas26[[#This Row],[CANT JUEGOS ]]*salidas26[[#This Row],[PRECIO JUEGO]])</f>
        <v>60</v>
      </c>
      <c r="J1809">
        <f>(salidas26[[#This Row],[CANT BARRAS]]*salidas26[[#This Row],[PRECIO BARRA]])</f>
        <v>0</v>
      </c>
      <c r="M1809" t="s">
        <v>961</v>
      </c>
    </row>
    <row r="1810" spans="1:13">
      <c r="A1810">
        <v>1649</v>
      </c>
      <c r="B1810">
        <v>2000</v>
      </c>
      <c r="C18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810" s="32">
        <v>46205</v>
      </c>
      <c r="E181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1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810">
        <v>1</v>
      </c>
      <c r="I1810">
        <f>(salidas26[[#This Row],[CANT JUEGOS ]]*salidas26[[#This Row],[PRECIO JUEGO]])</f>
        <v>80</v>
      </c>
      <c r="J1810">
        <f>(salidas26[[#This Row],[CANT BARRAS]]*salidas26[[#This Row],[PRECIO BARRA]])</f>
        <v>0</v>
      </c>
      <c r="K1810">
        <v>70</v>
      </c>
      <c r="L1810" t="s">
        <v>465</v>
      </c>
      <c r="M1810" t="s">
        <v>481</v>
      </c>
    </row>
    <row r="1811" spans="1:13">
      <c r="A1811">
        <v>1650</v>
      </c>
      <c r="B1811">
        <v>6000</v>
      </c>
      <c r="C18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811" s="32">
        <v>46205</v>
      </c>
      <c r="E181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1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11">
        <v>1</v>
      </c>
      <c r="I1811">
        <f>(salidas26[[#This Row],[CANT JUEGOS ]]*salidas26[[#This Row],[PRECIO JUEGO]])</f>
        <v>60</v>
      </c>
      <c r="J1811">
        <f>(salidas26[[#This Row],[CANT BARRAS]]*salidas26[[#This Row],[PRECIO BARRA]])</f>
        <v>0</v>
      </c>
      <c r="M1811" t="s">
        <v>485</v>
      </c>
    </row>
    <row r="1812" spans="1:13">
      <c r="A1812">
        <v>1651</v>
      </c>
      <c r="B1812">
        <v>1003</v>
      </c>
      <c r="C18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-3B/3V/7-8-7L</v>
      </c>
      <c r="D1812" s="32">
        <v>46205</v>
      </c>
      <c r="E181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1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812">
        <v>1</v>
      </c>
      <c r="I1812">
        <f>(salidas26[[#This Row],[CANT JUEGOS ]]*salidas26[[#This Row],[PRECIO JUEGO]])</f>
        <v>80</v>
      </c>
      <c r="J1812">
        <f>(salidas26[[#This Row],[CANT BARRAS]]*salidas26[[#This Row],[PRECIO BARRA]])</f>
        <v>0</v>
      </c>
      <c r="K1812">
        <v>80</v>
      </c>
      <c r="L1812" t="s">
        <v>496</v>
      </c>
      <c r="M1812" t="s">
        <v>668</v>
      </c>
    </row>
    <row r="1813" spans="1:13">
      <c r="A1813">
        <v>1652</v>
      </c>
      <c r="B1813">
        <v>8123</v>
      </c>
      <c r="C18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1813" s="32">
        <v>46205</v>
      </c>
      <c r="E181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81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813">
        <v>10</v>
      </c>
      <c r="I1813">
        <f>(salidas26[[#This Row],[CANT JUEGOS ]]*salidas26[[#This Row],[PRECIO JUEGO]])</f>
        <v>0</v>
      </c>
      <c r="J1813">
        <f>(salidas26[[#This Row],[CANT BARRAS]]*salidas26[[#This Row],[PRECIO BARRA]])</f>
        <v>35</v>
      </c>
      <c r="K1813">
        <v>35</v>
      </c>
      <c r="L1813" t="s">
        <v>496</v>
      </c>
      <c r="M1813" t="s">
        <v>668</v>
      </c>
    </row>
    <row r="1814" spans="1:13">
      <c r="A1814">
        <v>1654</v>
      </c>
      <c r="B1814" t="s">
        <v>858</v>
      </c>
      <c r="C18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SUE 9500</v>
      </c>
      <c r="D1814" s="32">
        <v>46206</v>
      </c>
      <c r="E181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81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G1814">
        <v>1</v>
      </c>
      <c r="I1814">
        <f>(salidas26[[#This Row],[CANT JUEGOS ]]*salidas26[[#This Row],[PRECIO JUEGO]])</f>
        <v>420</v>
      </c>
      <c r="J1814" t="e">
        <f>(salidas26[[#This Row],[CANT BARRAS]]*salidas26[[#This Row],[PRECIO BARRA]])</f>
        <v>#VALUE!</v>
      </c>
      <c r="K1814">
        <v>400</v>
      </c>
      <c r="L1814" t="s">
        <v>496</v>
      </c>
      <c r="M1814" t="s">
        <v>683</v>
      </c>
    </row>
    <row r="1815" spans="1:13">
      <c r="A1815">
        <v>1655</v>
      </c>
      <c r="B1815">
        <v>8067</v>
      </c>
      <c r="C18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815" s="32">
        <v>46175</v>
      </c>
      <c r="E181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1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15">
        <v>1</v>
      </c>
      <c r="I1815">
        <f>(salidas26[[#This Row],[CANT JUEGOS ]]*salidas26[[#This Row],[PRECIO JUEGO]])</f>
        <v>220</v>
      </c>
      <c r="J1815">
        <f>(salidas26[[#This Row],[CANT BARRAS]]*salidas26[[#This Row],[PRECIO BARRA]])</f>
        <v>0</v>
      </c>
      <c r="K1815">
        <v>200</v>
      </c>
      <c r="L1815" t="s">
        <v>465</v>
      </c>
      <c r="M1815" t="s">
        <v>471</v>
      </c>
    </row>
    <row r="1816" spans="1:13">
      <c r="A1816">
        <v>1656</v>
      </c>
      <c r="B1816">
        <v>8067</v>
      </c>
      <c r="C18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816" s="32">
        <v>46206</v>
      </c>
      <c r="E181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1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16">
        <v>1</v>
      </c>
      <c r="I1816">
        <f>(salidas26[[#This Row],[CANT JUEGOS ]]*salidas26[[#This Row],[PRECIO JUEGO]])</f>
        <v>220</v>
      </c>
      <c r="J1816">
        <f>(salidas26[[#This Row],[CANT BARRAS]]*salidas26[[#This Row],[PRECIO BARRA]])</f>
        <v>0</v>
      </c>
      <c r="M1816" t="s">
        <v>471</v>
      </c>
    </row>
    <row r="1817" spans="1:13">
      <c r="A1817">
        <v>1657</v>
      </c>
      <c r="B1817">
        <v>1138</v>
      </c>
      <c r="C18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817" s="32">
        <v>46206</v>
      </c>
      <c r="E181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81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817">
        <v>1</v>
      </c>
      <c r="I1817">
        <f>(salidas26[[#This Row],[CANT JUEGOS ]]*salidas26[[#This Row],[PRECIO JUEGO]])</f>
        <v>280</v>
      </c>
      <c r="J1817">
        <f>(salidas26[[#This Row],[CANT BARRAS]]*salidas26[[#This Row],[PRECIO BARRA]])</f>
        <v>0</v>
      </c>
      <c r="K1817">
        <v>280</v>
      </c>
      <c r="L1817" t="s">
        <v>465</v>
      </c>
      <c r="M1817" t="s">
        <v>822</v>
      </c>
    </row>
    <row r="1818" spans="1:13">
      <c r="A1818">
        <v>1658</v>
      </c>
      <c r="B1818">
        <v>6000</v>
      </c>
      <c r="C18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818" s="32">
        <v>46206</v>
      </c>
      <c r="E181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1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18">
        <v>1</v>
      </c>
      <c r="I1818">
        <f>(salidas26[[#This Row],[CANT JUEGOS ]]*salidas26[[#This Row],[PRECIO JUEGO]])</f>
        <v>60</v>
      </c>
      <c r="J1818">
        <f>(salidas26[[#This Row],[CANT BARRAS]]*salidas26[[#This Row],[PRECIO BARRA]])</f>
        <v>0</v>
      </c>
      <c r="M1818" t="s">
        <v>485</v>
      </c>
    </row>
    <row r="1819" spans="1:13">
      <c r="A1819">
        <v>1659</v>
      </c>
      <c r="B1819">
        <v>1120</v>
      </c>
      <c r="C18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55LM6200/2B</v>
      </c>
      <c r="D1819" s="32">
        <v>46206</v>
      </c>
      <c r="E181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1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110</v>
      </c>
      <c r="G1819">
        <v>1</v>
      </c>
      <c r="I1819">
        <f>(salidas26[[#This Row],[CANT JUEGOS ]]*salidas26[[#This Row],[PRECIO JUEGO]])</f>
        <v>220</v>
      </c>
      <c r="J1819">
        <f>(salidas26[[#This Row],[CANT BARRAS]]*salidas26[[#This Row],[PRECIO BARRA]])</f>
        <v>0</v>
      </c>
      <c r="K1819">
        <v>178</v>
      </c>
      <c r="L1819" t="s">
        <v>465</v>
      </c>
      <c r="M1819" t="s">
        <v>497</v>
      </c>
    </row>
    <row r="1820" spans="1:13">
      <c r="A1820">
        <v>1660</v>
      </c>
      <c r="B1820">
        <v>7002</v>
      </c>
      <c r="C18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1820" s="32">
        <v>46206</v>
      </c>
      <c r="E182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82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820">
        <v>1</v>
      </c>
      <c r="I1820">
        <f>(salidas26[[#This Row],[CANT JUEGOS ]]*salidas26[[#This Row],[PRECIO JUEGO]])</f>
        <v>70</v>
      </c>
      <c r="J1820">
        <f>(salidas26[[#This Row],[CANT BARRAS]]*salidas26[[#This Row],[PRECIO BARRA]])</f>
        <v>0</v>
      </c>
      <c r="K1820">
        <v>56</v>
      </c>
      <c r="L1820" t="s">
        <v>465</v>
      </c>
      <c r="M1820" t="s">
        <v>497</v>
      </c>
    </row>
    <row r="1821" spans="1:13">
      <c r="A1821">
        <v>1661</v>
      </c>
      <c r="B1821">
        <v>3012</v>
      </c>
      <c r="C18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48M600 10B/6-7LEDS Y 4 -8LEDS/3V </v>
      </c>
      <c r="D1821" s="32">
        <v>46206</v>
      </c>
      <c r="E182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260</v>
      </c>
      <c r="F182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</v>
      </c>
      <c r="G1821">
        <v>1</v>
      </c>
      <c r="I1821">
        <f>(salidas26[[#This Row],[CANT JUEGOS ]]*salidas26[[#This Row],[PRECIO JUEGO]])</f>
        <v>260</v>
      </c>
      <c r="J1821">
        <f>(salidas26[[#This Row],[CANT BARRAS]]*salidas26[[#This Row],[PRECIO BARRA]])</f>
        <v>0</v>
      </c>
      <c r="K1821">
        <v>208</v>
      </c>
      <c r="L1821" t="s">
        <v>465</v>
      </c>
      <c r="M1821" t="s">
        <v>497</v>
      </c>
    </row>
    <row r="1822" spans="1:13">
      <c r="A1822">
        <v>1662</v>
      </c>
      <c r="B1822">
        <v>4002</v>
      </c>
      <c r="C18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S780 6L/6V -2B</v>
      </c>
      <c r="D1822" s="32">
        <v>46206</v>
      </c>
      <c r="E182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2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22">
        <v>1</v>
      </c>
      <c r="I1822">
        <f>(salidas26[[#This Row],[CANT JUEGOS ]]*salidas26[[#This Row],[PRECIO JUEGO]])</f>
        <v>60</v>
      </c>
      <c r="J1822">
        <f>(salidas26[[#This Row],[CANT BARRAS]]*salidas26[[#This Row],[PRECIO BARRA]])</f>
        <v>0</v>
      </c>
      <c r="K1822">
        <v>48</v>
      </c>
      <c r="L1822" t="s">
        <v>465</v>
      </c>
      <c r="M1822" t="s">
        <v>497</v>
      </c>
    </row>
    <row r="1823" spans="1:13">
      <c r="A1823">
        <v>1663</v>
      </c>
      <c r="B1823">
        <v>2087</v>
      </c>
      <c r="C18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823" s="32">
        <v>46206</v>
      </c>
      <c r="E182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2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823">
        <v>1</v>
      </c>
      <c r="I1823">
        <f>(salidas26[[#This Row],[CANT JUEGOS ]]*salidas26[[#This Row],[PRECIO JUEGO]])</f>
        <v>240</v>
      </c>
      <c r="J1823">
        <f>(salidas26[[#This Row],[CANT BARRAS]]*salidas26[[#This Row],[PRECIO BARRA]])</f>
        <v>0</v>
      </c>
      <c r="K1823">
        <v>192</v>
      </c>
      <c r="L1823" t="s">
        <v>465</v>
      </c>
      <c r="M1823" t="s">
        <v>497</v>
      </c>
    </row>
    <row r="1824" spans="1:13">
      <c r="A1824">
        <v>1664</v>
      </c>
      <c r="B1824">
        <v>2087</v>
      </c>
      <c r="C18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824" s="32">
        <v>46206</v>
      </c>
      <c r="E182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2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824">
        <v>1</v>
      </c>
      <c r="I1824">
        <f>(salidas26[[#This Row],[CANT JUEGOS ]]*salidas26[[#This Row],[PRECIO JUEGO]])</f>
        <v>240</v>
      </c>
      <c r="J1824">
        <f>(salidas26[[#This Row],[CANT BARRAS]]*salidas26[[#This Row],[PRECIO BARRA]])</f>
        <v>0</v>
      </c>
      <c r="K1824">
        <v>220</v>
      </c>
      <c r="L1824" t="s">
        <v>465</v>
      </c>
      <c r="M1824" t="s">
        <v>481</v>
      </c>
    </row>
    <row r="1825" spans="1:13">
      <c r="A1825">
        <v>1665</v>
      </c>
      <c r="B1825">
        <v>2087</v>
      </c>
      <c r="C18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UN58NU7100 /2B EDGE</v>
      </c>
      <c r="D1825" s="32">
        <v>46206</v>
      </c>
      <c r="E182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2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120</v>
      </c>
      <c r="G1825">
        <v>1</v>
      </c>
      <c r="I1825">
        <f>(salidas26[[#This Row],[CANT JUEGOS ]]*salidas26[[#This Row],[PRECIO JUEGO]])</f>
        <v>240</v>
      </c>
      <c r="J1825">
        <f>(salidas26[[#This Row],[CANT BARRAS]]*salidas26[[#This Row],[PRECIO BARRA]])</f>
        <v>0</v>
      </c>
      <c r="K1825">
        <v>220</v>
      </c>
      <c r="L1825" t="s">
        <v>465</v>
      </c>
      <c r="M1825" t="s">
        <v>876</v>
      </c>
    </row>
    <row r="1826" spans="1:13">
      <c r="A1826">
        <v>1666</v>
      </c>
      <c r="B1826">
        <v>6000</v>
      </c>
      <c r="C18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32 SKYWORTH 2B/6LED/3V </v>
      </c>
      <c r="D1826" s="32">
        <v>46206</v>
      </c>
      <c r="E182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2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26">
        <v>1</v>
      </c>
      <c r="I1826">
        <f>(salidas26[[#This Row],[CANT JUEGOS ]]*salidas26[[#This Row],[PRECIO JUEGO]])</f>
        <v>60</v>
      </c>
      <c r="J1826">
        <f>(salidas26[[#This Row],[CANT BARRAS]]*salidas26[[#This Row],[PRECIO BARRA]])</f>
        <v>0</v>
      </c>
      <c r="K1826">
        <v>50</v>
      </c>
      <c r="L1826" t="s">
        <v>465</v>
      </c>
      <c r="M1826" t="s">
        <v>876</v>
      </c>
    </row>
    <row r="1827" spans="1:13">
      <c r="A1827">
        <v>1667</v>
      </c>
      <c r="B1827">
        <v>6022</v>
      </c>
      <c r="C18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SKYWORTH SUC9350Pro /10L</v>
      </c>
      <c r="D1827" s="32">
        <v>46206</v>
      </c>
      <c r="E182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350</v>
      </c>
      <c r="F182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70</v>
      </c>
      <c r="G1827">
        <v>1</v>
      </c>
      <c r="I1827">
        <f>(salidas26[[#This Row],[CANT JUEGOS ]]*salidas26[[#This Row],[PRECIO JUEGO]])</f>
        <v>350</v>
      </c>
      <c r="J1827">
        <f>(salidas26[[#This Row],[CANT BARRAS]]*salidas26[[#This Row],[PRECIO BARRA]])</f>
        <v>0</v>
      </c>
      <c r="K1827">
        <v>200</v>
      </c>
      <c r="L1827" t="s">
        <v>465</v>
      </c>
      <c r="M1827" t="s">
        <v>471</v>
      </c>
    </row>
    <row r="1828" spans="1:13">
      <c r="A1828">
        <v>1668</v>
      </c>
      <c r="B1828">
        <v>4020</v>
      </c>
      <c r="C18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49 DAEWOO L49R770BNS 6L/10B</v>
      </c>
      <c r="D1828" s="32">
        <v>46206</v>
      </c>
      <c r="E182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82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828">
        <v>1</v>
      </c>
      <c r="I1828">
        <f>(salidas26[[#This Row],[CANT JUEGOS ]]*salidas26[[#This Row],[PRECIO JUEGO]])</f>
        <v>250</v>
      </c>
      <c r="J1828">
        <f>(salidas26[[#This Row],[CANT BARRAS]]*salidas26[[#This Row],[PRECIO BARRA]])</f>
        <v>0</v>
      </c>
      <c r="K1828">
        <v>180</v>
      </c>
      <c r="L1828" t="s">
        <v>496</v>
      </c>
      <c r="M1828" t="s">
        <v>810</v>
      </c>
    </row>
    <row r="1829" spans="1:13">
      <c r="A1829">
        <v>1669</v>
      </c>
      <c r="B1829">
        <v>8057</v>
      </c>
      <c r="C18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829" s="32">
        <v>46206</v>
      </c>
      <c r="E182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82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29">
        <v>1</v>
      </c>
      <c r="I1829">
        <f>(salidas26[[#This Row],[CANT JUEGOS ]]*salidas26[[#This Row],[PRECIO JUEGO]])</f>
        <v>200</v>
      </c>
      <c r="J1829">
        <f>(salidas26[[#This Row],[CANT BARRAS]]*salidas26[[#This Row],[PRECIO BARRA]])</f>
        <v>0</v>
      </c>
      <c r="K1829">
        <v>200</v>
      </c>
      <c r="L1829" t="s">
        <v>465</v>
      </c>
      <c r="M1829" t="s">
        <v>869</v>
      </c>
    </row>
    <row r="1830" spans="1:13">
      <c r="A1830">
        <v>1670</v>
      </c>
      <c r="B1830">
        <v>4000</v>
      </c>
      <c r="C18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830" s="32">
        <v>46206</v>
      </c>
      <c r="E183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3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30">
        <v>1</v>
      </c>
      <c r="I1830">
        <f>(salidas26[[#This Row],[CANT JUEGOS ]]*salidas26[[#This Row],[PRECIO JUEGO]])</f>
        <v>60</v>
      </c>
      <c r="J1830">
        <f>(salidas26[[#This Row],[CANT BARRAS]]*salidas26[[#This Row],[PRECIO BARRA]])</f>
        <v>0</v>
      </c>
      <c r="K1830">
        <v>50</v>
      </c>
      <c r="L1830" t="s">
        <v>465</v>
      </c>
      <c r="M1830" t="s">
        <v>595</v>
      </c>
    </row>
    <row r="1831" spans="1:13">
      <c r="A1831">
        <v>1671</v>
      </c>
      <c r="B1831">
        <v>8033</v>
      </c>
      <c r="C18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831" s="32">
        <v>46207</v>
      </c>
      <c r="E183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83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31">
        <v>1</v>
      </c>
      <c r="I1831">
        <f>(salidas26[[#This Row],[CANT JUEGOS ]]*salidas26[[#This Row],[PRECIO JUEGO]])</f>
        <v>150</v>
      </c>
      <c r="J1831">
        <f>(salidas26[[#This Row],[CANT BARRAS]]*salidas26[[#This Row],[PRECIO BARRA]])</f>
        <v>0</v>
      </c>
      <c r="K1831">
        <v>140</v>
      </c>
      <c r="L1831" t="s">
        <v>465</v>
      </c>
      <c r="M1831" t="s">
        <v>470</v>
      </c>
    </row>
    <row r="1832" spans="1:13">
      <c r="A1832">
        <v>1672</v>
      </c>
      <c r="B1832">
        <v>8033</v>
      </c>
      <c r="C18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832" s="32">
        <v>46207</v>
      </c>
      <c r="E183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83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32">
        <v>1</v>
      </c>
      <c r="I1832">
        <f>(salidas26[[#This Row],[CANT JUEGOS ]]*salidas26[[#This Row],[PRECIO JUEGO]])</f>
        <v>150</v>
      </c>
      <c r="J1832">
        <f>(salidas26[[#This Row],[CANT BARRAS]]*salidas26[[#This Row],[PRECIO BARRA]])</f>
        <v>0</v>
      </c>
      <c r="K1832">
        <v>140</v>
      </c>
      <c r="L1832" t="s">
        <v>465</v>
      </c>
      <c r="M1832" t="s">
        <v>487</v>
      </c>
    </row>
    <row r="1833" spans="1:13">
      <c r="A1833">
        <v>1674</v>
      </c>
      <c r="B1833">
        <v>8057</v>
      </c>
      <c r="C18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45 PREMIER 7L/4B</v>
      </c>
      <c r="D1833" s="32">
        <v>46207</v>
      </c>
      <c r="E183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200</v>
      </c>
      <c r="F183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33">
        <v>1</v>
      </c>
      <c r="I1833">
        <f>(salidas26[[#This Row],[CANT JUEGOS ]]*salidas26[[#This Row],[PRECIO JUEGO]])</f>
        <v>200</v>
      </c>
      <c r="J1833">
        <f>(salidas26[[#This Row],[CANT BARRAS]]*salidas26[[#This Row],[PRECIO BARRA]])</f>
        <v>0</v>
      </c>
      <c r="M1833" t="s">
        <v>924</v>
      </c>
    </row>
    <row r="1834" spans="1:13">
      <c r="A1834">
        <v>1675</v>
      </c>
      <c r="B1834">
        <v>1000</v>
      </c>
      <c r="C18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834" s="32"/>
      <c r="E183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3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834">
        <v>1</v>
      </c>
      <c r="I1834">
        <f>(salidas26[[#This Row],[CANT JUEGOS ]]*salidas26[[#This Row],[PRECIO JUEGO]])</f>
        <v>80</v>
      </c>
      <c r="J1834">
        <f>(salidas26[[#This Row],[CANT BARRAS]]*salidas26[[#This Row],[PRECIO BARRA]])</f>
        <v>0</v>
      </c>
      <c r="M1834" t="s">
        <v>924</v>
      </c>
    </row>
    <row r="1835" spans="1:13">
      <c r="A1835">
        <v>1626</v>
      </c>
      <c r="B1835">
        <v>4000</v>
      </c>
      <c r="C18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DAEWO V780-TCL 5L/6V -2B
MI L32M5-5ASP</v>
      </c>
      <c r="D1835" s="32"/>
      <c r="E183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3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35">
        <v>2</v>
      </c>
      <c r="I1835">
        <f>(salidas26[[#This Row],[CANT JUEGOS ]]*salidas26[[#This Row],[PRECIO JUEGO]])</f>
        <v>120</v>
      </c>
      <c r="J1835">
        <f>(salidas26[[#This Row],[CANT BARRAS]]*salidas26[[#This Row],[PRECIO BARRA]])</f>
        <v>0</v>
      </c>
      <c r="K1835">
        <v>96</v>
      </c>
      <c r="L1835" t="s">
        <v>465</v>
      </c>
      <c r="M1835" t="s">
        <v>497</v>
      </c>
    </row>
    <row r="1836" spans="1:13">
      <c r="A1836">
        <v>1627</v>
      </c>
      <c r="B1836">
        <v>8067</v>
      </c>
      <c r="C18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836" s="32"/>
      <c r="E183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3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36">
        <v>1</v>
      </c>
      <c r="I1836">
        <f>(salidas26[[#This Row],[CANT JUEGOS ]]*salidas26[[#This Row],[PRECIO JUEGO]])</f>
        <v>220</v>
      </c>
      <c r="J1836">
        <f>(salidas26[[#This Row],[CANT BARRAS]]*salidas26[[#This Row],[PRECIO BARRA]])</f>
        <v>0</v>
      </c>
      <c r="K1836">
        <v>200</v>
      </c>
      <c r="L1836" t="s">
        <v>496</v>
      </c>
      <c r="M1836" t="s">
        <v>474</v>
      </c>
    </row>
    <row r="1837" spans="1:13">
      <c r="A1837">
        <v>1628</v>
      </c>
      <c r="B1837">
        <v>8104</v>
      </c>
      <c r="C18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65 LT65KB527 10 B</v>
      </c>
      <c r="D1837" s="32"/>
      <c r="E183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83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837">
        <v>1</v>
      </c>
      <c r="I1837">
        <f>(salidas26[[#This Row],[CANT JUEGOS ]]*salidas26[[#This Row],[PRECIO JUEGO]])</f>
        <v>400</v>
      </c>
      <c r="J1837">
        <f>(salidas26[[#This Row],[CANT BARRAS]]*salidas26[[#This Row],[PRECIO BARRA]])</f>
        <v>0</v>
      </c>
      <c r="K1837">
        <v>400</v>
      </c>
      <c r="L1837" t="s">
        <v>465</v>
      </c>
      <c r="M1837" t="s">
        <v>466</v>
      </c>
    </row>
    <row r="1838" spans="1:13">
      <c r="A1838">
        <v>1629</v>
      </c>
      <c r="B1838">
        <v>2000</v>
      </c>
      <c r="C18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UN32FH4005G-UN32JH4005G CUERNITO 2B</v>
      </c>
      <c r="D1838" s="32"/>
      <c r="E183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3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838">
        <v>1</v>
      </c>
      <c r="I1838">
        <f>(salidas26[[#This Row],[CANT JUEGOS ]]*salidas26[[#This Row],[PRECIO JUEGO]])</f>
        <v>80</v>
      </c>
      <c r="J1838">
        <f>(salidas26[[#This Row],[CANT BARRAS]]*salidas26[[#This Row],[PRECIO BARRA]])</f>
        <v>0</v>
      </c>
      <c r="K1838">
        <v>80</v>
      </c>
      <c r="L1838" t="s">
        <v>465</v>
      </c>
      <c r="M1838" t="s">
        <v>523</v>
      </c>
    </row>
    <row r="1839" spans="1:13">
      <c r="A1839">
        <v>1630</v>
      </c>
      <c r="B1839">
        <v>1000</v>
      </c>
      <c r="C18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839" s="32"/>
      <c r="E183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3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839">
        <v>1</v>
      </c>
      <c r="I1839">
        <f>(salidas26[[#This Row],[CANT JUEGOS ]]*salidas26[[#This Row],[PRECIO JUEGO]])</f>
        <v>80</v>
      </c>
      <c r="J1839">
        <f>(salidas26[[#This Row],[CANT BARRAS]]*salidas26[[#This Row],[PRECIO BARRA]])</f>
        <v>0</v>
      </c>
      <c r="K1839">
        <v>80</v>
      </c>
      <c r="L1839" t="s">
        <v>465</v>
      </c>
      <c r="M1839" t="s">
        <v>523</v>
      </c>
    </row>
    <row r="1840" spans="1:13">
      <c r="A1840">
        <v>1631</v>
      </c>
      <c r="B1840">
        <v>8123</v>
      </c>
      <c r="C18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LED SUELTO 3V/2W S/C  DIF. 180º</v>
      </c>
      <c r="D1840" s="32"/>
      <c r="E184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3.5</v>
      </c>
      <c r="F184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3.5</v>
      </c>
      <c r="H1840">
        <v>25</v>
      </c>
      <c r="I1840">
        <f>(salidas26[[#This Row],[CANT JUEGOS ]]*salidas26[[#This Row],[PRECIO JUEGO]])</f>
        <v>0</v>
      </c>
      <c r="J1840">
        <f>(salidas26[[#This Row],[CANT BARRAS]]*salidas26[[#This Row],[PRECIO BARRA]])</f>
        <v>87.5</v>
      </c>
      <c r="K1840">
        <v>88</v>
      </c>
      <c r="L1840" t="s">
        <v>465</v>
      </c>
      <c r="M1840" t="s">
        <v>523</v>
      </c>
    </row>
    <row r="1841" spans="1:13">
      <c r="A1841">
        <v>1632</v>
      </c>
      <c r="B1841">
        <v>8033</v>
      </c>
      <c r="C18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841" s="32"/>
      <c r="E184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84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41">
        <v>1</v>
      </c>
      <c r="I1841">
        <f>(salidas26[[#This Row],[CANT JUEGOS ]]*salidas26[[#This Row],[PRECIO JUEGO]])</f>
        <v>150</v>
      </c>
      <c r="J1841">
        <f>(salidas26[[#This Row],[CANT BARRAS]]*salidas26[[#This Row],[PRECIO BARRA]])</f>
        <v>0</v>
      </c>
      <c r="K1841">
        <v>140</v>
      </c>
      <c r="L1841" t="s">
        <v>465</v>
      </c>
      <c r="M1841" t="s">
        <v>523</v>
      </c>
    </row>
    <row r="1842" spans="1:13">
      <c r="A1842">
        <v>1633</v>
      </c>
      <c r="B1842">
        <v>1139</v>
      </c>
      <c r="C18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UM 8L 4B EL JUEGO</v>
      </c>
      <c r="D1842" s="32"/>
      <c r="E184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320</v>
      </c>
      <c r="F184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80</v>
      </c>
      <c r="G1842">
        <v>1</v>
      </c>
      <c r="I1842">
        <f>(salidas26[[#This Row],[CANT JUEGOS ]]*salidas26[[#This Row],[PRECIO JUEGO]])</f>
        <v>320</v>
      </c>
      <c r="J1842">
        <f>(salidas26[[#This Row],[CANT BARRAS]]*salidas26[[#This Row],[PRECIO BARRA]])</f>
        <v>0</v>
      </c>
      <c r="K1842">
        <v>300</v>
      </c>
      <c r="L1842" t="s">
        <v>496</v>
      </c>
      <c r="M1842" t="s">
        <v>822</v>
      </c>
    </row>
    <row r="1843" spans="1:13">
      <c r="A1843">
        <v>1634</v>
      </c>
      <c r="B1843">
        <v>8033</v>
      </c>
      <c r="C18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40 o 39 PREMIER 3B/7-6-7 LEDS /6V  7180SF40</v>
      </c>
      <c r="D1843" s="32"/>
      <c r="E184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150</v>
      </c>
      <c r="F184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50</v>
      </c>
      <c r="G1843">
        <v>1</v>
      </c>
      <c r="I1843">
        <f>(salidas26[[#This Row],[CANT JUEGOS ]]*salidas26[[#This Row],[PRECIO JUEGO]])</f>
        <v>150</v>
      </c>
      <c r="J1843">
        <f>(salidas26[[#This Row],[CANT BARRAS]]*salidas26[[#This Row],[PRECIO BARRA]])</f>
        <v>0</v>
      </c>
      <c r="K1843">
        <v>140</v>
      </c>
      <c r="L1843" t="s">
        <v>465</v>
      </c>
      <c r="M1843" t="s">
        <v>481</v>
      </c>
    </row>
    <row r="1844" spans="1:13">
      <c r="A1844">
        <v>1635</v>
      </c>
      <c r="B1844">
        <v>6016</v>
      </c>
      <c r="C18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844" s="32"/>
      <c r="E184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4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44">
        <v>1</v>
      </c>
      <c r="I1844">
        <f>(salidas26[[#This Row],[CANT JUEGOS ]]*salidas26[[#This Row],[PRECIO JUEGO]])</f>
        <v>240</v>
      </c>
      <c r="J1844">
        <f>(salidas26[[#This Row],[CANT BARRAS]]*salidas26[[#This Row],[PRECIO BARRA]])</f>
        <v>0</v>
      </c>
      <c r="K1844">
        <v>220</v>
      </c>
      <c r="L1844" t="s">
        <v>465</v>
      </c>
      <c r="M1844" t="s">
        <v>822</v>
      </c>
    </row>
    <row r="1845" spans="1:13">
      <c r="A1845">
        <v>1636</v>
      </c>
      <c r="B1845">
        <v>6016</v>
      </c>
      <c r="C18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845" s="32"/>
      <c r="E184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4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45">
        <v>2</v>
      </c>
      <c r="I1845">
        <f>(salidas26[[#This Row],[CANT JUEGOS ]]*salidas26[[#This Row],[PRECIO JUEGO]])</f>
        <v>480</v>
      </c>
      <c r="J1845">
        <f>(salidas26[[#This Row],[CANT BARRAS]]*salidas26[[#This Row],[PRECIO BARRA]])</f>
        <v>0</v>
      </c>
      <c r="K1845">
        <v>380</v>
      </c>
      <c r="L1845" t="s">
        <v>496</v>
      </c>
      <c r="M1845" t="s">
        <v>471</v>
      </c>
    </row>
    <row r="1846" spans="1:13">
      <c r="A1846">
        <v>1637</v>
      </c>
      <c r="B1846">
        <v>5002</v>
      </c>
      <c r="C18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PANASONIC 7L/3V/3B</v>
      </c>
      <c r="D1846" s="32"/>
      <c r="E184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84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46">
        <v>1</v>
      </c>
      <c r="I1846">
        <f>(salidas26[[#This Row],[CANT JUEGOS ]]*salidas26[[#This Row],[PRECIO JUEGO]])</f>
        <v>90</v>
      </c>
      <c r="J1846">
        <f>(salidas26[[#This Row],[CANT BARRAS]]*salidas26[[#This Row],[PRECIO BARRA]])</f>
        <v>0</v>
      </c>
      <c r="K1846">
        <v>90</v>
      </c>
      <c r="L1846" t="s">
        <v>496</v>
      </c>
      <c r="M1846" t="s">
        <v>628</v>
      </c>
    </row>
    <row r="1847" spans="1:13">
      <c r="A1847">
        <v>1638</v>
      </c>
      <c r="B1847">
        <v>9002</v>
      </c>
      <c r="C18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75 JVC  KB527 14B/7L</v>
      </c>
      <c r="D1847" s="32"/>
      <c r="E184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450</v>
      </c>
      <c r="F184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32.142857142857146</v>
      </c>
      <c r="G1847">
        <v>1</v>
      </c>
      <c r="I1847">
        <f>(salidas26[[#This Row],[CANT JUEGOS ]]*salidas26[[#This Row],[PRECIO JUEGO]])</f>
        <v>450</v>
      </c>
      <c r="J1847">
        <f>(salidas26[[#This Row],[CANT BARRAS]]*salidas26[[#This Row],[PRECIO BARRA]])</f>
        <v>0</v>
      </c>
      <c r="K1847">
        <v>430</v>
      </c>
      <c r="L1847" t="s">
        <v>496</v>
      </c>
      <c r="M1847" t="s">
        <v>797</v>
      </c>
    </row>
    <row r="1848" spans="1:13">
      <c r="A1848">
        <v>1639</v>
      </c>
      <c r="B1848">
        <v>1012</v>
      </c>
      <c r="C18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32LB620B-32LF620B -3B/6V/6L</v>
      </c>
      <c r="D1848" s="32"/>
      <c r="E184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90</v>
      </c>
      <c r="F184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48">
        <v>1</v>
      </c>
      <c r="I1848">
        <f>(salidas26[[#This Row],[CANT JUEGOS ]]*salidas26[[#This Row],[PRECIO JUEGO]])</f>
        <v>90</v>
      </c>
      <c r="J1848">
        <f>(salidas26[[#This Row],[CANT BARRAS]]*salidas26[[#This Row],[PRECIO BARRA]])</f>
        <v>0</v>
      </c>
      <c r="K1848">
        <v>90</v>
      </c>
      <c r="L1848" t="s">
        <v>465</v>
      </c>
      <c r="M1848" t="s">
        <v>628</v>
      </c>
    </row>
    <row r="1849" spans="1:13">
      <c r="A1849">
        <v>1640</v>
      </c>
      <c r="B1849">
        <v>1000</v>
      </c>
      <c r="C18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LA -3B/3V/7-7L</v>
      </c>
      <c r="D1849" s="32"/>
      <c r="E184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80</v>
      </c>
      <c r="F184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26.666666666666668</v>
      </c>
      <c r="G1849">
        <v>1</v>
      </c>
      <c r="I1849">
        <f>(salidas26[[#This Row],[CANT JUEGOS ]]*salidas26[[#This Row],[PRECIO JUEGO]])</f>
        <v>80</v>
      </c>
      <c r="J1849">
        <f>(salidas26[[#This Row],[CANT BARRAS]]*salidas26[[#This Row],[PRECIO BARRA]])</f>
        <v>0</v>
      </c>
      <c r="M1849" t="s">
        <v>547</v>
      </c>
    </row>
    <row r="1850" spans="1:13">
      <c r="A1850">
        <v>1641</v>
      </c>
      <c r="B1850">
        <v>8021</v>
      </c>
      <c r="C18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JVC RECTO /2B</v>
      </c>
      <c r="D1850" s="32"/>
      <c r="E185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5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50">
        <v>1</v>
      </c>
      <c r="I1850">
        <f>(salidas26[[#This Row],[CANT JUEGOS ]]*salidas26[[#This Row],[PRECIO JUEGO]])</f>
        <v>60</v>
      </c>
      <c r="J1850">
        <f>(salidas26[[#This Row],[CANT BARRAS]]*salidas26[[#This Row],[PRECIO BARRA]])</f>
        <v>0</v>
      </c>
      <c r="K1850">
        <v>50</v>
      </c>
      <c r="L1850" t="s">
        <v>496</v>
      </c>
      <c r="M1850" t="s">
        <v>725</v>
      </c>
    </row>
    <row r="1851" spans="1:13">
      <c r="A1851">
        <v>1642</v>
      </c>
      <c r="B1851">
        <v>1144</v>
      </c>
      <c r="C18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60 UJ6300/ 10B</v>
      </c>
      <c r="D1851" s="32"/>
      <c r="E185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400</v>
      </c>
      <c r="F185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40</v>
      </c>
      <c r="G1851">
        <v>1</v>
      </c>
      <c r="I1851">
        <f>(salidas26[[#This Row],[CANT JUEGOS ]]*salidas26[[#This Row],[PRECIO JUEGO]])</f>
        <v>400</v>
      </c>
      <c r="J1851">
        <f>(salidas26[[#This Row],[CANT BARRAS]]*salidas26[[#This Row],[PRECIO BARRA]])</f>
        <v>0</v>
      </c>
      <c r="K1851">
        <v>400</v>
      </c>
      <c r="L1851" t="s">
        <v>496</v>
      </c>
      <c r="M1851" t="s">
        <v>725</v>
      </c>
    </row>
    <row r="1852" spans="1:13">
      <c r="A1852">
        <v>1643</v>
      </c>
      <c r="B1852">
        <v>1069</v>
      </c>
      <c r="C18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47LB6500- 8B/6V</v>
      </c>
      <c r="D1852" s="32"/>
      <c r="E185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250</v>
      </c>
      <c r="F185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31.25</v>
      </c>
      <c r="G1852">
        <v>1</v>
      </c>
      <c r="I1852">
        <f>(salidas26[[#This Row],[CANT JUEGOS ]]*salidas26[[#This Row],[PRECIO JUEGO]])</f>
        <v>250</v>
      </c>
      <c r="J1852">
        <f>(salidas26[[#This Row],[CANT BARRAS]]*salidas26[[#This Row],[PRECIO BARRA]])</f>
        <v>0</v>
      </c>
      <c r="K1852">
        <v>250</v>
      </c>
      <c r="L1852" t="s">
        <v>465</v>
      </c>
      <c r="M1852" t="s">
        <v>481</v>
      </c>
    </row>
    <row r="1853" spans="1:13">
      <c r="A1853">
        <v>1644</v>
      </c>
      <c r="B1853">
        <v>1064</v>
      </c>
      <c r="C18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43LK540 8B/3V</v>
      </c>
      <c r="D1853" s="32"/>
      <c r="E185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85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G1853">
        <v>1</v>
      </c>
      <c r="I1853">
        <f>(salidas26[[#This Row],[CANT JUEGOS ]]*salidas26[[#This Row],[PRECIO JUEGO]])</f>
        <v>180</v>
      </c>
      <c r="J1853">
        <f>(salidas26[[#This Row],[CANT BARRAS]]*salidas26[[#This Row],[PRECIO BARRA]])</f>
        <v>0</v>
      </c>
      <c r="M1853" t="s">
        <v>886</v>
      </c>
    </row>
    <row r="1854" spans="1:13">
      <c r="A1854">
        <v>1645</v>
      </c>
      <c r="B1854">
        <v>6009</v>
      </c>
      <c r="C18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854" s="32"/>
      <c r="E1854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854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854">
        <v>6</v>
      </c>
      <c r="I1854">
        <f>(salidas26[[#This Row],[CANT JUEGOS ]]*salidas26[[#This Row],[PRECIO JUEGO]])</f>
        <v>0</v>
      </c>
      <c r="J1854">
        <f>(salidas26[[#This Row],[CANT BARRAS]]*salidas26[[#This Row],[PRECIO BARRA]])</f>
        <v>135</v>
      </c>
      <c r="M1854" t="s">
        <v>471</v>
      </c>
    </row>
    <row r="1855" spans="1:13">
      <c r="A1855">
        <v>1646</v>
      </c>
      <c r="B1855">
        <v>8076</v>
      </c>
      <c r="C18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 XIAOMI L55M6A</v>
      </c>
      <c r="D1855" s="32"/>
      <c r="E185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85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37.5</v>
      </c>
      <c r="G1855">
        <v>1</v>
      </c>
      <c r="I1855">
        <f>(salidas26[[#This Row],[CANT JUEGOS ]]*salidas26[[#This Row],[PRECIO JUEGO]])</f>
        <v>300</v>
      </c>
      <c r="J1855">
        <f>(salidas26[[#This Row],[CANT BARRAS]]*salidas26[[#This Row],[PRECIO BARRA]])</f>
        <v>0</v>
      </c>
      <c r="K1855">
        <v>280</v>
      </c>
      <c r="L1855" t="s">
        <v>465</v>
      </c>
      <c r="M1855" t="s">
        <v>466</v>
      </c>
    </row>
    <row r="1856" spans="1:13">
      <c r="A1856">
        <v>1647</v>
      </c>
      <c r="B1856">
        <v>1138</v>
      </c>
      <c r="C18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55UJ6300-55LJ5500/10B</v>
      </c>
      <c r="D1856" s="32"/>
      <c r="E185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280</v>
      </c>
      <c r="F185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28</v>
      </c>
      <c r="G1856">
        <v>1</v>
      </c>
      <c r="I1856">
        <f>(salidas26[[#This Row],[CANT JUEGOS ]]*salidas26[[#This Row],[PRECIO JUEGO]])</f>
        <v>280</v>
      </c>
      <c r="J1856">
        <f>(salidas26[[#This Row],[CANT BARRAS]]*salidas26[[#This Row],[PRECIO BARRA]])</f>
        <v>0</v>
      </c>
      <c r="M1856" t="s">
        <v>961</v>
      </c>
    </row>
    <row r="1857" spans="1:13">
      <c r="A1857">
        <v>1648</v>
      </c>
      <c r="B1857">
        <v>7002</v>
      </c>
      <c r="C18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1857" s="32"/>
      <c r="E185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85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857">
        <v>1</v>
      </c>
      <c r="I1857">
        <f>(salidas26[[#This Row],[CANT JUEGOS ]]*salidas26[[#This Row],[PRECIO JUEGO]])</f>
        <v>70</v>
      </c>
      <c r="J1857">
        <f>(salidas26[[#This Row],[CANT BARRAS]]*salidas26[[#This Row],[PRECIO BARRA]])</f>
        <v>0</v>
      </c>
      <c r="K1857">
        <v>60</v>
      </c>
      <c r="L1857" t="s">
        <v>465</v>
      </c>
      <c r="M1857" t="s">
        <v>680</v>
      </c>
    </row>
    <row r="1858" spans="1:13">
      <c r="A1858">
        <v>1649</v>
      </c>
      <c r="B1858">
        <v>1048</v>
      </c>
      <c r="C18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LJ5000 /10L/3V/5B</v>
      </c>
      <c r="D1858" s="32"/>
      <c r="E185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85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36</v>
      </c>
      <c r="G1858">
        <v>1</v>
      </c>
      <c r="I1858">
        <f>(salidas26[[#This Row],[CANT JUEGOS ]]*salidas26[[#This Row],[PRECIO JUEGO]])</f>
        <v>180</v>
      </c>
      <c r="J1858">
        <f>(salidas26[[#This Row],[CANT BARRAS]]*salidas26[[#This Row],[PRECIO BARRA]])</f>
        <v>0</v>
      </c>
      <c r="K1858">
        <v>170</v>
      </c>
      <c r="L1858" t="s">
        <v>465</v>
      </c>
      <c r="M1858" t="s">
        <v>736</v>
      </c>
    </row>
    <row r="1859" spans="1:13">
      <c r="A1859">
        <v>1652</v>
      </c>
      <c r="B1859">
        <v>8015</v>
      </c>
      <c r="C18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CHINO CHUECO 2B PREMIER</v>
      </c>
      <c r="D1859" s="32"/>
      <c r="E1859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60</v>
      </c>
      <c r="F1859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59">
        <v>1</v>
      </c>
      <c r="I1859">
        <f>(salidas26[[#This Row],[CANT JUEGOS ]]*salidas26[[#This Row],[PRECIO JUEGO]])</f>
        <v>60</v>
      </c>
      <c r="J1859">
        <f>(salidas26[[#This Row],[CANT BARRAS]]*salidas26[[#This Row],[PRECIO BARRA]])</f>
        <v>0</v>
      </c>
      <c r="M1859" t="s">
        <v>886</v>
      </c>
    </row>
    <row r="1860" spans="1:13">
      <c r="A1860">
        <v>1653</v>
      </c>
      <c r="B1860">
        <v>7002</v>
      </c>
      <c r="C18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 F1000 KONKA 6L/LED3250HDD/CRONW TV3277D IRT</v>
      </c>
      <c r="D1860" s="32"/>
      <c r="E1860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70</v>
      </c>
      <c r="F1860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35</v>
      </c>
      <c r="G1860">
        <v>1</v>
      </c>
      <c r="I1860">
        <f>(salidas26[[#This Row],[CANT JUEGOS ]]*salidas26[[#This Row],[PRECIO JUEGO]])</f>
        <v>70</v>
      </c>
      <c r="J1860">
        <f>(salidas26[[#This Row],[CANT BARRAS]]*salidas26[[#This Row],[PRECIO BARRA]])</f>
        <v>0</v>
      </c>
      <c r="K1860">
        <v>50</v>
      </c>
      <c r="L1860" t="s">
        <v>465</v>
      </c>
      <c r="M1860" t="s">
        <v>481</v>
      </c>
    </row>
    <row r="1861" spans="1:13">
      <c r="A1861">
        <v>1654</v>
      </c>
      <c r="B1861">
        <v>2081</v>
      </c>
      <c r="C18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UN55MU6500-55KU6500/2B</v>
      </c>
      <c r="D1861" s="32"/>
      <c r="E1861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420</v>
      </c>
      <c r="F1861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210</v>
      </c>
      <c r="G1861">
        <v>1</v>
      </c>
      <c r="I1861">
        <f>(salidas26[[#This Row],[CANT JUEGOS ]]*salidas26[[#This Row],[PRECIO JUEGO]])</f>
        <v>420</v>
      </c>
      <c r="J1861">
        <f>(salidas26[[#This Row],[CANT BARRAS]]*salidas26[[#This Row],[PRECIO BARRA]])</f>
        <v>0</v>
      </c>
      <c r="K1861">
        <v>420</v>
      </c>
      <c r="L1861" t="s">
        <v>465</v>
      </c>
      <c r="M1861" t="s">
        <v>466</v>
      </c>
    </row>
    <row r="1862" spans="1:13">
      <c r="A1862">
        <v>1655</v>
      </c>
      <c r="B1862">
        <v>2018</v>
      </c>
      <c r="C18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UN40FH6203 3B/2C/1R/13-13-13</v>
      </c>
      <c r="D1862" s="32"/>
      <c r="E1862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160</v>
      </c>
      <c r="F1862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53.333333333333336</v>
      </c>
      <c r="G1862">
        <v>1</v>
      </c>
      <c r="I1862">
        <f>(salidas26[[#This Row],[CANT JUEGOS ]]*salidas26[[#This Row],[PRECIO JUEGO]])</f>
        <v>160</v>
      </c>
      <c r="J1862">
        <f>(salidas26[[#This Row],[CANT BARRAS]]*salidas26[[#This Row],[PRECIO BARRA]])</f>
        <v>0</v>
      </c>
      <c r="K1862">
        <v>160</v>
      </c>
      <c r="L1862" t="s">
        <v>465</v>
      </c>
      <c r="M1862" t="s">
        <v>466</v>
      </c>
    </row>
    <row r="1863" spans="1:13">
      <c r="A1863">
        <v>1657</v>
      </c>
      <c r="B1863">
        <v>6009</v>
      </c>
      <c r="C18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43 L4700 TOS/6B -43UJ-6200/LG/8B-43E2SKYWORTH</v>
      </c>
      <c r="D1863" s="32"/>
      <c r="E1863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180</v>
      </c>
      <c r="F1863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22.5</v>
      </c>
      <c r="H1863">
        <v>6</v>
      </c>
      <c r="I1863">
        <f>(salidas26[[#This Row],[CANT JUEGOS ]]*salidas26[[#This Row],[PRECIO JUEGO]])</f>
        <v>0</v>
      </c>
      <c r="J1863">
        <f>(salidas26[[#This Row],[CANT BARRAS]]*salidas26[[#This Row],[PRECIO BARRA]])</f>
        <v>135</v>
      </c>
      <c r="K1863">
        <v>160</v>
      </c>
      <c r="L1863" t="s">
        <v>496</v>
      </c>
      <c r="M1863" t="s">
        <v>474</v>
      </c>
    </row>
    <row r="1864" spans="1:13">
      <c r="A1864">
        <v>1658</v>
      </c>
      <c r="C18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64" s="32"/>
      <c r="E186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6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64" t="e">
        <f>(salidas26[[#This Row],[CANT JUEGOS ]]*salidas26[[#This Row],[PRECIO JUEGO]])</f>
        <v>#VALUE!</v>
      </c>
      <c r="J1864" t="e">
        <f>(salidas26[[#This Row],[CANT BARRAS]]*salidas26[[#This Row],[PRECIO BARRA]])</f>
        <v>#VALUE!</v>
      </c>
    </row>
    <row r="1865" spans="1:13">
      <c r="A1865">
        <v>1659</v>
      </c>
      <c r="B1865">
        <v>8067</v>
      </c>
      <c r="C18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PREMIER 6V/10L/4B EN PARALELO</v>
      </c>
      <c r="D1865" s="32"/>
      <c r="E1865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220</v>
      </c>
      <c r="F1865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55</v>
      </c>
      <c r="G1865">
        <v>1</v>
      </c>
      <c r="I1865">
        <f>(salidas26[[#This Row],[CANT JUEGOS ]]*salidas26[[#This Row],[PRECIO JUEGO]])</f>
        <v>220</v>
      </c>
      <c r="J1865">
        <f>(salidas26[[#This Row],[CANT BARRAS]]*salidas26[[#This Row],[PRECIO BARRA]])</f>
        <v>0</v>
      </c>
      <c r="K1865">
        <v>200</v>
      </c>
      <c r="L1865" t="s">
        <v>496</v>
      </c>
      <c r="M1865" t="s">
        <v>474</v>
      </c>
    </row>
    <row r="1866" spans="1:13">
      <c r="A1866">
        <v>1660</v>
      </c>
      <c r="B1866">
        <v>6024</v>
      </c>
      <c r="C18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 xml:space="preserve">55 U7700 TOSHIBA 12B  3V 6L </v>
      </c>
      <c r="D1866" s="32"/>
      <c r="E1866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300</v>
      </c>
      <c r="F1866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25</v>
      </c>
      <c r="G1866">
        <v>2</v>
      </c>
      <c r="I1866">
        <f>(salidas26[[#This Row],[CANT JUEGOS ]]*salidas26[[#This Row],[PRECIO JUEGO]])</f>
        <v>600</v>
      </c>
      <c r="J1866">
        <f>(salidas26[[#This Row],[CANT BARRAS]]*salidas26[[#This Row],[PRECIO BARRA]])</f>
        <v>0</v>
      </c>
      <c r="K1866">
        <v>480</v>
      </c>
      <c r="L1866" t="s">
        <v>465</v>
      </c>
      <c r="M1866" t="s">
        <v>497</v>
      </c>
    </row>
    <row r="1867" spans="1:13">
      <c r="A1867">
        <v>1661</v>
      </c>
      <c r="B1867">
        <v>6016</v>
      </c>
      <c r="C18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50 TOSHIBA C350KB /8B</v>
      </c>
      <c r="D1867" s="32"/>
      <c r="E1867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240</v>
      </c>
      <c r="F1867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30</v>
      </c>
      <c r="G1867">
        <v>1</v>
      </c>
      <c r="I1867">
        <f>(salidas26[[#This Row],[CANT JUEGOS ]]*salidas26[[#This Row],[PRECIO JUEGO]])</f>
        <v>240</v>
      </c>
      <c r="J1867">
        <f>(salidas26[[#This Row],[CANT BARRAS]]*salidas26[[#This Row],[PRECIO BARRA]])</f>
        <v>0</v>
      </c>
      <c r="K1867">
        <v>220</v>
      </c>
      <c r="L1867" t="s">
        <v>496</v>
      </c>
      <c r="M1867" t="s">
        <v>489</v>
      </c>
    </row>
    <row r="1868" spans="1:13">
      <c r="A1868">
        <v>1662</v>
      </c>
      <c r="B1868">
        <v>3001</v>
      </c>
      <c r="C18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32B7000 3B/10LED/3V DOBLE CONECTOR</v>
      </c>
      <c r="D1868" s="32"/>
      <c r="E1868" s="26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100</v>
      </c>
      <c r="F1868" s="26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33.333333333333336</v>
      </c>
      <c r="G1868">
        <v>1</v>
      </c>
      <c r="I1868">
        <f>(salidas26[[#This Row],[CANT JUEGOS ]]*salidas26[[#This Row],[PRECIO JUEGO]])</f>
        <v>100</v>
      </c>
      <c r="J1868">
        <f>(salidas26[[#This Row],[CANT BARRAS]]*salidas26[[#This Row],[PRECIO BARRA]])</f>
        <v>0</v>
      </c>
      <c r="K1868">
        <v>100</v>
      </c>
      <c r="L1868" t="s">
        <v>496</v>
      </c>
      <c r="M1868" t="s">
        <v>668</v>
      </c>
    </row>
    <row r="1869" spans="1:13">
      <c r="C18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69" s="32"/>
      <c r="E186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6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69" t="e">
        <f>(salidas26[[#This Row],[CANT JUEGOS ]]*salidas26[[#This Row],[PRECIO JUEGO]])</f>
        <v>#VALUE!</v>
      </c>
      <c r="J1869" t="e">
        <f>(salidas26[[#This Row],[CANT BARRAS]]*salidas26[[#This Row],[PRECIO BARRA]])</f>
        <v>#VALUE!</v>
      </c>
    </row>
    <row r="1870" spans="1:13">
      <c r="C18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0" s="32"/>
      <c r="E187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0" t="e">
        <f>(salidas26[[#This Row],[CANT JUEGOS ]]*salidas26[[#This Row],[PRECIO JUEGO]])</f>
        <v>#VALUE!</v>
      </c>
      <c r="J1870" t="e">
        <f>(salidas26[[#This Row],[CANT BARRAS]]*salidas26[[#This Row],[PRECIO BARRA]])</f>
        <v>#VALUE!</v>
      </c>
    </row>
    <row r="1871" spans="1:13">
      <c r="C18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1" s="32"/>
      <c r="E187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1" t="e">
        <f>(salidas26[[#This Row],[CANT JUEGOS ]]*salidas26[[#This Row],[PRECIO JUEGO]])</f>
        <v>#VALUE!</v>
      </c>
      <c r="J1871" t="e">
        <f>(salidas26[[#This Row],[CANT BARRAS]]*salidas26[[#This Row],[PRECIO BARRA]])</f>
        <v>#VALUE!</v>
      </c>
    </row>
    <row r="1872" spans="1:13">
      <c r="C18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2" s="32"/>
      <c r="E187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2" t="e">
        <f>(salidas26[[#This Row],[CANT JUEGOS ]]*salidas26[[#This Row],[PRECIO JUEGO]])</f>
        <v>#VALUE!</v>
      </c>
      <c r="J1872" t="e">
        <f>(salidas26[[#This Row],[CANT BARRAS]]*salidas26[[#This Row],[PRECIO BARRA]])</f>
        <v>#VALUE!</v>
      </c>
    </row>
    <row r="1873" spans="3:10">
      <c r="C18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3" s="32"/>
      <c r="E187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3" t="e">
        <f>(salidas26[[#This Row],[CANT JUEGOS ]]*salidas26[[#This Row],[PRECIO JUEGO]])</f>
        <v>#VALUE!</v>
      </c>
      <c r="J1873" t="e">
        <f>(salidas26[[#This Row],[CANT BARRAS]]*salidas26[[#This Row],[PRECIO BARRA]])</f>
        <v>#VALUE!</v>
      </c>
    </row>
    <row r="1874" spans="3:10">
      <c r="C18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4" s="32"/>
      <c r="E187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4" t="e">
        <f>(salidas26[[#This Row],[CANT JUEGOS ]]*salidas26[[#This Row],[PRECIO JUEGO]])</f>
        <v>#VALUE!</v>
      </c>
      <c r="J1874" t="e">
        <f>(salidas26[[#This Row],[CANT BARRAS]]*salidas26[[#This Row],[PRECIO BARRA]])</f>
        <v>#VALUE!</v>
      </c>
    </row>
    <row r="1875" spans="3:10">
      <c r="C18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5" s="32"/>
      <c r="E187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5" t="e">
        <f>(salidas26[[#This Row],[CANT JUEGOS ]]*salidas26[[#This Row],[PRECIO JUEGO]])</f>
        <v>#VALUE!</v>
      </c>
      <c r="J1875" t="e">
        <f>(salidas26[[#This Row],[CANT BARRAS]]*salidas26[[#This Row],[PRECIO BARRA]])</f>
        <v>#VALUE!</v>
      </c>
    </row>
    <row r="1876" spans="3:10">
      <c r="C18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6" s="32"/>
      <c r="E187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6" t="e">
        <f>(salidas26[[#This Row],[CANT JUEGOS ]]*salidas26[[#This Row],[PRECIO JUEGO]])</f>
        <v>#VALUE!</v>
      </c>
      <c r="J1876" t="e">
        <f>(salidas26[[#This Row],[CANT BARRAS]]*salidas26[[#This Row],[PRECIO BARRA]])</f>
        <v>#VALUE!</v>
      </c>
    </row>
    <row r="1877" spans="3:10">
      <c r="C18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7" s="32"/>
      <c r="E187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7" t="e">
        <f>(salidas26[[#This Row],[CANT JUEGOS ]]*salidas26[[#This Row],[PRECIO JUEGO]])</f>
        <v>#VALUE!</v>
      </c>
      <c r="J1877" t="e">
        <f>(salidas26[[#This Row],[CANT BARRAS]]*salidas26[[#This Row],[PRECIO BARRA]])</f>
        <v>#VALUE!</v>
      </c>
    </row>
    <row r="1878" spans="3:10">
      <c r="C18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8" s="32"/>
      <c r="E187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8" t="e">
        <f>(salidas26[[#This Row],[CANT JUEGOS ]]*salidas26[[#This Row],[PRECIO JUEGO]])</f>
        <v>#VALUE!</v>
      </c>
      <c r="J1878" t="e">
        <f>(salidas26[[#This Row],[CANT BARRAS]]*salidas26[[#This Row],[PRECIO BARRA]])</f>
        <v>#VALUE!</v>
      </c>
    </row>
    <row r="1879" spans="3:10">
      <c r="C18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79" s="32"/>
      <c r="E187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7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79" t="e">
        <f>(salidas26[[#This Row],[CANT JUEGOS ]]*salidas26[[#This Row],[PRECIO JUEGO]])</f>
        <v>#VALUE!</v>
      </c>
      <c r="J1879" t="e">
        <f>(salidas26[[#This Row],[CANT BARRAS]]*salidas26[[#This Row],[PRECIO BARRA]])</f>
        <v>#VALUE!</v>
      </c>
    </row>
    <row r="1880" spans="3:10">
      <c r="C18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0" s="32"/>
      <c r="E188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0" t="e">
        <f>(salidas26[[#This Row],[CANT JUEGOS ]]*salidas26[[#This Row],[PRECIO JUEGO]])</f>
        <v>#VALUE!</v>
      </c>
      <c r="J1880" t="e">
        <f>(salidas26[[#This Row],[CANT BARRAS]]*salidas26[[#This Row],[PRECIO BARRA]])</f>
        <v>#VALUE!</v>
      </c>
    </row>
    <row r="1881" spans="3:10">
      <c r="C18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1" s="32"/>
      <c r="E188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1" t="e">
        <f>(salidas26[[#This Row],[CANT JUEGOS ]]*salidas26[[#This Row],[PRECIO JUEGO]])</f>
        <v>#VALUE!</v>
      </c>
      <c r="J1881" t="e">
        <f>(salidas26[[#This Row],[CANT BARRAS]]*salidas26[[#This Row],[PRECIO BARRA]])</f>
        <v>#VALUE!</v>
      </c>
    </row>
    <row r="1882" spans="3:10">
      <c r="C18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2" s="32"/>
      <c r="E188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2" t="e">
        <f>(salidas26[[#This Row],[CANT JUEGOS ]]*salidas26[[#This Row],[PRECIO JUEGO]])</f>
        <v>#VALUE!</v>
      </c>
      <c r="J1882" t="e">
        <f>(salidas26[[#This Row],[CANT BARRAS]]*salidas26[[#This Row],[PRECIO BARRA]])</f>
        <v>#VALUE!</v>
      </c>
    </row>
    <row r="1883" spans="3:10">
      <c r="C18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3" s="32"/>
      <c r="E188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3" t="e">
        <f>(salidas26[[#This Row],[CANT JUEGOS ]]*salidas26[[#This Row],[PRECIO JUEGO]])</f>
        <v>#VALUE!</v>
      </c>
      <c r="J1883" t="e">
        <f>(salidas26[[#This Row],[CANT BARRAS]]*salidas26[[#This Row],[PRECIO BARRA]])</f>
        <v>#VALUE!</v>
      </c>
    </row>
    <row r="1884" spans="3:10">
      <c r="C18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4" s="32"/>
      <c r="E188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4" t="e">
        <f>(salidas26[[#This Row],[CANT JUEGOS ]]*salidas26[[#This Row],[PRECIO JUEGO]])</f>
        <v>#VALUE!</v>
      </c>
      <c r="J1884" t="e">
        <f>(salidas26[[#This Row],[CANT BARRAS]]*salidas26[[#This Row],[PRECIO BARRA]])</f>
        <v>#VALUE!</v>
      </c>
    </row>
    <row r="1885" spans="3:10">
      <c r="C18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5" s="32"/>
      <c r="E188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5" t="e">
        <f>(salidas26[[#This Row],[CANT JUEGOS ]]*salidas26[[#This Row],[PRECIO JUEGO]])</f>
        <v>#VALUE!</v>
      </c>
      <c r="J1885" t="e">
        <f>(salidas26[[#This Row],[CANT BARRAS]]*salidas26[[#This Row],[PRECIO BARRA]])</f>
        <v>#VALUE!</v>
      </c>
    </row>
    <row r="1886" spans="3:10">
      <c r="C18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6" s="32"/>
      <c r="E188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6" t="e">
        <f>(salidas26[[#This Row],[CANT JUEGOS ]]*salidas26[[#This Row],[PRECIO JUEGO]])</f>
        <v>#VALUE!</v>
      </c>
      <c r="J1886" t="e">
        <f>(salidas26[[#This Row],[CANT BARRAS]]*salidas26[[#This Row],[PRECIO BARRA]])</f>
        <v>#VALUE!</v>
      </c>
    </row>
    <row r="1887" spans="3:10">
      <c r="C18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7" s="32"/>
      <c r="E188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7" t="e">
        <f>(salidas26[[#This Row],[CANT JUEGOS ]]*salidas26[[#This Row],[PRECIO JUEGO]])</f>
        <v>#VALUE!</v>
      </c>
      <c r="J1887" t="e">
        <f>(salidas26[[#This Row],[CANT BARRAS]]*salidas26[[#This Row],[PRECIO BARRA]])</f>
        <v>#VALUE!</v>
      </c>
    </row>
    <row r="1888" spans="3:10">
      <c r="C18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8" s="32"/>
      <c r="E188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8" t="e">
        <f>(salidas26[[#This Row],[CANT JUEGOS ]]*salidas26[[#This Row],[PRECIO JUEGO]])</f>
        <v>#VALUE!</v>
      </c>
      <c r="J1888" t="e">
        <f>(salidas26[[#This Row],[CANT BARRAS]]*salidas26[[#This Row],[PRECIO BARRA]])</f>
        <v>#VALUE!</v>
      </c>
    </row>
    <row r="1889" spans="3:10">
      <c r="C18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89" s="32"/>
      <c r="E188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8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89" t="e">
        <f>(salidas26[[#This Row],[CANT JUEGOS ]]*salidas26[[#This Row],[PRECIO JUEGO]])</f>
        <v>#VALUE!</v>
      </c>
      <c r="J1889" t="e">
        <f>(salidas26[[#This Row],[CANT BARRAS]]*salidas26[[#This Row],[PRECIO BARRA]])</f>
        <v>#VALUE!</v>
      </c>
    </row>
    <row r="1890" spans="3:10">
      <c r="C18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0" s="32"/>
      <c r="E189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0" t="e">
        <f>(salidas26[[#This Row],[CANT JUEGOS ]]*salidas26[[#This Row],[PRECIO JUEGO]])</f>
        <v>#VALUE!</v>
      </c>
      <c r="J1890" t="e">
        <f>(salidas26[[#This Row],[CANT BARRAS]]*salidas26[[#This Row],[PRECIO BARRA]])</f>
        <v>#VALUE!</v>
      </c>
    </row>
    <row r="1891" spans="3:10">
      <c r="C18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1" s="32"/>
      <c r="E189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1" t="e">
        <f>(salidas26[[#This Row],[CANT JUEGOS ]]*salidas26[[#This Row],[PRECIO JUEGO]])</f>
        <v>#VALUE!</v>
      </c>
      <c r="J1891" t="e">
        <f>(salidas26[[#This Row],[CANT BARRAS]]*salidas26[[#This Row],[PRECIO BARRA]])</f>
        <v>#VALUE!</v>
      </c>
    </row>
    <row r="1892" spans="3:10">
      <c r="C18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2" s="32"/>
      <c r="E189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2" t="e">
        <f>(salidas26[[#This Row],[CANT JUEGOS ]]*salidas26[[#This Row],[PRECIO JUEGO]])</f>
        <v>#VALUE!</v>
      </c>
      <c r="J1892" t="e">
        <f>(salidas26[[#This Row],[CANT BARRAS]]*salidas26[[#This Row],[PRECIO BARRA]])</f>
        <v>#VALUE!</v>
      </c>
    </row>
    <row r="1893" spans="3:10">
      <c r="C18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3" s="32"/>
      <c r="E189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3" t="e">
        <f>(salidas26[[#This Row],[CANT JUEGOS ]]*salidas26[[#This Row],[PRECIO JUEGO]])</f>
        <v>#VALUE!</v>
      </c>
      <c r="J1893" t="e">
        <f>(salidas26[[#This Row],[CANT BARRAS]]*salidas26[[#This Row],[PRECIO BARRA]])</f>
        <v>#VALUE!</v>
      </c>
    </row>
    <row r="1894" spans="3:10">
      <c r="C18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4" s="32"/>
      <c r="E189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4" t="e">
        <f>(salidas26[[#This Row],[CANT JUEGOS ]]*salidas26[[#This Row],[PRECIO JUEGO]])</f>
        <v>#VALUE!</v>
      </c>
      <c r="J1894" t="e">
        <f>(salidas26[[#This Row],[CANT BARRAS]]*salidas26[[#This Row],[PRECIO BARRA]])</f>
        <v>#VALUE!</v>
      </c>
    </row>
    <row r="1895" spans="3:10">
      <c r="C18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5" s="32"/>
      <c r="E189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5" t="e">
        <f>(salidas26[[#This Row],[CANT JUEGOS ]]*salidas26[[#This Row],[PRECIO JUEGO]])</f>
        <v>#VALUE!</v>
      </c>
      <c r="J1895" t="e">
        <f>(salidas26[[#This Row],[CANT BARRAS]]*salidas26[[#This Row],[PRECIO BARRA]])</f>
        <v>#VALUE!</v>
      </c>
    </row>
    <row r="1896" spans="3:10">
      <c r="C18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6" s="32"/>
      <c r="E189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6" t="e">
        <f>(salidas26[[#This Row],[CANT JUEGOS ]]*salidas26[[#This Row],[PRECIO JUEGO]])</f>
        <v>#VALUE!</v>
      </c>
      <c r="J1896" t="e">
        <f>(salidas26[[#This Row],[CANT BARRAS]]*salidas26[[#This Row],[PRECIO BARRA]])</f>
        <v>#VALUE!</v>
      </c>
    </row>
    <row r="1897" spans="3:10">
      <c r="C18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7" s="32"/>
      <c r="E189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7" t="e">
        <f>(salidas26[[#This Row],[CANT JUEGOS ]]*salidas26[[#This Row],[PRECIO JUEGO]])</f>
        <v>#VALUE!</v>
      </c>
      <c r="J1897" t="e">
        <f>(salidas26[[#This Row],[CANT BARRAS]]*salidas26[[#This Row],[PRECIO BARRA]])</f>
        <v>#VALUE!</v>
      </c>
    </row>
    <row r="1898" spans="3:10">
      <c r="C18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8" s="32"/>
      <c r="E189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8" t="e">
        <f>(salidas26[[#This Row],[CANT JUEGOS ]]*salidas26[[#This Row],[PRECIO JUEGO]])</f>
        <v>#VALUE!</v>
      </c>
      <c r="J1898" t="e">
        <f>(salidas26[[#This Row],[CANT BARRAS]]*salidas26[[#This Row],[PRECIO BARRA]])</f>
        <v>#VALUE!</v>
      </c>
    </row>
    <row r="1899" spans="3:10">
      <c r="C18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899" s="32"/>
      <c r="E189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89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899" t="e">
        <f>(salidas26[[#This Row],[CANT JUEGOS ]]*salidas26[[#This Row],[PRECIO JUEGO]])</f>
        <v>#VALUE!</v>
      </c>
      <c r="J1899" t="e">
        <f>(salidas26[[#This Row],[CANT BARRAS]]*salidas26[[#This Row],[PRECIO BARRA]])</f>
        <v>#VALUE!</v>
      </c>
    </row>
    <row r="1900" spans="3:10">
      <c r="C19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0" s="32"/>
      <c r="E190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0" t="e">
        <f>(salidas26[[#This Row],[CANT JUEGOS ]]*salidas26[[#This Row],[PRECIO JUEGO]])</f>
        <v>#VALUE!</v>
      </c>
      <c r="J1900" t="e">
        <f>(salidas26[[#This Row],[CANT BARRAS]]*salidas26[[#This Row],[PRECIO BARRA]])</f>
        <v>#VALUE!</v>
      </c>
    </row>
    <row r="1901" spans="3:10">
      <c r="C19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1" s="32"/>
      <c r="E190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1" t="e">
        <f>(salidas26[[#This Row],[CANT JUEGOS ]]*salidas26[[#This Row],[PRECIO JUEGO]])</f>
        <v>#VALUE!</v>
      </c>
      <c r="J1901" t="e">
        <f>(salidas26[[#This Row],[CANT BARRAS]]*salidas26[[#This Row],[PRECIO BARRA]])</f>
        <v>#VALUE!</v>
      </c>
    </row>
    <row r="1902" spans="3:10">
      <c r="C19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2" s="32"/>
      <c r="E190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2" t="e">
        <f>(salidas26[[#This Row],[CANT JUEGOS ]]*salidas26[[#This Row],[PRECIO JUEGO]])</f>
        <v>#VALUE!</v>
      </c>
      <c r="J1902" t="e">
        <f>(salidas26[[#This Row],[CANT BARRAS]]*salidas26[[#This Row],[PRECIO BARRA]])</f>
        <v>#VALUE!</v>
      </c>
    </row>
    <row r="1903" spans="3:10">
      <c r="C19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3" s="32"/>
      <c r="E190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3" t="e">
        <f>(salidas26[[#This Row],[CANT JUEGOS ]]*salidas26[[#This Row],[PRECIO JUEGO]])</f>
        <v>#VALUE!</v>
      </c>
      <c r="J1903" t="e">
        <f>(salidas26[[#This Row],[CANT BARRAS]]*salidas26[[#This Row],[PRECIO BARRA]])</f>
        <v>#VALUE!</v>
      </c>
    </row>
    <row r="1904" spans="3:10">
      <c r="C19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4" s="32"/>
      <c r="E190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4" t="e">
        <f>(salidas26[[#This Row],[CANT JUEGOS ]]*salidas26[[#This Row],[PRECIO JUEGO]])</f>
        <v>#VALUE!</v>
      </c>
      <c r="J1904" t="e">
        <f>(salidas26[[#This Row],[CANT BARRAS]]*salidas26[[#This Row],[PRECIO BARRA]])</f>
        <v>#VALUE!</v>
      </c>
    </row>
    <row r="1905" spans="3:10">
      <c r="C19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5" s="32"/>
      <c r="E190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5" t="e">
        <f>(salidas26[[#This Row],[CANT JUEGOS ]]*salidas26[[#This Row],[PRECIO JUEGO]])</f>
        <v>#VALUE!</v>
      </c>
      <c r="J1905" t="e">
        <f>(salidas26[[#This Row],[CANT BARRAS]]*salidas26[[#This Row],[PRECIO BARRA]])</f>
        <v>#VALUE!</v>
      </c>
    </row>
    <row r="1906" spans="3:10">
      <c r="C19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6" s="32"/>
      <c r="E190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6" t="e">
        <f>(salidas26[[#This Row],[CANT JUEGOS ]]*salidas26[[#This Row],[PRECIO JUEGO]])</f>
        <v>#VALUE!</v>
      </c>
      <c r="J1906" t="e">
        <f>(salidas26[[#This Row],[CANT BARRAS]]*salidas26[[#This Row],[PRECIO BARRA]])</f>
        <v>#VALUE!</v>
      </c>
    </row>
    <row r="1907" spans="3:10">
      <c r="C19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7" s="32"/>
      <c r="E190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7" t="e">
        <f>(salidas26[[#This Row],[CANT JUEGOS ]]*salidas26[[#This Row],[PRECIO JUEGO]])</f>
        <v>#VALUE!</v>
      </c>
      <c r="J1907" t="e">
        <f>(salidas26[[#This Row],[CANT BARRAS]]*salidas26[[#This Row],[PRECIO BARRA]])</f>
        <v>#VALUE!</v>
      </c>
    </row>
    <row r="1908" spans="3:10">
      <c r="C19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8" s="32"/>
      <c r="E190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8" t="e">
        <f>(salidas26[[#This Row],[CANT JUEGOS ]]*salidas26[[#This Row],[PRECIO JUEGO]])</f>
        <v>#VALUE!</v>
      </c>
      <c r="J1908" t="e">
        <f>(salidas26[[#This Row],[CANT BARRAS]]*salidas26[[#This Row],[PRECIO BARRA]])</f>
        <v>#VALUE!</v>
      </c>
    </row>
    <row r="1909" spans="3:10">
      <c r="C19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09" s="32"/>
      <c r="E190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0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09" t="e">
        <f>(salidas26[[#This Row],[CANT JUEGOS ]]*salidas26[[#This Row],[PRECIO JUEGO]])</f>
        <v>#VALUE!</v>
      </c>
      <c r="J1909" t="e">
        <f>(salidas26[[#This Row],[CANT BARRAS]]*salidas26[[#This Row],[PRECIO BARRA]])</f>
        <v>#VALUE!</v>
      </c>
    </row>
    <row r="1910" spans="3:10">
      <c r="C19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0" s="32"/>
      <c r="E191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0" t="e">
        <f>(salidas26[[#This Row],[CANT JUEGOS ]]*salidas26[[#This Row],[PRECIO JUEGO]])</f>
        <v>#VALUE!</v>
      </c>
      <c r="J1910" t="e">
        <f>(salidas26[[#This Row],[CANT BARRAS]]*salidas26[[#This Row],[PRECIO BARRA]])</f>
        <v>#VALUE!</v>
      </c>
    </row>
    <row r="1911" spans="3:10">
      <c r="C19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1" s="32"/>
      <c r="E191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1" t="e">
        <f>(salidas26[[#This Row],[CANT JUEGOS ]]*salidas26[[#This Row],[PRECIO JUEGO]])</f>
        <v>#VALUE!</v>
      </c>
      <c r="J1911" t="e">
        <f>(salidas26[[#This Row],[CANT BARRAS]]*salidas26[[#This Row],[PRECIO BARRA]])</f>
        <v>#VALUE!</v>
      </c>
    </row>
    <row r="1912" spans="3:10">
      <c r="C19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2" s="32"/>
      <c r="E191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2" t="e">
        <f>(salidas26[[#This Row],[CANT JUEGOS ]]*salidas26[[#This Row],[PRECIO JUEGO]])</f>
        <v>#VALUE!</v>
      </c>
      <c r="J1912" t="e">
        <f>(salidas26[[#This Row],[CANT BARRAS]]*salidas26[[#This Row],[PRECIO BARRA]])</f>
        <v>#VALUE!</v>
      </c>
    </row>
    <row r="1913" spans="3:10">
      <c r="C19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3" s="32"/>
      <c r="E191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3" t="e">
        <f>(salidas26[[#This Row],[CANT JUEGOS ]]*salidas26[[#This Row],[PRECIO JUEGO]])</f>
        <v>#VALUE!</v>
      </c>
      <c r="J1913" t="e">
        <f>(salidas26[[#This Row],[CANT BARRAS]]*salidas26[[#This Row],[PRECIO BARRA]])</f>
        <v>#VALUE!</v>
      </c>
    </row>
    <row r="1914" spans="3:10">
      <c r="C19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4" s="32"/>
      <c r="E191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4" t="e">
        <f>(salidas26[[#This Row],[CANT JUEGOS ]]*salidas26[[#This Row],[PRECIO JUEGO]])</f>
        <v>#VALUE!</v>
      </c>
      <c r="J1914" t="e">
        <f>(salidas26[[#This Row],[CANT BARRAS]]*salidas26[[#This Row],[PRECIO BARRA]])</f>
        <v>#VALUE!</v>
      </c>
    </row>
    <row r="1915" spans="3:10">
      <c r="C19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5" s="32"/>
      <c r="E191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5" t="e">
        <f>(salidas26[[#This Row],[CANT JUEGOS ]]*salidas26[[#This Row],[PRECIO JUEGO]])</f>
        <v>#VALUE!</v>
      </c>
      <c r="J1915" t="e">
        <f>(salidas26[[#This Row],[CANT BARRAS]]*salidas26[[#This Row],[PRECIO BARRA]])</f>
        <v>#VALUE!</v>
      </c>
    </row>
    <row r="1916" spans="3:10">
      <c r="C19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6" s="32"/>
      <c r="E191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6" t="e">
        <f>(salidas26[[#This Row],[CANT JUEGOS ]]*salidas26[[#This Row],[PRECIO JUEGO]])</f>
        <v>#VALUE!</v>
      </c>
      <c r="J1916" t="e">
        <f>(salidas26[[#This Row],[CANT BARRAS]]*salidas26[[#This Row],[PRECIO BARRA]])</f>
        <v>#VALUE!</v>
      </c>
    </row>
    <row r="1917" spans="3:10">
      <c r="C19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7" s="32"/>
      <c r="E191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7" t="e">
        <f>(salidas26[[#This Row],[CANT JUEGOS ]]*salidas26[[#This Row],[PRECIO JUEGO]])</f>
        <v>#VALUE!</v>
      </c>
      <c r="J1917" t="e">
        <f>(salidas26[[#This Row],[CANT BARRAS]]*salidas26[[#This Row],[PRECIO BARRA]])</f>
        <v>#VALUE!</v>
      </c>
    </row>
    <row r="1918" spans="3:10">
      <c r="C19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8" s="32"/>
      <c r="E191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8" t="e">
        <f>(salidas26[[#This Row],[CANT JUEGOS ]]*salidas26[[#This Row],[PRECIO JUEGO]])</f>
        <v>#VALUE!</v>
      </c>
      <c r="J1918" t="e">
        <f>(salidas26[[#This Row],[CANT BARRAS]]*salidas26[[#This Row],[PRECIO BARRA]])</f>
        <v>#VALUE!</v>
      </c>
    </row>
    <row r="1919" spans="3:10">
      <c r="C19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19" s="32"/>
      <c r="E191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1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19" t="e">
        <f>(salidas26[[#This Row],[CANT JUEGOS ]]*salidas26[[#This Row],[PRECIO JUEGO]])</f>
        <v>#VALUE!</v>
      </c>
      <c r="J1919" t="e">
        <f>(salidas26[[#This Row],[CANT BARRAS]]*salidas26[[#This Row],[PRECIO BARRA]])</f>
        <v>#VALUE!</v>
      </c>
    </row>
    <row r="1920" spans="3:10">
      <c r="C19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0" s="32"/>
      <c r="E192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0" t="e">
        <f>(salidas26[[#This Row],[CANT JUEGOS ]]*salidas26[[#This Row],[PRECIO JUEGO]])</f>
        <v>#VALUE!</v>
      </c>
      <c r="J1920" t="e">
        <f>(salidas26[[#This Row],[CANT BARRAS]]*salidas26[[#This Row],[PRECIO BARRA]])</f>
        <v>#VALUE!</v>
      </c>
    </row>
    <row r="1921" spans="3:10">
      <c r="C19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1" s="32"/>
      <c r="E192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1" t="e">
        <f>(salidas26[[#This Row],[CANT JUEGOS ]]*salidas26[[#This Row],[PRECIO JUEGO]])</f>
        <v>#VALUE!</v>
      </c>
      <c r="J1921" t="e">
        <f>(salidas26[[#This Row],[CANT BARRAS]]*salidas26[[#This Row],[PRECIO BARRA]])</f>
        <v>#VALUE!</v>
      </c>
    </row>
    <row r="1922" spans="3:10">
      <c r="C19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2" s="32"/>
      <c r="E192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2" t="e">
        <f>(salidas26[[#This Row],[CANT JUEGOS ]]*salidas26[[#This Row],[PRECIO JUEGO]])</f>
        <v>#VALUE!</v>
      </c>
      <c r="J1922" t="e">
        <f>(salidas26[[#This Row],[CANT BARRAS]]*salidas26[[#This Row],[PRECIO BARRA]])</f>
        <v>#VALUE!</v>
      </c>
    </row>
    <row r="1923" spans="3:10">
      <c r="C19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3" s="32"/>
      <c r="E192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3" t="e">
        <f>(salidas26[[#This Row],[CANT JUEGOS ]]*salidas26[[#This Row],[PRECIO JUEGO]])</f>
        <v>#VALUE!</v>
      </c>
      <c r="J1923" t="e">
        <f>(salidas26[[#This Row],[CANT BARRAS]]*salidas26[[#This Row],[PRECIO BARRA]])</f>
        <v>#VALUE!</v>
      </c>
    </row>
    <row r="1924" spans="3:10">
      <c r="C19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4" s="32"/>
      <c r="E192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4" t="e">
        <f>(salidas26[[#This Row],[CANT JUEGOS ]]*salidas26[[#This Row],[PRECIO JUEGO]])</f>
        <v>#VALUE!</v>
      </c>
      <c r="J1924" t="e">
        <f>(salidas26[[#This Row],[CANT BARRAS]]*salidas26[[#This Row],[PRECIO BARRA]])</f>
        <v>#VALUE!</v>
      </c>
    </row>
    <row r="1925" spans="3:10">
      <c r="C19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5" s="32"/>
      <c r="E192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5" t="e">
        <f>(salidas26[[#This Row],[CANT JUEGOS ]]*salidas26[[#This Row],[PRECIO JUEGO]])</f>
        <v>#VALUE!</v>
      </c>
      <c r="J1925" t="e">
        <f>(salidas26[[#This Row],[CANT BARRAS]]*salidas26[[#This Row],[PRECIO BARRA]])</f>
        <v>#VALUE!</v>
      </c>
    </row>
    <row r="1926" spans="3:10">
      <c r="C19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6" s="32"/>
      <c r="E192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6" t="e">
        <f>(salidas26[[#This Row],[CANT JUEGOS ]]*salidas26[[#This Row],[PRECIO JUEGO]])</f>
        <v>#VALUE!</v>
      </c>
      <c r="J1926" t="e">
        <f>(salidas26[[#This Row],[CANT BARRAS]]*salidas26[[#This Row],[PRECIO BARRA]])</f>
        <v>#VALUE!</v>
      </c>
    </row>
    <row r="1927" spans="3:10">
      <c r="C19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7" s="32"/>
      <c r="E192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7" t="e">
        <f>(salidas26[[#This Row],[CANT JUEGOS ]]*salidas26[[#This Row],[PRECIO JUEGO]])</f>
        <v>#VALUE!</v>
      </c>
      <c r="J1927" t="e">
        <f>(salidas26[[#This Row],[CANT BARRAS]]*salidas26[[#This Row],[PRECIO BARRA]])</f>
        <v>#VALUE!</v>
      </c>
    </row>
    <row r="1928" spans="3:10">
      <c r="C19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8" s="32"/>
      <c r="E192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8" t="e">
        <f>(salidas26[[#This Row],[CANT JUEGOS ]]*salidas26[[#This Row],[PRECIO JUEGO]])</f>
        <v>#VALUE!</v>
      </c>
      <c r="J1928" t="e">
        <f>(salidas26[[#This Row],[CANT BARRAS]]*salidas26[[#This Row],[PRECIO BARRA]])</f>
        <v>#VALUE!</v>
      </c>
    </row>
    <row r="1929" spans="3:10">
      <c r="C19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29" s="32"/>
      <c r="E192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2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29" t="e">
        <f>(salidas26[[#This Row],[CANT JUEGOS ]]*salidas26[[#This Row],[PRECIO JUEGO]])</f>
        <v>#VALUE!</v>
      </c>
      <c r="J1929" t="e">
        <f>(salidas26[[#This Row],[CANT BARRAS]]*salidas26[[#This Row],[PRECIO BARRA]])</f>
        <v>#VALUE!</v>
      </c>
    </row>
    <row r="1930" spans="3:10">
      <c r="C19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0" s="32"/>
      <c r="E193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0" t="e">
        <f>(salidas26[[#This Row],[CANT JUEGOS ]]*salidas26[[#This Row],[PRECIO JUEGO]])</f>
        <v>#VALUE!</v>
      </c>
      <c r="J1930" t="e">
        <f>(salidas26[[#This Row],[CANT BARRAS]]*salidas26[[#This Row],[PRECIO BARRA]])</f>
        <v>#VALUE!</v>
      </c>
    </row>
    <row r="1931" spans="3:10">
      <c r="C19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1" s="32"/>
      <c r="E193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1" t="e">
        <f>(salidas26[[#This Row],[CANT JUEGOS ]]*salidas26[[#This Row],[PRECIO JUEGO]])</f>
        <v>#VALUE!</v>
      </c>
      <c r="J1931" t="e">
        <f>(salidas26[[#This Row],[CANT BARRAS]]*salidas26[[#This Row],[PRECIO BARRA]])</f>
        <v>#VALUE!</v>
      </c>
    </row>
    <row r="1932" spans="3:10">
      <c r="C19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2" s="32"/>
      <c r="E193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2" t="e">
        <f>(salidas26[[#This Row],[CANT JUEGOS ]]*salidas26[[#This Row],[PRECIO JUEGO]])</f>
        <v>#VALUE!</v>
      </c>
      <c r="J1932" t="e">
        <f>(salidas26[[#This Row],[CANT BARRAS]]*salidas26[[#This Row],[PRECIO BARRA]])</f>
        <v>#VALUE!</v>
      </c>
    </row>
    <row r="1933" spans="3:10">
      <c r="C19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3" s="32"/>
      <c r="E193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3" t="e">
        <f>(salidas26[[#This Row],[CANT JUEGOS ]]*salidas26[[#This Row],[PRECIO JUEGO]])</f>
        <v>#VALUE!</v>
      </c>
      <c r="J1933" t="e">
        <f>(salidas26[[#This Row],[CANT BARRAS]]*salidas26[[#This Row],[PRECIO BARRA]])</f>
        <v>#VALUE!</v>
      </c>
    </row>
    <row r="1934" spans="3:10">
      <c r="C19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4" s="32"/>
      <c r="E193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4" t="e">
        <f>(salidas26[[#This Row],[CANT JUEGOS ]]*salidas26[[#This Row],[PRECIO JUEGO]])</f>
        <v>#VALUE!</v>
      </c>
      <c r="J1934" t="e">
        <f>(salidas26[[#This Row],[CANT BARRAS]]*salidas26[[#This Row],[PRECIO BARRA]])</f>
        <v>#VALUE!</v>
      </c>
    </row>
    <row r="1935" spans="3:10">
      <c r="C19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5" s="32"/>
      <c r="E193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5" t="e">
        <f>(salidas26[[#This Row],[CANT JUEGOS ]]*salidas26[[#This Row],[PRECIO JUEGO]])</f>
        <v>#VALUE!</v>
      </c>
      <c r="J1935" t="e">
        <f>(salidas26[[#This Row],[CANT BARRAS]]*salidas26[[#This Row],[PRECIO BARRA]])</f>
        <v>#VALUE!</v>
      </c>
    </row>
    <row r="1936" spans="3:10">
      <c r="C19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6" s="32"/>
      <c r="E193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6" t="e">
        <f>(salidas26[[#This Row],[CANT JUEGOS ]]*salidas26[[#This Row],[PRECIO JUEGO]])</f>
        <v>#VALUE!</v>
      </c>
      <c r="J1936" t="e">
        <f>(salidas26[[#This Row],[CANT BARRAS]]*salidas26[[#This Row],[PRECIO BARRA]])</f>
        <v>#VALUE!</v>
      </c>
    </row>
    <row r="1937" spans="3:10">
      <c r="C19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7" s="32"/>
      <c r="E193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7" t="e">
        <f>(salidas26[[#This Row],[CANT JUEGOS ]]*salidas26[[#This Row],[PRECIO JUEGO]])</f>
        <v>#VALUE!</v>
      </c>
      <c r="J1937" t="e">
        <f>(salidas26[[#This Row],[CANT BARRAS]]*salidas26[[#This Row],[PRECIO BARRA]])</f>
        <v>#VALUE!</v>
      </c>
    </row>
    <row r="1938" spans="3:10">
      <c r="C19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8" s="32"/>
      <c r="E193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8" t="e">
        <f>(salidas26[[#This Row],[CANT JUEGOS ]]*salidas26[[#This Row],[PRECIO JUEGO]])</f>
        <v>#VALUE!</v>
      </c>
      <c r="J1938" t="e">
        <f>(salidas26[[#This Row],[CANT BARRAS]]*salidas26[[#This Row],[PRECIO BARRA]])</f>
        <v>#VALUE!</v>
      </c>
    </row>
    <row r="1939" spans="3:10">
      <c r="C19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39" s="32"/>
      <c r="E193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3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39" t="e">
        <f>(salidas26[[#This Row],[CANT JUEGOS ]]*salidas26[[#This Row],[PRECIO JUEGO]])</f>
        <v>#VALUE!</v>
      </c>
      <c r="J1939" t="e">
        <f>(salidas26[[#This Row],[CANT BARRAS]]*salidas26[[#This Row],[PRECIO BARRA]])</f>
        <v>#VALUE!</v>
      </c>
    </row>
    <row r="1940" spans="3:10">
      <c r="C19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0" s="32"/>
      <c r="E194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0" t="e">
        <f>(salidas26[[#This Row],[CANT JUEGOS ]]*salidas26[[#This Row],[PRECIO JUEGO]])</f>
        <v>#VALUE!</v>
      </c>
      <c r="J1940" t="e">
        <f>(salidas26[[#This Row],[CANT BARRAS]]*salidas26[[#This Row],[PRECIO BARRA]])</f>
        <v>#VALUE!</v>
      </c>
    </row>
    <row r="1941" spans="3:10">
      <c r="C19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1" s="32"/>
      <c r="E194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1" t="e">
        <f>(salidas26[[#This Row],[CANT JUEGOS ]]*salidas26[[#This Row],[PRECIO JUEGO]])</f>
        <v>#VALUE!</v>
      </c>
      <c r="J1941" t="e">
        <f>(salidas26[[#This Row],[CANT BARRAS]]*salidas26[[#This Row],[PRECIO BARRA]])</f>
        <v>#VALUE!</v>
      </c>
    </row>
    <row r="1942" spans="3:10">
      <c r="C19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2" s="32"/>
      <c r="E194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2" t="e">
        <f>(salidas26[[#This Row],[CANT JUEGOS ]]*salidas26[[#This Row],[PRECIO JUEGO]])</f>
        <v>#VALUE!</v>
      </c>
      <c r="J1942" t="e">
        <f>(salidas26[[#This Row],[CANT BARRAS]]*salidas26[[#This Row],[PRECIO BARRA]])</f>
        <v>#VALUE!</v>
      </c>
    </row>
    <row r="1943" spans="3:10">
      <c r="C19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3" s="32"/>
      <c r="E194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3" t="e">
        <f>(salidas26[[#This Row],[CANT JUEGOS ]]*salidas26[[#This Row],[PRECIO JUEGO]])</f>
        <v>#VALUE!</v>
      </c>
      <c r="J1943" t="e">
        <f>(salidas26[[#This Row],[CANT BARRAS]]*salidas26[[#This Row],[PRECIO BARRA]])</f>
        <v>#VALUE!</v>
      </c>
    </row>
    <row r="1944" spans="3:10">
      <c r="C19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4" s="32"/>
      <c r="E194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4" t="e">
        <f>(salidas26[[#This Row],[CANT JUEGOS ]]*salidas26[[#This Row],[PRECIO JUEGO]])</f>
        <v>#VALUE!</v>
      </c>
      <c r="J1944" t="e">
        <f>(salidas26[[#This Row],[CANT BARRAS]]*salidas26[[#This Row],[PRECIO BARRA]])</f>
        <v>#VALUE!</v>
      </c>
    </row>
    <row r="1945" spans="3:10">
      <c r="C19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5" s="32"/>
      <c r="E194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5" t="e">
        <f>(salidas26[[#This Row],[CANT JUEGOS ]]*salidas26[[#This Row],[PRECIO JUEGO]])</f>
        <v>#VALUE!</v>
      </c>
      <c r="J1945" t="e">
        <f>(salidas26[[#This Row],[CANT BARRAS]]*salidas26[[#This Row],[PRECIO BARRA]])</f>
        <v>#VALUE!</v>
      </c>
    </row>
    <row r="1946" spans="3:10">
      <c r="C19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6" s="32"/>
      <c r="E194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6" t="e">
        <f>(salidas26[[#This Row],[CANT JUEGOS ]]*salidas26[[#This Row],[PRECIO JUEGO]])</f>
        <v>#VALUE!</v>
      </c>
      <c r="J1946" t="e">
        <f>(salidas26[[#This Row],[CANT BARRAS]]*salidas26[[#This Row],[PRECIO BARRA]])</f>
        <v>#VALUE!</v>
      </c>
    </row>
    <row r="1947" spans="3:10">
      <c r="C19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7" s="32"/>
      <c r="E194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7" t="e">
        <f>(salidas26[[#This Row],[CANT JUEGOS ]]*salidas26[[#This Row],[PRECIO JUEGO]])</f>
        <v>#VALUE!</v>
      </c>
      <c r="J1947" t="e">
        <f>(salidas26[[#This Row],[CANT BARRAS]]*salidas26[[#This Row],[PRECIO BARRA]])</f>
        <v>#VALUE!</v>
      </c>
    </row>
    <row r="1948" spans="3:10">
      <c r="C19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8" s="32"/>
      <c r="E194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8" t="e">
        <f>(salidas26[[#This Row],[CANT JUEGOS ]]*salidas26[[#This Row],[PRECIO JUEGO]])</f>
        <v>#VALUE!</v>
      </c>
      <c r="J1948" t="e">
        <f>(salidas26[[#This Row],[CANT BARRAS]]*salidas26[[#This Row],[PRECIO BARRA]])</f>
        <v>#VALUE!</v>
      </c>
    </row>
    <row r="1949" spans="3:10">
      <c r="C19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49" s="32"/>
      <c r="E194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4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49" t="e">
        <f>(salidas26[[#This Row],[CANT JUEGOS ]]*salidas26[[#This Row],[PRECIO JUEGO]])</f>
        <v>#VALUE!</v>
      </c>
      <c r="J1949" t="e">
        <f>(salidas26[[#This Row],[CANT BARRAS]]*salidas26[[#This Row],[PRECIO BARRA]])</f>
        <v>#VALUE!</v>
      </c>
    </row>
    <row r="1950" spans="3:10">
      <c r="C19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0" s="32"/>
      <c r="E195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0" t="e">
        <f>(salidas26[[#This Row],[CANT JUEGOS ]]*salidas26[[#This Row],[PRECIO JUEGO]])</f>
        <v>#VALUE!</v>
      </c>
      <c r="J1950" t="e">
        <f>(salidas26[[#This Row],[CANT BARRAS]]*salidas26[[#This Row],[PRECIO BARRA]])</f>
        <v>#VALUE!</v>
      </c>
    </row>
    <row r="1951" spans="3:10">
      <c r="C195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1" s="32"/>
      <c r="E195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1" t="e">
        <f>(salidas26[[#This Row],[CANT JUEGOS ]]*salidas26[[#This Row],[PRECIO JUEGO]])</f>
        <v>#VALUE!</v>
      </c>
      <c r="J1951" t="e">
        <f>(salidas26[[#This Row],[CANT BARRAS]]*salidas26[[#This Row],[PRECIO BARRA]])</f>
        <v>#VALUE!</v>
      </c>
    </row>
    <row r="1952" spans="3:10">
      <c r="C195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2" s="32"/>
      <c r="E195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2" t="e">
        <f>(salidas26[[#This Row],[CANT JUEGOS ]]*salidas26[[#This Row],[PRECIO JUEGO]])</f>
        <v>#VALUE!</v>
      </c>
      <c r="J1952" t="e">
        <f>(salidas26[[#This Row],[CANT BARRAS]]*salidas26[[#This Row],[PRECIO BARRA]])</f>
        <v>#VALUE!</v>
      </c>
    </row>
    <row r="1953" spans="3:10">
      <c r="C195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3" s="32"/>
      <c r="E195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3" t="e">
        <f>(salidas26[[#This Row],[CANT JUEGOS ]]*salidas26[[#This Row],[PRECIO JUEGO]])</f>
        <v>#VALUE!</v>
      </c>
      <c r="J1953" t="e">
        <f>(salidas26[[#This Row],[CANT BARRAS]]*salidas26[[#This Row],[PRECIO BARRA]])</f>
        <v>#VALUE!</v>
      </c>
    </row>
    <row r="1954" spans="3:10">
      <c r="C195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4" s="32"/>
      <c r="E195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4" t="e">
        <f>(salidas26[[#This Row],[CANT JUEGOS ]]*salidas26[[#This Row],[PRECIO JUEGO]])</f>
        <v>#VALUE!</v>
      </c>
      <c r="J1954" t="e">
        <f>(salidas26[[#This Row],[CANT BARRAS]]*salidas26[[#This Row],[PRECIO BARRA]])</f>
        <v>#VALUE!</v>
      </c>
    </row>
    <row r="1955" spans="3:10">
      <c r="C195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5" s="32"/>
      <c r="E195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5" t="e">
        <f>(salidas26[[#This Row],[CANT JUEGOS ]]*salidas26[[#This Row],[PRECIO JUEGO]])</f>
        <v>#VALUE!</v>
      </c>
      <c r="J1955" t="e">
        <f>(salidas26[[#This Row],[CANT BARRAS]]*salidas26[[#This Row],[PRECIO BARRA]])</f>
        <v>#VALUE!</v>
      </c>
    </row>
    <row r="1956" spans="3:10">
      <c r="C195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6" s="32"/>
      <c r="E195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6" t="e">
        <f>(salidas26[[#This Row],[CANT JUEGOS ]]*salidas26[[#This Row],[PRECIO JUEGO]])</f>
        <v>#VALUE!</v>
      </c>
      <c r="J1956" t="e">
        <f>(salidas26[[#This Row],[CANT BARRAS]]*salidas26[[#This Row],[PRECIO BARRA]])</f>
        <v>#VALUE!</v>
      </c>
    </row>
    <row r="1957" spans="3:10">
      <c r="C195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7" s="32"/>
      <c r="E195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7" t="e">
        <f>(salidas26[[#This Row],[CANT JUEGOS ]]*salidas26[[#This Row],[PRECIO JUEGO]])</f>
        <v>#VALUE!</v>
      </c>
      <c r="J1957" t="e">
        <f>(salidas26[[#This Row],[CANT BARRAS]]*salidas26[[#This Row],[PRECIO BARRA]])</f>
        <v>#VALUE!</v>
      </c>
    </row>
    <row r="1958" spans="3:10">
      <c r="C195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8" s="32"/>
      <c r="E195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8" t="e">
        <f>(salidas26[[#This Row],[CANT JUEGOS ]]*salidas26[[#This Row],[PRECIO JUEGO]])</f>
        <v>#VALUE!</v>
      </c>
      <c r="J1958" t="e">
        <f>(salidas26[[#This Row],[CANT BARRAS]]*salidas26[[#This Row],[PRECIO BARRA]])</f>
        <v>#VALUE!</v>
      </c>
    </row>
    <row r="1959" spans="3:10">
      <c r="C195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59" s="32"/>
      <c r="E195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5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59" t="e">
        <f>(salidas26[[#This Row],[CANT JUEGOS ]]*salidas26[[#This Row],[PRECIO JUEGO]])</f>
        <v>#VALUE!</v>
      </c>
      <c r="J1959" t="e">
        <f>(salidas26[[#This Row],[CANT BARRAS]]*salidas26[[#This Row],[PRECIO BARRA]])</f>
        <v>#VALUE!</v>
      </c>
    </row>
    <row r="1960" spans="3:10">
      <c r="C196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0" s="32"/>
      <c r="E196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0" t="e">
        <f>(salidas26[[#This Row],[CANT JUEGOS ]]*salidas26[[#This Row],[PRECIO JUEGO]])</f>
        <v>#VALUE!</v>
      </c>
      <c r="J1960" t="e">
        <f>(salidas26[[#This Row],[CANT BARRAS]]*salidas26[[#This Row],[PRECIO BARRA]])</f>
        <v>#VALUE!</v>
      </c>
    </row>
    <row r="1961" spans="3:10">
      <c r="C196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1" s="32"/>
      <c r="E196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1" t="e">
        <f>(salidas26[[#This Row],[CANT JUEGOS ]]*salidas26[[#This Row],[PRECIO JUEGO]])</f>
        <v>#VALUE!</v>
      </c>
      <c r="J1961" t="e">
        <f>(salidas26[[#This Row],[CANT BARRAS]]*salidas26[[#This Row],[PRECIO BARRA]])</f>
        <v>#VALUE!</v>
      </c>
    </row>
    <row r="1962" spans="3:10">
      <c r="C196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2" s="32"/>
      <c r="E196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2" t="e">
        <f>(salidas26[[#This Row],[CANT JUEGOS ]]*salidas26[[#This Row],[PRECIO JUEGO]])</f>
        <v>#VALUE!</v>
      </c>
      <c r="J1962" t="e">
        <f>(salidas26[[#This Row],[CANT BARRAS]]*salidas26[[#This Row],[PRECIO BARRA]])</f>
        <v>#VALUE!</v>
      </c>
    </row>
    <row r="1963" spans="3:10">
      <c r="C196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3" s="32"/>
      <c r="E196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3" t="e">
        <f>(salidas26[[#This Row],[CANT JUEGOS ]]*salidas26[[#This Row],[PRECIO JUEGO]])</f>
        <v>#VALUE!</v>
      </c>
      <c r="J1963" t="e">
        <f>(salidas26[[#This Row],[CANT BARRAS]]*salidas26[[#This Row],[PRECIO BARRA]])</f>
        <v>#VALUE!</v>
      </c>
    </row>
    <row r="1964" spans="3:10">
      <c r="C196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4" s="32"/>
      <c r="E196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4" t="e">
        <f>(salidas26[[#This Row],[CANT JUEGOS ]]*salidas26[[#This Row],[PRECIO JUEGO]])</f>
        <v>#VALUE!</v>
      </c>
      <c r="J1964" t="e">
        <f>(salidas26[[#This Row],[CANT BARRAS]]*salidas26[[#This Row],[PRECIO BARRA]])</f>
        <v>#VALUE!</v>
      </c>
    </row>
    <row r="1965" spans="3:10">
      <c r="C196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5" s="32"/>
      <c r="E196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5" t="e">
        <f>(salidas26[[#This Row],[CANT JUEGOS ]]*salidas26[[#This Row],[PRECIO JUEGO]])</f>
        <v>#VALUE!</v>
      </c>
      <c r="J1965" t="e">
        <f>(salidas26[[#This Row],[CANT BARRAS]]*salidas26[[#This Row],[PRECIO BARRA]])</f>
        <v>#VALUE!</v>
      </c>
    </row>
    <row r="1966" spans="3:10">
      <c r="C196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6" s="32"/>
      <c r="E196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6" t="e">
        <f>(salidas26[[#This Row],[CANT JUEGOS ]]*salidas26[[#This Row],[PRECIO JUEGO]])</f>
        <v>#VALUE!</v>
      </c>
      <c r="J1966" t="e">
        <f>(salidas26[[#This Row],[CANT BARRAS]]*salidas26[[#This Row],[PRECIO BARRA]])</f>
        <v>#VALUE!</v>
      </c>
    </row>
    <row r="1967" spans="3:10">
      <c r="C196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7" s="32"/>
      <c r="E196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7" t="e">
        <f>(salidas26[[#This Row],[CANT JUEGOS ]]*salidas26[[#This Row],[PRECIO JUEGO]])</f>
        <v>#VALUE!</v>
      </c>
      <c r="J1967" t="e">
        <f>(salidas26[[#This Row],[CANT BARRAS]]*salidas26[[#This Row],[PRECIO BARRA]])</f>
        <v>#VALUE!</v>
      </c>
    </row>
    <row r="1968" spans="3:10">
      <c r="C196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8" s="32"/>
      <c r="E196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8" t="e">
        <f>(salidas26[[#This Row],[CANT JUEGOS ]]*salidas26[[#This Row],[PRECIO JUEGO]])</f>
        <v>#VALUE!</v>
      </c>
      <c r="J1968" t="e">
        <f>(salidas26[[#This Row],[CANT BARRAS]]*salidas26[[#This Row],[PRECIO BARRA]])</f>
        <v>#VALUE!</v>
      </c>
    </row>
    <row r="1969" spans="3:10">
      <c r="C196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69" s="32"/>
      <c r="E196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6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69" t="e">
        <f>(salidas26[[#This Row],[CANT JUEGOS ]]*salidas26[[#This Row],[PRECIO JUEGO]])</f>
        <v>#VALUE!</v>
      </c>
      <c r="J1969" t="e">
        <f>(salidas26[[#This Row],[CANT BARRAS]]*salidas26[[#This Row],[PRECIO BARRA]])</f>
        <v>#VALUE!</v>
      </c>
    </row>
    <row r="1970" spans="3:10">
      <c r="C197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0" s="32"/>
      <c r="E197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0" t="e">
        <f>(salidas26[[#This Row],[CANT JUEGOS ]]*salidas26[[#This Row],[PRECIO JUEGO]])</f>
        <v>#VALUE!</v>
      </c>
      <c r="J1970" t="e">
        <f>(salidas26[[#This Row],[CANT BARRAS]]*salidas26[[#This Row],[PRECIO BARRA]])</f>
        <v>#VALUE!</v>
      </c>
    </row>
    <row r="1971" spans="3:10">
      <c r="C197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1" s="32"/>
      <c r="E197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1" t="e">
        <f>(salidas26[[#This Row],[CANT JUEGOS ]]*salidas26[[#This Row],[PRECIO JUEGO]])</f>
        <v>#VALUE!</v>
      </c>
      <c r="J1971" t="e">
        <f>(salidas26[[#This Row],[CANT BARRAS]]*salidas26[[#This Row],[PRECIO BARRA]])</f>
        <v>#VALUE!</v>
      </c>
    </row>
    <row r="1972" spans="3:10">
      <c r="C197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2" s="32"/>
      <c r="E197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2" t="e">
        <f>(salidas26[[#This Row],[CANT JUEGOS ]]*salidas26[[#This Row],[PRECIO JUEGO]])</f>
        <v>#VALUE!</v>
      </c>
      <c r="J1972" t="e">
        <f>(salidas26[[#This Row],[CANT BARRAS]]*salidas26[[#This Row],[PRECIO BARRA]])</f>
        <v>#VALUE!</v>
      </c>
    </row>
    <row r="1973" spans="3:10">
      <c r="C197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3" s="32"/>
      <c r="E197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3" t="e">
        <f>(salidas26[[#This Row],[CANT JUEGOS ]]*salidas26[[#This Row],[PRECIO JUEGO]])</f>
        <v>#VALUE!</v>
      </c>
      <c r="J1973" t="e">
        <f>(salidas26[[#This Row],[CANT BARRAS]]*salidas26[[#This Row],[PRECIO BARRA]])</f>
        <v>#VALUE!</v>
      </c>
    </row>
    <row r="1974" spans="3:10">
      <c r="C197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4" s="32"/>
      <c r="E197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4" t="e">
        <f>(salidas26[[#This Row],[CANT JUEGOS ]]*salidas26[[#This Row],[PRECIO JUEGO]])</f>
        <v>#VALUE!</v>
      </c>
      <c r="J1974" t="e">
        <f>(salidas26[[#This Row],[CANT BARRAS]]*salidas26[[#This Row],[PRECIO BARRA]])</f>
        <v>#VALUE!</v>
      </c>
    </row>
    <row r="1975" spans="3:10">
      <c r="C197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5" s="32"/>
      <c r="E197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5" t="e">
        <f>(salidas26[[#This Row],[CANT JUEGOS ]]*salidas26[[#This Row],[PRECIO JUEGO]])</f>
        <v>#VALUE!</v>
      </c>
      <c r="J1975" t="e">
        <f>(salidas26[[#This Row],[CANT BARRAS]]*salidas26[[#This Row],[PRECIO BARRA]])</f>
        <v>#VALUE!</v>
      </c>
    </row>
    <row r="1976" spans="3:10">
      <c r="C197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6" s="32"/>
      <c r="E197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6" t="e">
        <f>(salidas26[[#This Row],[CANT JUEGOS ]]*salidas26[[#This Row],[PRECIO JUEGO]])</f>
        <v>#VALUE!</v>
      </c>
      <c r="J1976" t="e">
        <f>(salidas26[[#This Row],[CANT BARRAS]]*salidas26[[#This Row],[PRECIO BARRA]])</f>
        <v>#VALUE!</v>
      </c>
    </row>
    <row r="1977" spans="3:10">
      <c r="C197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7" s="32"/>
      <c r="E197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7" t="e">
        <f>(salidas26[[#This Row],[CANT JUEGOS ]]*salidas26[[#This Row],[PRECIO JUEGO]])</f>
        <v>#VALUE!</v>
      </c>
      <c r="J1977" t="e">
        <f>(salidas26[[#This Row],[CANT BARRAS]]*salidas26[[#This Row],[PRECIO BARRA]])</f>
        <v>#VALUE!</v>
      </c>
    </row>
    <row r="1978" spans="3:10">
      <c r="C197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8" s="32"/>
      <c r="E197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8" t="e">
        <f>(salidas26[[#This Row],[CANT JUEGOS ]]*salidas26[[#This Row],[PRECIO JUEGO]])</f>
        <v>#VALUE!</v>
      </c>
      <c r="J1978" t="e">
        <f>(salidas26[[#This Row],[CANT BARRAS]]*salidas26[[#This Row],[PRECIO BARRA]])</f>
        <v>#VALUE!</v>
      </c>
    </row>
    <row r="1979" spans="3:10">
      <c r="C197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79" s="32"/>
      <c r="E197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7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79" t="e">
        <f>(salidas26[[#This Row],[CANT JUEGOS ]]*salidas26[[#This Row],[PRECIO JUEGO]])</f>
        <v>#VALUE!</v>
      </c>
      <c r="J1979" t="e">
        <f>(salidas26[[#This Row],[CANT BARRAS]]*salidas26[[#This Row],[PRECIO BARRA]])</f>
        <v>#VALUE!</v>
      </c>
    </row>
    <row r="1980" spans="3:10">
      <c r="C198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0" s="32"/>
      <c r="E198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0" t="e">
        <f>(salidas26[[#This Row],[CANT JUEGOS ]]*salidas26[[#This Row],[PRECIO JUEGO]])</f>
        <v>#VALUE!</v>
      </c>
      <c r="J1980" t="e">
        <f>(salidas26[[#This Row],[CANT BARRAS]]*salidas26[[#This Row],[PRECIO BARRA]])</f>
        <v>#VALUE!</v>
      </c>
    </row>
    <row r="1981" spans="3:10">
      <c r="C198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1" s="32"/>
      <c r="E198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1" t="e">
        <f>(salidas26[[#This Row],[CANT JUEGOS ]]*salidas26[[#This Row],[PRECIO JUEGO]])</f>
        <v>#VALUE!</v>
      </c>
      <c r="J1981" t="e">
        <f>(salidas26[[#This Row],[CANT BARRAS]]*salidas26[[#This Row],[PRECIO BARRA]])</f>
        <v>#VALUE!</v>
      </c>
    </row>
    <row r="1982" spans="3:10">
      <c r="C198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2" s="32"/>
      <c r="E198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2" t="e">
        <f>(salidas26[[#This Row],[CANT JUEGOS ]]*salidas26[[#This Row],[PRECIO JUEGO]])</f>
        <v>#VALUE!</v>
      </c>
      <c r="J1982" t="e">
        <f>(salidas26[[#This Row],[CANT BARRAS]]*salidas26[[#This Row],[PRECIO BARRA]])</f>
        <v>#VALUE!</v>
      </c>
    </row>
    <row r="1983" spans="3:10">
      <c r="C198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3" s="32"/>
      <c r="E198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3" t="e">
        <f>(salidas26[[#This Row],[CANT JUEGOS ]]*salidas26[[#This Row],[PRECIO JUEGO]])</f>
        <v>#VALUE!</v>
      </c>
      <c r="J1983" t="e">
        <f>(salidas26[[#This Row],[CANT BARRAS]]*salidas26[[#This Row],[PRECIO BARRA]])</f>
        <v>#VALUE!</v>
      </c>
    </row>
    <row r="1984" spans="3:10">
      <c r="C198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4" s="32"/>
      <c r="E198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4" t="e">
        <f>(salidas26[[#This Row],[CANT JUEGOS ]]*salidas26[[#This Row],[PRECIO JUEGO]])</f>
        <v>#VALUE!</v>
      </c>
      <c r="J1984" t="e">
        <f>(salidas26[[#This Row],[CANT BARRAS]]*salidas26[[#This Row],[PRECIO BARRA]])</f>
        <v>#VALUE!</v>
      </c>
    </row>
    <row r="1985" spans="3:10">
      <c r="C198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5" s="32"/>
      <c r="E198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5" t="e">
        <f>(salidas26[[#This Row],[CANT JUEGOS ]]*salidas26[[#This Row],[PRECIO JUEGO]])</f>
        <v>#VALUE!</v>
      </c>
      <c r="J1985" t="e">
        <f>(salidas26[[#This Row],[CANT BARRAS]]*salidas26[[#This Row],[PRECIO BARRA]])</f>
        <v>#VALUE!</v>
      </c>
    </row>
    <row r="1986" spans="3:10">
      <c r="C198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6" s="32"/>
      <c r="E198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6" t="e">
        <f>(salidas26[[#This Row],[CANT JUEGOS ]]*salidas26[[#This Row],[PRECIO JUEGO]])</f>
        <v>#VALUE!</v>
      </c>
      <c r="J1986" t="e">
        <f>(salidas26[[#This Row],[CANT BARRAS]]*salidas26[[#This Row],[PRECIO BARRA]])</f>
        <v>#VALUE!</v>
      </c>
    </row>
    <row r="1987" spans="3:10">
      <c r="C198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7" s="32"/>
      <c r="E198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7" t="e">
        <f>(salidas26[[#This Row],[CANT JUEGOS ]]*salidas26[[#This Row],[PRECIO JUEGO]])</f>
        <v>#VALUE!</v>
      </c>
      <c r="J1987" t="e">
        <f>(salidas26[[#This Row],[CANT BARRAS]]*salidas26[[#This Row],[PRECIO BARRA]])</f>
        <v>#VALUE!</v>
      </c>
    </row>
    <row r="1988" spans="3:10">
      <c r="C198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8" s="32"/>
      <c r="E198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8" t="e">
        <f>(salidas26[[#This Row],[CANT JUEGOS ]]*salidas26[[#This Row],[PRECIO JUEGO]])</f>
        <v>#VALUE!</v>
      </c>
      <c r="J1988" t="e">
        <f>(salidas26[[#This Row],[CANT BARRAS]]*salidas26[[#This Row],[PRECIO BARRA]])</f>
        <v>#VALUE!</v>
      </c>
    </row>
    <row r="1989" spans="3:10">
      <c r="C198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89" s="32"/>
      <c r="E198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8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89" t="e">
        <f>(salidas26[[#This Row],[CANT JUEGOS ]]*salidas26[[#This Row],[PRECIO JUEGO]])</f>
        <v>#VALUE!</v>
      </c>
      <c r="J1989" t="e">
        <f>(salidas26[[#This Row],[CANT BARRAS]]*salidas26[[#This Row],[PRECIO BARRA]])</f>
        <v>#VALUE!</v>
      </c>
    </row>
    <row r="1990" spans="3:10">
      <c r="C199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0" s="32"/>
      <c r="E199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0" t="e">
        <f>(salidas26[[#This Row],[CANT JUEGOS ]]*salidas26[[#This Row],[PRECIO JUEGO]])</f>
        <v>#VALUE!</v>
      </c>
      <c r="J1990" t="e">
        <f>(salidas26[[#This Row],[CANT BARRAS]]*salidas26[[#This Row],[PRECIO BARRA]])</f>
        <v>#VALUE!</v>
      </c>
    </row>
    <row r="1991" spans="3:10">
      <c r="C199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1" s="32"/>
      <c r="E199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1" t="e">
        <f>(salidas26[[#This Row],[CANT JUEGOS ]]*salidas26[[#This Row],[PRECIO JUEGO]])</f>
        <v>#VALUE!</v>
      </c>
      <c r="J1991" t="e">
        <f>(salidas26[[#This Row],[CANT BARRAS]]*salidas26[[#This Row],[PRECIO BARRA]])</f>
        <v>#VALUE!</v>
      </c>
    </row>
    <row r="1992" spans="3:10">
      <c r="C199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2" s="32"/>
      <c r="E199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2" t="e">
        <f>(salidas26[[#This Row],[CANT JUEGOS ]]*salidas26[[#This Row],[PRECIO JUEGO]])</f>
        <v>#VALUE!</v>
      </c>
      <c r="J1992" t="e">
        <f>(salidas26[[#This Row],[CANT BARRAS]]*salidas26[[#This Row],[PRECIO BARRA]])</f>
        <v>#VALUE!</v>
      </c>
    </row>
    <row r="1993" spans="3:10">
      <c r="C199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3" s="32"/>
      <c r="E199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3" t="e">
        <f>(salidas26[[#This Row],[CANT JUEGOS ]]*salidas26[[#This Row],[PRECIO JUEGO]])</f>
        <v>#VALUE!</v>
      </c>
      <c r="J1993" t="e">
        <f>(salidas26[[#This Row],[CANT BARRAS]]*salidas26[[#This Row],[PRECIO BARRA]])</f>
        <v>#VALUE!</v>
      </c>
    </row>
    <row r="1994" spans="3:10">
      <c r="C199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4" s="32"/>
      <c r="E199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4" t="e">
        <f>(salidas26[[#This Row],[CANT JUEGOS ]]*salidas26[[#This Row],[PRECIO JUEGO]])</f>
        <v>#VALUE!</v>
      </c>
      <c r="J1994" t="e">
        <f>(salidas26[[#This Row],[CANT BARRAS]]*salidas26[[#This Row],[PRECIO BARRA]])</f>
        <v>#VALUE!</v>
      </c>
    </row>
    <row r="1995" spans="3:10">
      <c r="C199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5" s="32"/>
      <c r="E199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5" t="e">
        <f>(salidas26[[#This Row],[CANT JUEGOS ]]*salidas26[[#This Row],[PRECIO JUEGO]])</f>
        <v>#VALUE!</v>
      </c>
      <c r="J1995" t="e">
        <f>(salidas26[[#This Row],[CANT BARRAS]]*salidas26[[#This Row],[PRECIO BARRA]])</f>
        <v>#VALUE!</v>
      </c>
    </row>
    <row r="1996" spans="3:10">
      <c r="C199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6" s="32"/>
      <c r="E199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6" t="e">
        <f>(salidas26[[#This Row],[CANT JUEGOS ]]*salidas26[[#This Row],[PRECIO JUEGO]])</f>
        <v>#VALUE!</v>
      </c>
      <c r="J1996" t="e">
        <f>(salidas26[[#This Row],[CANT BARRAS]]*salidas26[[#This Row],[PRECIO BARRA]])</f>
        <v>#VALUE!</v>
      </c>
    </row>
    <row r="1997" spans="3:10">
      <c r="C199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7" s="32"/>
      <c r="E199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7" t="e">
        <f>(salidas26[[#This Row],[CANT JUEGOS ]]*salidas26[[#This Row],[PRECIO JUEGO]])</f>
        <v>#VALUE!</v>
      </c>
      <c r="J1997" t="e">
        <f>(salidas26[[#This Row],[CANT BARRAS]]*salidas26[[#This Row],[PRECIO BARRA]])</f>
        <v>#VALUE!</v>
      </c>
    </row>
    <row r="1998" spans="3:10">
      <c r="C199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8" s="32"/>
      <c r="E199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8" t="e">
        <f>(salidas26[[#This Row],[CANT JUEGOS ]]*salidas26[[#This Row],[PRECIO JUEGO]])</f>
        <v>#VALUE!</v>
      </c>
      <c r="J1998" t="e">
        <f>(salidas26[[#This Row],[CANT BARRAS]]*salidas26[[#This Row],[PRECIO BARRA]])</f>
        <v>#VALUE!</v>
      </c>
    </row>
    <row r="1999" spans="3:10">
      <c r="C199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1999" s="32"/>
      <c r="E199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199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1999" t="e">
        <f>(salidas26[[#This Row],[CANT JUEGOS ]]*salidas26[[#This Row],[PRECIO JUEGO]])</f>
        <v>#VALUE!</v>
      </c>
      <c r="J1999" t="e">
        <f>(salidas26[[#This Row],[CANT BARRAS]]*salidas26[[#This Row],[PRECIO BARRA]])</f>
        <v>#VALUE!</v>
      </c>
    </row>
    <row r="2000" spans="3:10">
      <c r="C200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0" s="32"/>
      <c r="E200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0" t="e">
        <f>(salidas26[[#This Row],[CANT JUEGOS ]]*salidas26[[#This Row],[PRECIO JUEGO]])</f>
        <v>#VALUE!</v>
      </c>
      <c r="J2000" t="e">
        <f>(salidas26[[#This Row],[CANT BARRAS]]*salidas26[[#This Row],[PRECIO BARRA]])</f>
        <v>#VALUE!</v>
      </c>
    </row>
    <row r="2001" spans="3:10">
      <c r="C200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1" s="32"/>
      <c r="E200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1" t="e">
        <f>(salidas26[[#This Row],[CANT JUEGOS ]]*salidas26[[#This Row],[PRECIO JUEGO]])</f>
        <v>#VALUE!</v>
      </c>
      <c r="J2001" t="e">
        <f>(salidas26[[#This Row],[CANT BARRAS]]*salidas26[[#This Row],[PRECIO BARRA]])</f>
        <v>#VALUE!</v>
      </c>
    </row>
    <row r="2002" spans="3:10">
      <c r="C200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2" s="32"/>
      <c r="E200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2" t="e">
        <f>(salidas26[[#This Row],[CANT JUEGOS ]]*salidas26[[#This Row],[PRECIO JUEGO]])</f>
        <v>#VALUE!</v>
      </c>
      <c r="J2002" t="e">
        <f>(salidas26[[#This Row],[CANT BARRAS]]*salidas26[[#This Row],[PRECIO BARRA]])</f>
        <v>#VALUE!</v>
      </c>
    </row>
    <row r="2003" spans="3:10">
      <c r="C200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3" s="32"/>
      <c r="E200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3" t="e">
        <f>(salidas26[[#This Row],[CANT JUEGOS ]]*salidas26[[#This Row],[PRECIO JUEGO]])</f>
        <v>#VALUE!</v>
      </c>
      <c r="J2003" t="e">
        <f>(salidas26[[#This Row],[CANT BARRAS]]*salidas26[[#This Row],[PRECIO BARRA]])</f>
        <v>#VALUE!</v>
      </c>
    </row>
    <row r="2004" spans="3:10">
      <c r="C200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4" s="32"/>
      <c r="E200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4" t="e">
        <f>(salidas26[[#This Row],[CANT JUEGOS ]]*salidas26[[#This Row],[PRECIO JUEGO]])</f>
        <v>#VALUE!</v>
      </c>
      <c r="J2004" t="e">
        <f>(salidas26[[#This Row],[CANT BARRAS]]*salidas26[[#This Row],[PRECIO BARRA]])</f>
        <v>#VALUE!</v>
      </c>
    </row>
    <row r="2005" spans="3:10">
      <c r="C200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5" s="32"/>
      <c r="E200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5" t="e">
        <f>(salidas26[[#This Row],[CANT JUEGOS ]]*salidas26[[#This Row],[PRECIO JUEGO]])</f>
        <v>#VALUE!</v>
      </c>
      <c r="J2005" t="e">
        <f>(salidas26[[#This Row],[CANT BARRAS]]*salidas26[[#This Row],[PRECIO BARRA]])</f>
        <v>#VALUE!</v>
      </c>
    </row>
    <row r="2006" spans="3:10">
      <c r="C200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6" s="32"/>
      <c r="E200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6" t="e">
        <f>(salidas26[[#This Row],[CANT JUEGOS ]]*salidas26[[#This Row],[PRECIO JUEGO]])</f>
        <v>#VALUE!</v>
      </c>
      <c r="J2006" t="e">
        <f>(salidas26[[#This Row],[CANT BARRAS]]*salidas26[[#This Row],[PRECIO BARRA]])</f>
        <v>#VALUE!</v>
      </c>
    </row>
    <row r="2007" spans="3:10">
      <c r="C200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7" s="32"/>
      <c r="E200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7" t="e">
        <f>(salidas26[[#This Row],[CANT JUEGOS ]]*salidas26[[#This Row],[PRECIO JUEGO]])</f>
        <v>#VALUE!</v>
      </c>
      <c r="J2007" t="e">
        <f>(salidas26[[#This Row],[CANT BARRAS]]*salidas26[[#This Row],[PRECIO BARRA]])</f>
        <v>#VALUE!</v>
      </c>
    </row>
    <row r="2008" spans="3:10">
      <c r="C200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8" s="32"/>
      <c r="E200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8" t="e">
        <f>(salidas26[[#This Row],[CANT JUEGOS ]]*salidas26[[#This Row],[PRECIO JUEGO]])</f>
        <v>#VALUE!</v>
      </c>
      <c r="J2008" t="e">
        <f>(salidas26[[#This Row],[CANT BARRAS]]*salidas26[[#This Row],[PRECIO BARRA]])</f>
        <v>#VALUE!</v>
      </c>
    </row>
    <row r="2009" spans="3:10">
      <c r="C200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09" s="32"/>
      <c r="E200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0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09" t="e">
        <f>(salidas26[[#This Row],[CANT JUEGOS ]]*salidas26[[#This Row],[PRECIO JUEGO]])</f>
        <v>#VALUE!</v>
      </c>
      <c r="J2009" t="e">
        <f>(salidas26[[#This Row],[CANT BARRAS]]*salidas26[[#This Row],[PRECIO BARRA]])</f>
        <v>#VALUE!</v>
      </c>
    </row>
    <row r="2010" spans="3:10">
      <c r="C201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0" s="32"/>
      <c r="E201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0" t="e">
        <f>(salidas26[[#This Row],[CANT JUEGOS ]]*salidas26[[#This Row],[PRECIO JUEGO]])</f>
        <v>#VALUE!</v>
      </c>
      <c r="J2010" t="e">
        <f>(salidas26[[#This Row],[CANT BARRAS]]*salidas26[[#This Row],[PRECIO BARRA]])</f>
        <v>#VALUE!</v>
      </c>
    </row>
    <row r="2011" spans="3:10">
      <c r="C201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1" s="32"/>
      <c r="E201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1" t="e">
        <f>(salidas26[[#This Row],[CANT JUEGOS ]]*salidas26[[#This Row],[PRECIO JUEGO]])</f>
        <v>#VALUE!</v>
      </c>
      <c r="J2011" t="e">
        <f>(salidas26[[#This Row],[CANT BARRAS]]*salidas26[[#This Row],[PRECIO BARRA]])</f>
        <v>#VALUE!</v>
      </c>
    </row>
    <row r="2012" spans="3:10">
      <c r="C201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2" s="32"/>
      <c r="E201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2" t="e">
        <f>(salidas26[[#This Row],[CANT JUEGOS ]]*salidas26[[#This Row],[PRECIO JUEGO]])</f>
        <v>#VALUE!</v>
      </c>
      <c r="J2012" t="e">
        <f>(salidas26[[#This Row],[CANT BARRAS]]*salidas26[[#This Row],[PRECIO BARRA]])</f>
        <v>#VALUE!</v>
      </c>
    </row>
    <row r="2013" spans="3:10">
      <c r="C201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3" s="32"/>
      <c r="E201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3" t="e">
        <f>(salidas26[[#This Row],[CANT JUEGOS ]]*salidas26[[#This Row],[PRECIO JUEGO]])</f>
        <v>#VALUE!</v>
      </c>
      <c r="J2013" t="e">
        <f>(salidas26[[#This Row],[CANT BARRAS]]*salidas26[[#This Row],[PRECIO BARRA]])</f>
        <v>#VALUE!</v>
      </c>
    </row>
    <row r="2014" spans="3:10">
      <c r="C201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4" s="32"/>
      <c r="E201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4" t="e">
        <f>(salidas26[[#This Row],[CANT JUEGOS ]]*salidas26[[#This Row],[PRECIO JUEGO]])</f>
        <v>#VALUE!</v>
      </c>
      <c r="J2014" t="e">
        <f>(salidas26[[#This Row],[CANT BARRAS]]*salidas26[[#This Row],[PRECIO BARRA]])</f>
        <v>#VALUE!</v>
      </c>
    </row>
    <row r="2015" spans="3:10">
      <c r="C201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5" s="32"/>
      <c r="E201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5" t="e">
        <f>(salidas26[[#This Row],[CANT JUEGOS ]]*salidas26[[#This Row],[PRECIO JUEGO]])</f>
        <v>#VALUE!</v>
      </c>
      <c r="J2015" t="e">
        <f>(salidas26[[#This Row],[CANT BARRAS]]*salidas26[[#This Row],[PRECIO BARRA]])</f>
        <v>#VALUE!</v>
      </c>
    </row>
    <row r="2016" spans="3:10">
      <c r="C201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6" s="32"/>
      <c r="E201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6" t="e">
        <f>(salidas26[[#This Row],[CANT JUEGOS ]]*salidas26[[#This Row],[PRECIO JUEGO]])</f>
        <v>#VALUE!</v>
      </c>
      <c r="J2016" t="e">
        <f>(salidas26[[#This Row],[CANT BARRAS]]*salidas26[[#This Row],[PRECIO BARRA]])</f>
        <v>#VALUE!</v>
      </c>
    </row>
    <row r="2017" spans="3:10">
      <c r="C201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7" s="32"/>
      <c r="E201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7" t="e">
        <f>(salidas26[[#This Row],[CANT JUEGOS ]]*salidas26[[#This Row],[PRECIO JUEGO]])</f>
        <v>#VALUE!</v>
      </c>
      <c r="J2017" t="e">
        <f>(salidas26[[#This Row],[CANT BARRAS]]*salidas26[[#This Row],[PRECIO BARRA]])</f>
        <v>#VALUE!</v>
      </c>
    </row>
    <row r="2018" spans="3:10">
      <c r="C201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8" s="32"/>
      <c r="E201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8" t="e">
        <f>(salidas26[[#This Row],[CANT JUEGOS ]]*salidas26[[#This Row],[PRECIO JUEGO]])</f>
        <v>#VALUE!</v>
      </c>
      <c r="J2018" t="e">
        <f>(salidas26[[#This Row],[CANT BARRAS]]*salidas26[[#This Row],[PRECIO BARRA]])</f>
        <v>#VALUE!</v>
      </c>
    </row>
    <row r="2019" spans="3:10">
      <c r="C201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19" s="32"/>
      <c r="E201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1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19" t="e">
        <f>(salidas26[[#This Row],[CANT JUEGOS ]]*salidas26[[#This Row],[PRECIO JUEGO]])</f>
        <v>#VALUE!</v>
      </c>
      <c r="J2019" t="e">
        <f>(salidas26[[#This Row],[CANT BARRAS]]*salidas26[[#This Row],[PRECIO BARRA]])</f>
        <v>#VALUE!</v>
      </c>
    </row>
    <row r="2020" spans="3:10">
      <c r="C202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0" s="32"/>
      <c r="E202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0" t="e">
        <f>(salidas26[[#This Row],[CANT JUEGOS ]]*salidas26[[#This Row],[PRECIO JUEGO]])</f>
        <v>#VALUE!</v>
      </c>
      <c r="J2020" t="e">
        <f>(salidas26[[#This Row],[CANT BARRAS]]*salidas26[[#This Row],[PRECIO BARRA]])</f>
        <v>#VALUE!</v>
      </c>
    </row>
    <row r="2021" spans="3:10">
      <c r="C202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1" s="32"/>
      <c r="E202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1" t="e">
        <f>(salidas26[[#This Row],[CANT JUEGOS ]]*salidas26[[#This Row],[PRECIO JUEGO]])</f>
        <v>#VALUE!</v>
      </c>
      <c r="J2021" t="e">
        <f>(salidas26[[#This Row],[CANT BARRAS]]*salidas26[[#This Row],[PRECIO BARRA]])</f>
        <v>#VALUE!</v>
      </c>
    </row>
    <row r="2022" spans="3:10">
      <c r="C202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2" s="32"/>
      <c r="E202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2" t="e">
        <f>(salidas26[[#This Row],[CANT JUEGOS ]]*salidas26[[#This Row],[PRECIO JUEGO]])</f>
        <v>#VALUE!</v>
      </c>
      <c r="J2022" t="e">
        <f>(salidas26[[#This Row],[CANT BARRAS]]*salidas26[[#This Row],[PRECIO BARRA]])</f>
        <v>#VALUE!</v>
      </c>
    </row>
    <row r="2023" spans="3:10">
      <c r="C202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3" s="32"/>
      <c r="E202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3" t="e">
        <f>(salidas26[[#This Row],[CANT JUEGOS ]]*salidas26[[#This Row],[PRECIO JUEGO]])</f>
        <v>#VALUE!</v>
      </c>
      <c r="J2023" t="e">
        <f>(salidas26[[#This Row],[CANT BARRAS]]*salidas26[[#This Row],[PRECIO BARRA]])</f>
        <v>#VALUE!</v>
      </c>
    </row>
    <row r="2024" spans="3:10">
      <c r="C202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4" s="32"/>
      <c r="E202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4" t="e">
        <f>(salidas26[[#This Row],[CANT JUEGOS ]]*salidas26[[#This Row],[PRECIO JUEGO]])</f>
        <v>#VALUE!</v>
      </c>
      <c r="J2024" t="e">
        <f>(salidas26[[#This Row],[CANT BARRAS]]*salidas26[[#This Row],[PRECIO BARRA]])</f>
        <v>#VALUE!</v>
      </c>
    </row>
    <row r="2025" spans="3:10">
      <c r="C202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5" s="32"/>
      <c r="E202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5" t="e">
        <f>(salidas26[[#This Row],[CANT JUEGOS ]]*salidas26[[#This Row],[PRECIO JUEGO]])</f>
        <v>#VALUE!</v>
      </c>
      <c r="J2025" t="e">
        <f>(salidas26[[#This Row],[CANT BARRAS]]*salidas26[[#This Row],[PRECIO BARRA]])</f>
        <v>#VALUE!</v>
      </c>
    </row>
    <row r="2026" spans="3:10">
      <c r="C202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6" s="32"/>
      <c r="E202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6" t="e">
        <f>(salidas26[[#This Row],[CANT JUEGOS ]]*salidas26[[#This Row],[PRECIO JUEGO]])</f>
        <v>#VALUE!</v>
      </c>
      <c r="J2026" t="e">
        <f>(salidas26[[#This Row],[CANT BARRAS]]*salidas26[[#This Row],[PRECIO BARRA]])</f>
        <v>#VALUE!</v>
      </c>
    </row>
    <row r="2027" spans="3:10">
      <c r="C202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7" s="32"/>
      <c r="E202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7" t="e">
        <f>(salidas26[[#This Row],[CANT JUEGOS ]]*salidas26[[#This Row],[PRECIO JUEGO]])</f>
        <v>#VALUE!</v>
      </c>
      <c r="J2027" t="e">
        <f>(salidas26[[#This Row],[CANT BARRAS]]*salidas26[[#This Row],[PRECIO BARRA]])</f>
        <v>#VALUE!</v>
      </c>
    </row>
    <row r="2028" spans="3:10">
      <c r="C202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8" s="32"/>
      <c r="E202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8" t="e">
        <f>(salidas26[[#This Row],[CANT JUEGOS ]]*salidas26[[#This Row],[PRECIO JUEGO]])</f>
        <v>#VALUE!</v>
      </c>
      <c r="J2028" t="e">
        <f>(salidas26[[#This Row],[CANT BARRAS]]*salidas26[[#This Row],[PRECIO BARRA]])</f>
        <v>#VALUE!</v>
      </c>
    </row>
    <row r="2029" spans="3:10">
      <c r="C202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29" s="32"/>
      <c r="E202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2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29" t="e">
        <f>(salidas26[[#This Row],[CANT JUEGOS ]]*salidas26[[#This Row],[PRECIO JUEGO]])</f>
        <v>#VALUE!</v>
      </c>
      <c r="J2029" t="e">
        <f>(salidas26[[#This Row],[CANT BARRAS]]*salidas26[[#This Row],[PRECIO BARRA]])</f>
        <v>#VALUE!</v>
      </c>
    </row>
    <row r="2030" spans="3:10">
      <c r="C203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0" s="32"/>
      <c r="E203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0" t="e">
        <f>(salidas26[[#This Row],[CANT JUEGOS ]]*salidas26[[#This Row],[PRECIO JUEGO]])</f>
        <v>#VALUE!</v>
      </c>
      <c r="J2030" t="e">
        <f>(salidas26[[#This Row],[CANT BARRAS]]*salidas26[[#This Row],[PRECIO BARRA]])</f>
        <v>#VALUE!</v>
      </c>
    </row>
    <row r="2031" spans="3:10">
      <c r="C203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1" s="32"/>
      <c r="E203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1" t="e">
        <f>(salidas26[[#This Row],[CANT JUEGOS ]]*salidas26[[#This Row],[PRECIO JUEGO]])</f>
        <v>#VALUE!</v>
      </c>
      <c r="J2031" t="e">
        <f>(salidas26[[#This Row],[CANT BARRAS]]*salidas26[[#This Row],[PRECIO BARRA]])</f>
        <v>#VALUE!</v>
      </c>
    </row>
    <row r="2032" spans="3:10">
      <c r="C203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2" s="32"/>
      <c r="E203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2" t="e">
        <f>(salidas26[[#This Row],[CANT JUEGOS ]]*salidas26[[#This Row],[PRECIO JUEGO]])</f>
        <v>#VALUE!</v>
      </c>
      <c r="J2032" t="e">
        <f>(salidas26[[#This Row],[CANT BARRAS]]*salidas26[[#This Row],[PRECIO BARRA]])</f>
        <v>#VALUE!</v>
      </c>
    </row>
    <row r="2033" spans="3:10">
      <c r="C203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3" s="32"/>
      <c r="E203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3" t="e">
        <f>(salidas26[[#This Row],[CANT JUEGOS ]]*salidas26[[#This Row],[PRECIO JUEGO]])</f>
        <v>#VALUE!</v>
      </c>
      <c r="J2033" t="e">
        <f>(salidas26[[#This Row],[CANT BARRAS]]*salidas26[[#This Row],[PRECIO BARRA]])</f>
        <v>#VALUE!</v>
      </c>
    </row>
    <row r="2034" spans="3:10">
      <c r="C203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4" s="32"/>
      <c r="E203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4" t="e">
        <f>(salidas26[[#This Row],[CANT JUEGOS ]]*salidas26[[#This Row],[PRECIO JUEGO]])</f>
        <v>#VALUE!</v>
      </c>
      <c r="J2034" t="e">
        <f>(salidas26[[#This Row],[CANT BARRAS]]*salidas26[[#This Row],[PRECIO BARRA]])</f>
        <v>#VALUE!</v>
      </c>
    </row>
    <row r="2035" spans="3:10">
      <c r="C203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5" s="32"/>
      <c r="E203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5" t="e">
        <f>(salidas26[[#This Row],[CANT JUEGOS ]]*salidas26[[#This Row],[PRECIO JUEGO]])</f>
        <v>#VALUE!</v>
      </c>
      <c r="J2035" t="e">
        <f>(salidas26[[#This Row],[CANT BARRAS]]*salidas26[[#This Row],[PRECIO BARRA]])</f>
        <v>#VALUE!</v>
      </c>
    </row>
    <row r="2036" spans="3:10">
      <c r="C203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6" s="32"/>
      <c r="E203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6" t="e">
        <f>(salidas26[[#This Row],[CANT JUEGOS ]]*salidas26[[#This Row],[PRECIO JUEGO]])</f>
        <v>#VALUE!</v>
      </c>
      <c r="J2036" t="e">
        <f>(salidas26[[#This Row],[CANT BARRAS]]*salidas26[[#This Row],[PRECIO BARRA]])</f>
        <v>#VALUE!</v>
      </c>
    </row>
    <row r="2037" spans="3:10">
      <c r="C203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7" s="32"/>
      <c r="E203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7" t="e">
        <f>(salidas26[[#This Row],[CANT JUEGOS ]]*salidas26[[#This Row],[PRECIO JUEGO]])</f>
        <v>#VALUE!</v>
      </c>
      <c r="J2037" t="e">
        <f>(salidas26[[#This Row],[CANT BARRAS]]*salidas26[[#This Row],[PRECIO BARRA]])</f>
        <v>#VALUE!</v>
      </c>
    </row>
    <row r="2038" spans="3:10">
      <c r="C203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8" s="32"/>
      <c r="E203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8" t="e">
        <f>(salidas26[[#This Row],[CANT JUEGOS ]]*salidas26[[#This Row],[PRECIO JUEGO]])</f>
        <v>#VALUE!</v>
      </c>
      <c r="J2038" t="e">
        <f>(salidas26[[#This Row],[CANT BARRAS]]*salidas26[[#This Row],[PRECIO BARRA]])</f>
        <v>#VALUE!</v>
      </c>
    </row>
    <row r="2039" spans="3:10">
      <c r="C203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39" s="32"/>
      <c r="E203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3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39" t="e">
        <f>(salidas26[[#This Row],[CANT JUEGOS ]]*salidas26[[#This Row],[PRECIO JUEGO]])</f>
        <v>#VALUE!</v>
      </c>
      <c r="J2039" t="e">
        <f>(salidas26[[#This Row],[CANT BARRAS]]*salidas26[[#This Row],[PRECIO BARRA]])</f>
        <v>#VALUE!</v>
      </c>
    </row>
    <row r="2040" spans="3:10">
      <c r="C204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0" s="32"/>
      <c r="E204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0" t="e">
        <f>(salidas26[[#This Row],[CANT JUEGOS ]]*salidas26[[#This Row],[PRECIO JUEGO]])</f>
        <v>#VALUE!</v>
      </c>
      <c r="J2040" t="e">
        <f>(salidas26[[#This Row],[CANT BARRAS]]*salidas26[[#This Row],[PRECIO BARRA]])</f>
        <v>#VALUE!</v>
      </c>
    </row>
    <row r="2041" spans="3:10">
      <c r="C2041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1" s="32"/>
      <c r="E2041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1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1" t="e">
        <f>(salidas26[[#This Row],[CANT JUEGOS ]]*salidas26[[#This Row],[PRECIO JUEGO]])</f>
        <v>#VALUE!</v>
      </c>
      <c r="J2041" t="e">
        <f>(salidas26[[#This Row],[CANT BARRAS]]*salidas26[[#This Row],[PRECIO BARRA]])</f>
        <v>#VALUE!</v>
      </c>
    </row>
    <row r="2042" spans="3:10">
      <c r="C2042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2" s="32"/>
      <c r="E2042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2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2" t="e">
        <f>(salidas26[[#This Row],[CANT JUEGOS ]]*salidas26[[#This Row],[PRECIO JUEGO]])</f>
        <v>#VALUE!</v>
      </c>
      <c r="J2042" t="e">
        <f>(salidas26[[#This Row],[CANT BARRAS]]*salidas26[[#This Row],[PRECIO BARRA]])</f>
        <v>#VALUE!</v>
      </c>
    </row>
    <row r="2043" spans="3:10">
      <c r="C2043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3" s="32"/>
      <c r="E2043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3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3" t="e">
        <f>(salidas26[[#This Row],[CANT JUEGOS ]]*salidas26[[#This Row],[PRECIO JUEGO]])</f>
        <v>#VALUE!</v>
      </c>
      <c r="J2043" t="e">
        <f>(salidas26[[#This Row],[CANT BARRAS]]*salidas26[[#This Row],[PRECIO BARRA]])</f>
        <v>#VALUE!</v>
      </c>
    </row>
    <row r="2044" spans="3:10">
      <c r="C2044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4" s="32"/>
      <c r="E2044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4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4" t="e">
        <f>(salidas26[[#This Row],[CANT JUEGOS ]]*salidas26[[#This Row],[PRECIO JUEGO]])</f>
        <v>#VALUE!</v>
      </c>
      <c r="J2044" t="e">
        <f>(salidas26[[#This Row],[CANT BARRAS]]*salidas26[[#This Row],[PRECIO BARRA]])</f>
        <v>#VALUE!</v>
      </c>
    </row>
    <row r="2045" spans="3:10">
      <c r="C2045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5" s="32"/>
      <c r="E2045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5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5" t="e">
        <f>(salidas26[[#This Row],[CANT JUEGOS ]]*salidas26[[#This Row],[PRECIO JUEGO]])</f>
        <v>#VALUE!</v>
      </c>
      <c r="J2045" t="e">
        <f>(salidas26[[#This Row],[CANT BARRAS]]*salidas26[[#This Row],[PRECIO BARRA]])</f>
        <v>#VALUE!</v>
      </c>
    </row>
    <row r="2046" spans="3:10">
      <c r="C2046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6" s="32"/>
      <c r="E2046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6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6" t="e">
        <f>(salidas26[[#This Row],[CANT JUEGOS ]]*salidas26[[#This Row],[PRECIO JUEGO]])</f>
        <v>#VALUE!</v>
      </c>
      <c r="J2046" t="e">
        <f>(salidas26[[#This Row],[CANT BARRAS]]*salidas26[[#This Row],[PRECIO BARRA]])</f>
        <v>#VALUE!</v>
      </c>
    </row>
    <row r="2047" spans="3:10">
      <c r="C2047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D2047" s="32"/>
      <c r="E2047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7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7" t="e">
        <f>(salidas26[[#This Row],[CANT JUEGOS ]]*salidas26[[#This Row],[PRECIO JUEGO]])</f>
        <v>#VALUE!</v>
      </c>
      <c r="J2047" t="e">
        <f>(salidas26[[#This Row],[CANT BARRAS]]*salidas26[[#This Row],[PRECIO BARRA]])</f>
        <v>#VALUE!</v>
      </c>
    </row>
    <row r="2048" spans="3:10">
      <c r="C2048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E2048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8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8" t="e">
        <f>(salidas26[[#This Row],[CANT JUEGOS ]]*salidas26[[#This Row],[PRECIO JUEGO]])</f>
        <v>#VALUE!</v>
      </c>
      <c r="J2048" t="e">
        <f>(salidas26[[#This Row],[CANT BARRAS]]*salidas26[[#This Row],[PRECIO BARRA]])</f>
        <v>#VALUE!</v>
      </c>
    </row>
    <row r="2049" spans="1:10">
      <c r="C2049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E2049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49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49" t="e">
        <f>(salidas26[[#This Row],[CANT JUEGOS ]]*salidas26[[#This Row],[PRECIO JUEGO]])</f>
        <v>#VALUE!</v>
      </c>
      <c r="J2049" t="e">
        <f>(salidas26[[#This Row],[CANT BARRAS]]*salidas26[[#This Row],[PRECIO BARRA]])</f>
        <v>#VALUE!</v>
      </c>
    </row>
    <row r="2050" spans="1:10">
      <c r="C2050" s="26" t="str">
        <f>IFERROR(VLOOKUP(salidas26[[#This Row],[CODIGO ]],LG26V[],2,(FALSE)),IFERROR(VLOOKUP(salidas26[[#This Row],[CODIGO ]],samgung26[],2,(FALSE)),IFERROR(VLOOKUP(salidas26[[#This Row],[CODIGO ]],sony26[],2,(FALSE)),IFERROR(VLOOKUP(salidas26[[#This Row],[CODIGO ]],haier26[],2,(FALSE)),IFERROR(VLOOKUP(salidas26[[#This Row],[CODIGO ]],daewoo26[],2,(FALSE)),IFERROR(VLOOKUP(salidas26[[#This Row],[CODIGO ]],toshiba26[],2,(FALSE)),IFERROR(VLOOKUP(salidas26[[#This Row],[CODIGO ]],aocyjvc26[],2,(FALSE)),IFERROR(VLOOKUP(salidas26[[#This Row],[CODIGO ]],chino26[],2,(FALSE)),IFERROR(VLOOKUP(salidas26[[#This Row],[CODIGO ]],philips26[],2,(FALSE)),IFERROR(VLOOKUP(salidas26[[#This Row],[CODIGO ]],premier26[],2,(FALSE)),IFERROR(VLOOKUP(salidas26[[#This Row],[CODIGO ]],MASTERG26[],2,(FALSE)),IFERROR(VLOOKUP(salidas26[[#This Row],[CODIGO ]],SKYW26[],2,(FALSE)),IFERROR(VLOOKUP(salidas26[[#This Row],[CODIGO ]],HISENSE26[],2,(FALSE)),("No existe"))))))))))))))</f>
        <v>No existe</v>
      </c>
      <c r="E2050" s="26" t="str">
        <f>IFERROR(VLOOKUP(salidas26[[#This Row],[CODIGO ]],LG26V[],5,(FALSE)),IFERROR(VLOOKUP(salidas26[[#This Row],[CODIGO ]],samgung26[],5,(FALSE)),IFERROR(VLOOKUP(salidas26[[#This Row],[CODIGO ]],sony26[],5,(FALSE)),IFERROR(VLOOKUP(salidas26[[#This Row],[CODIGO ]],haier26[],5,(FALSE)),IFERROR(VLOOKUP(salidas26[[#This Row],[CODIGO ]],daewoo26[],5,(FALSE)),IFERROR(VLOOKUP(salidas26[[#This Row],[CODIGO ]],toshiba26[],5,(FALSE)),IFERROR(VLOOKUP(salidas26[[#This Row],[CODIGO ]],aocyjvc26[],5,(FALSE)),IFERROR(VLOOKUP(salidas26[[#This Row],[CODIGO ]],chino26[],5,(FALSE)),IFERROR(VLOOKUP(salidas26[[#This Row],[CODIGO ]],philips26[],5,(FALSE)),IFERROR(VLOOKUP(salidas26[[#This Row],[CODIGO ]],premier26[],5,(FALSE)),IFERROR(VLOOKUP(salidas26[[#This Row],[CODIGO ]],MASTERG26[],5,(FALSE)),IFERROR(VLOOKUP(salidas26[[#This Row],[CODIGO ]],SKYW26[],5,(FALSE)),IFERROR(VLOOKUP(salidas26[[#This Row],[CODIGO ]],HISENSE26[],5,(FALSE)),("No existe"))))))))))))))</f>
        <v>No existe</v>
      </c>
      <c r="F2050" s="26" t="str">
        <f>IFERROR(VLOOKUP(salidas26[[#This Row],[CODIGO ]],LG26V[],8,(FALSE)),IFERROR(VLOOKUP(salidas26[[#This Row],[CODIGO ]],samgung26[],8,(FALSE)),IFERROR(VLOOKUP(salidas26[[#This Row],[CODIGO ]],sony26[],8,(FALSE)),IFERROR(VLOOKUP(salidas26[[#This Row],[CODIGO ]],haier26[],8,(FALSE)),IFERROR(VLOOKUP(salidas26[[#This Row],[CODIGO ]],daewoo26[],8,(FALSE)),IFERROR(VLOOKUP(salidas26[[#This Row],[CODIGO ]],toshiba26[],8,(FALSE)),IFERROR(VLOOKUP(salidas26[[#This Row],[CODIGO ]],aocyjvc26[],8,(FALSE)),IFERROR(VLOOKUP(salidas26[[#This Row],[CODIGO ]],chino26[],8,(FALSE)),IFERROR(VLOOKUP(salidas26[[#This Row],[CODIGO ]],philips26[],8,(FALSE)),IFERROR(VLOOKUP(salidas26[[#This Row],[CODIGO ]],premier26[],8,(FALSE)),IFERROR(VLOOKUP(salidas26[[#This Row],[CODIGO ]],MASTERG26[],8,(FALSE)),IFERROR(VLOOKUP(salidas26[[#This Row],[CODIGO ]],SKYW26[],8,(FALSE)),IFERROR(VLOOKUP(salidas26[[#This Row],[CODIGO ]],HISENSE26[],8,(FALSE)),("No existe"))))))))))))))</f>
        <v>No existe</v>
      </c>
      <c r="I2050" t="e">
        <f>(salidas26[[#This Row],[CANT JUEGOS ]]*salidas26[[#This Row],[PRECIO JUEGO]])</f>
        <v>#VALUE!</v>
      </c>
      <c r="J2050" t="e">
        <f>(salidas26[[#This Row],[CANT BARRAS]]*salidas26[[#This Row],[PRECIO BARRA]])</f>
        <v>#VALUE!</v>
      </c>
    </row>
    <row r="2051" spans="1:10">
      <c r="A2051" t="s">
        <v>732</v>
      </c>
    </row>
  </sheetData>
  <mergeCells count="1">
    <mergeCell ref="A2:M5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0"/>
  <sheetViews>
    <sheetView topLeftCell="A184" workbookViewId="0">
      <selection activeCell="H188" sqref="H188:H189"/>
    </sheetView>
  </sheetViews>
  <sheetFormatPr baseColWidth="10" defaultColWidth="11.42578125" defaultRowHeight="15"/>
  <cols>
    <col min="1" max="1" width="10.42578125" customWidth="1"/>
    <col min="2" max="2" width="33" customWidth="1"/>
    <col min="3" max="3" width="11"/>
    <col min="4" max="4" width="14.85546875" customWidth="1"/>
    <col min="5" max="5" width="14.42578125" customWidth="1"/>
    <col min="6" max="6" width="11"/>
    <col min="7" max="7" width="18.85546875" customWidth="1"/>
    <col min="8" max="8" width="29.85546875" customWidth="1"/>
  </cols>
  <sheetData>
    <row r="2" spans="1:9">
      <c r="A2" s="247" t="s">
        <v>602</v>
      </c>
      <c r="B2" s="248"/>
      <c r="C2" s="248"/>
      <c r="D2" s="248"/>
      <c r="E2" s="248"/>
      <c r="F2" s="248"/>
      <c r="G2" s="248"/>
      <c r="H2" s="248"/>
    </row>
    <row r="3" spans="1:9">
      <c r="A3" s="248"/>
      <c r="B3" s="248"/>
      <c r="C3" s="248"/>
      <c r="D3" s="248"/>
      <c r="E3" s="248"/>
      <c r="F3" s="248"/>
      <c r="G3" s="248"/>
      <c r="H3" s="248"/>
    </row>
    <row r="4" spans="1:9">
      <c r="A4" s="248"/>
      <c r="B4" s="248"/>
      <c r="C4" s="248"/>
      <c r="D4" s="248"/>
      <c r="E4" s="248"/>
      <c r="F4" s="248"/>
      <c r="G4" s="248"/>
      <c r="H4" s="248"/>
    </row>
    <row r="5" spans="1:9">
      <c r="A5" s="248"/>
      <c r="B5" s="248"/>
      <c r="C5" s="248"/>
      <c r="D5" s="248"/>
      <c r="E5" s="248"/>
      <c r="F5" s="248"/>
      <c r="G5" s="248"/>
      <c r="H5" s="248"/>
    </row>
    <row r="6" spans="1:9">
      <c r="A6" s="1" t="s">
        <v>603</v>
      </c>
      <c r="B6" s="1" t="s">
        <v>454</v>
      </c>
      <c r="C6" s="1" t="s">
        <v>604</v>
      </c>
      <c r="D6" s="3" t="s">
        <v>605</v>
      </c>
      <c r="E6" s="3" t="s">
        <v>606</v>
      </c>
      <c r="F6" s="1" t="s">
        <v>607</v>
      </c>
      <c r="G6" s="1" t="s">
        <v>608</v>
      </c>
      <c r="H6" s="1" t="s">
        <v>464</v>
      </c>
      <c r="I6" s="1" t="s">
        <v>609</v>
      </c>
    </row>
    <row r="7" spans="1:9">
      <c r="A7">
        <v>2003</v>
      </c>
      <c r="B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UN32F5000-SAMSUNG 5B</v>
      </c>
      <c r="C7" s="32">
        <v>46030</v>
      </c>
      <c r="E7">
        <v>5</v>
      </c>
      <c r="G7" t="e">
        <f>(entradas26[[#This Row],[PRECIO]]/entradas26[[#This Row],[CAN JUEGOS ]])</f>
        <v>#DIV/0!</v>
      </c>
      <c r="H7" t="s">
        <v>610</v>
      </c>
    </row>
    <row r="8" spans="1:9">
      <c r="A8">
        <v>5018</v>
      </c>
      <c r="B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KDL-40R475 SONY/10B</v>
      </c>
      <c r="C8" s="32">
        <v>46030</v>
      </c>
      <c r="E8">
        <v>10</v>
      </c>
      <c r="G8" t="e">
        <f>(entradas26[[#This Row],[PRECIO]]/entradas26[[#This Row],[CAN JUEGOS ]])</f>
        <v>#DIV/0!</v>
      </c>
      <c r="H8" t="s">
        <v>610</v>
      </c>
    </row>
    <row r="9" spans="1:9">
      <c r="A9">
        <v>5006</v>
      </c>
      <c r="B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KDL-32R304B/3B</v>
      </c>
      <c r="C9" s="32">
        <v>46037</v>
      </c>
      <c r="E9">
        <v>3</v>
      </c>
      <c r="G9" t="e">
        <f>(entradas26[[#This Row],[PRECIO]]/entradas26[[#This Row],[CAN JUEGOS ]])</f>
        <v>#DIV/0!</v>
      </c>
      <c r="H9" t="s">
        <v>610</v>
      </c>
    </row>
    <row r="10" spans="1:9">
      <c r="A10">
        <v>2003</v>
      </c>
      <c r="B1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UN32F5000-SAMSUNG 5B</v>
      </c>
      <c r="C10" s="32">
        <v>46038</v>
      </c>
      <c r="E10">
        <v>5</v>
      </c>
      <c r="G10" t="e">
        <f>(entradas26[[#This Row],[PRECIO]]/entradas26[[#This Row],[CAN JUEGOS ]])</f>
        <v>#DIV/0!</v>
      </c>
      <c r="H10" t="s">
        <v>610</v>
      </c>
    </row>
    <row r="11" spans="1:9">
      <c r="A11">
        <v>4010</v>
      </c>
      <c r="B1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DAEWO S780 3B/8LED/3V</v>
      </c>
      <c r="C11" s="32">
        <v>46038</v>
      </c>
      <c r="E11">
        <v>3</v>
      </c>
      <c r="G11" t="e">
        <f>(entradas26[[#This Row],[PRECIO]]/entradas26[[#This Row],[CAN JUEGOS ]])</f>
        <v>#DIV/0!</v>
      </c>
      <c r="H11" t="s">
        <v>610</v>
      </c>
    </row>
    <row r="12" spans="1:9">
      <c r="A12">
        <v>8003</v>
      </c>
      <c r="B1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24 PULG</v>
      </c>
      <c r="C12" s="32">
        <v>46039</v>
      </c>
      <c r="E12">
        <v>2</v>
      </c>
      <c r="G12" t="e">
        <f>(entradas26[[#This Row],[PRECIO]]/entradas26[[#This Row],[CAN JUEGOS ]])</f>
        <v>#DIV/0!</v>
      </c>
      <c r="H12" t="s">
        <v>610</v>
      </c>
    </row>
    <row r="13" spans="1:9">
      <c r="A13">
        <v>9001</v>
      </c>
      <c r="B1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75 JVC /12B-75KB618</v>
      </c>
      <c r="C13" s="32">
        <v>46043</v>
      </c>
      <c r="E13">
        <v>12</v>
      </c>
      <c r="G13" t="e">
        <f>(entradas26[[#This Row],[PRECIO]]/entradas26[[#This Row],[CAN JUEGOS ]])</f>
        <v>#DIV/0!</v>
      </c>
      <c r="H13" t="s">
        <v>610</v>
      </c>
    </row>
    <row r="14" spans="1:9">
      <c r="A14">
        <v>4011</v>
      </c>
      <c r="B1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DAEWO L43V780BTS 3B/7LED/3V</v>
      </c>
      <c r="C14" s="32">
        <v>46049</v>
      </c>
      <c r="E14">
        <v>3</v>
      </c>
      <c r="G14" t="e">
        <f>(entradas26[[#This Row],[PRECIO]]/entradas26[[#This Row],[CAN JUEGOS ]])</f>
        <v>#DIV/0!</v>
      </c>
      <c r="H14" t="s">
        <v>610</v>
      </c>
    </row>
    <row r="15" spans="1:9">
      <c r="A15">
        <v>2027</v>
      </c>
      <c r="B1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UN43J5290/8B</v>
      </c>
      <c r="C15" s="32">
        <v>46050</v>
      </c>
      <c r="E15">
        <v>8</v>
      </c>
      <c r="G15" t="e">
        <f>(entradas26[[#This Row],[PRECIO]]/entradas26[[#This Row],[CAN JUEGOS ]])</f>
        <v>#DIV/0!</v>
      </c>
      <c r="H15" t="s">
        <v>610</v>
      </c>
    </row>
    <row r="16" spans="1:9">
      <c r="A16" s="18">
        <v>9002</v>
      </c>
      <c r="B1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75 JVC  KB527 14B/7L</v>
      </c>
      <c r="C16" s="32">
        <v>46051</v>
      </c>
      <c r="D16">
        <v>10</v>
      </c>
      <c r="F16">
        <v>2370</v>
      </c>
      <c r="G16">
        <f>(entradas26[[#This Row],[PRECIO]]/entradas26[[#This Row],[CAN JUEGOS ]])</f>
        <v>237</v>
      </c>
      <c r="H16" t="s">
        <v>611</v>
      </c>
      <c r="I16" t="s">
        <v>612</v>
      </c>
    </row>
    <row r="17" spans="1:9">
      <c r="A17" s="18">
        <v>8073</v>
      </c>
      <c r="B1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DISMAC 4B/9L TV-6747SF50SFW 50 (PREMIER)</v>
      </c>
      <c r="C17" s="32">
        <v>46051</v>
      </c>
      <c r="D17">
        <v>30</v>
      </c>
      <c r="F17">
        <v>2130</v>
      </c>
      <c r="G17">
        <f>(entradas26[[#This Row],[PRECIO]]/entradas26[[#This Row],[CAN JUEGOS ]])</f>
        <v>71</v>
      </c>
      <c r="H17" t="s">
        <v>611</v>
      </c>
      <c r="I17" t="s">
        <v>612</v>
      </c>
    </row>
    <row r="18" spans="1:9">
      <c r="A18" s="55">
        <v>8098</v>
      </c>
      <c r="B1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65 PREMIER 11B/6L </v>
      </c>
      <c r="C18" s="32">
        <v>46051</v>
      </c>
      <c r="D18">
        <v>20</v>
      </c>
      <c r="F18">
        <v>3420</v>
      </c>
      <c r="G18">
        <f>(entradas26[[#This Row],[PRECIO]]/entradas26[[#This Row],[CAN JUEGOS ]])</f>
        <v>171</v>
      </c>
      <c r="H18" t="s">
        <v>611</v>
      </c>
      <c r="I18" t="s">
        <v>612</v>
      </c>
    </row>
    <row r="19" spans="1:9">
      <c r="A19" s="18">
        <v>6025</v>
      </c>
      <c r="B1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M550KB TOSHIBA 5B/14L</v>
      </c>
      <c r="C19" s="32">
        <v>46051</v>
      </c>
      <c r="D19">
        <v>20</v>
      </c>
      <c r="F19">
        <v>2560</v>
      </c>
      <c r="G19">
        <f>(entradas26[[#This Row],[PRECIO]]/entradas26[[#This Row],[CAN JUEGOS ]])</f>
        <v>128</v>
      </c>
      <c r="H19" t="s">
        <v>611</v>
      </c>
      <c r="I19" t="s">
        <v>612</v>
      </c>
    </row>
    <row r="20" spans="1:9">
      <c r="A20" s="18">
        <v>5029</v>
      </c>
      <c r="B2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47 PANASONIC EDGE</v>
      </c>
      <c r="C20" s="32">
        <v>46051</v>
      </c>
      <c r="D20">
        <v>20</v>
      </c>
      <c r="F20">
        <v>2120</v>
      </c>
      <c r="G20">
        <f>(entradas26[[#This Row],[PRECIO]]/entradas26[[#This Row],[CAN JUEGOS ]])</f>
        <v>106</v>
      </c>
      <c r="H20" t="s">
        <v>611</v>
      </c>
      <c r="I20" t="s">
        <v>612</v>
      </c>
    </row>
    <row r="21" spans="1:9">
      <c r="A21" s="18">
        <v>4021</v>
      </c>
      <c r="B2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DAEWOO LS50U1   8B/4L/3v</v>
      </c>
      <c r="C21" s="32">
        <v>46051</v>
      </c>
      <c r="D21">
        <v>20</v>
      </c>
      <c r="F21">
        <v>1520</v>
      </c>
      <c r="G21">
        <f>(entradas26[[#This Row],[PRECIO]]/entradas26[[#This Row],[CAN JUEGOS ]])</f>
        <v>76</v>
      </c>
      <c r="H21" t="s">
        <v>611</v>
      </c>
      <c r="I21" t="s">
        <v>612</v>
      </c>
    </row>
    <row r="22" spans="1:9">
      <c r="A22">
        <v>4015</v>
      </c>
      <c r="B2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49-DAeWO/ 9B EL JUEGO 1 PIN</v>
      </c>
      <c r="C22" s="32">
        <v>46051</v>
      </c>
      <c r="D22">
        <v>8</v>
      </c>
      <c r="F22">
        <v>744</v>
      </c>
      <c r="G22">
        <f>(entradas26[[#This Row],[PRECIO]]/entradas26[[#This Row],[CAN JUEGOS ]])</f>
        <v>93</v>
      </c>
      <c r="H22" t="s">
        <v>611</v>
      </c>
      <c r="I22" t="s">
        <v>612</v>
      </c>
    </row>
    <row r="23" spans="1:9">
      <c r="A23">
        <v>4018</v>
      </c>
      <c r="B2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49 DAEWO DOBLE PIN </v>
      </c>
      <c r="C23" s="32">
        <v>46051</v>
      </c>
      <c r="D23">
        <v>11</v>
      </c>
      <c r="E23">
        <v>9</v>
      </c>
      <c r="F23">
        <v>1116</v>
      </c>
      <c r="G23" s="76">
        <f>(entradas26[[#This Row],[PRECIO]]/entradas26[[#This Row],[CAN JUEGOS ]])</f>
        <v>101.45454545454545</v>
      </c>
      <c r="H23" t="s">
        <v>611</v>
      </c>
      <c r="I23" t="s">
        <v>612</v>
      </c>
    </row>
    <row r="24" spans="1:9">
      <c r="A24">
        <v>8000</v>
      </c>
      <c r="B2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19 PULG</v>
      </c>
      <c r="C24" s="32">
        <v>46055</v>
      </c>
      <c r="E24">
        <v>2</v>
      </c>
      <c r="G24" t="e">
        <f>(entradas26[[#This Row],[PRECIO]]/entradas26[[#This Row],[CAN JUEGOS ]])</f>
        <v>#DIV/0!</v>
      </c>
      <c r="H24" t="s">
        <v>610</v>
      </c>
    </row>
    <row r="25" spans="1:9">
      <c r="A25">
        <v>1006</v>
      </c>
      <c r="B2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LA -3B/3V/8-8-8</v>
      </c>
      <c r="C25" s="32">
        <v>46055</v>
      </c>
      <c r="D25">
        <v>20</v>
      </c>
      <c r="F25">
        <v>760</v>
      </c>
      <c r="G25">
        <f>(entradas26[[#This Row],[PRECIO]]/entradas26[[#This Row],[CAN JUEGOS ]])</f>
        <v>38</v>
      </c>
      <c r="H25" t="s">
        <v>613</v>
      </c>
      <c r="I25" t="s">
        <v>614</v>
      </c>
    </row>
    <row r="26" spans="1:9">
      <c r="A26">
        <v>1075</v>
      </c>
      <c r="B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49LJ5500-49UJ6300/8B</v>
      </c>
      <c r="C26" s="32">
        <v>46055</v>
      </c>
      <c r="D26">
        <v>20</v>
      </c>
      <c r="F26">
        <v>1710</v>
      </c>
      <c r="G26">
        <f>(entradas26[[#This Row],[PRECIO]]/entradas26[[#This Row],[CAN JUEGOS ]])</f>
        <v>85.5</v>
      </c>
      <c r="H26" t="s">
        <v>613</v>
      </c>
      <c r="I26" t="s">
        <v>614</v>
      </c>
    </row>
    <row r="27" spans="1:9">
      <c r="A27">
        <v>1108</v>
      </c>
      <c r="B2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UK 6550 /3B</v>
      </c>
      <c r="C27" s="32">
        <v>46055</v>
      </c>
      <c r="D27">
        <v>20</v>
      </c>
      <c r="F27">
        <v>1786</v>
      </c>
      <c r="G27">
        <f>(entradas26[[#This Row],[PRECIO]]/entradas26[[#This Row],[CAN JUEGOS ]])</f>
        <v>89.3</v>
      </c>
      <c r="H27" t="s">
        <v>613</v>
      </c>
      <c r="I27" t="s">
        <v>614</v>
      </c>
    </row>
    <row r="28" spans="1:9">
      <c r="A28">
        <v>1117</v>
      </c>
      <c r="B2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55LB6500/10B/6V </v>
      </c>
      <c r="C28" s="32">
        <v>46055</v>
      </c>
      <c r="D28">
        <v>20</v>
      </c>
      <c r="F28">
        <v>3344</v>
      </c>
      <c r="G28">
        <f>(entradas26[[#This Row],[PRECIO]]/entradas26[[#This Row],[CAN JUEGOS ]])</f>
        <v>167.2</v>
      </c>
      <c r="H28" t="s">
        <v>613</v>
      </c>
      <c r="I28" t="s">
        <v>614</v>
      </c>
    </row>
    <row r="29" spans="1:9">
      <c r="A29">
        <v>2033</v>
      </c>
      <c r="B2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UN46F5000 - F6400 /16B</v>
      </c>
      <c r="C29" s="32">
        <v>46055</v>
      </c>
      <c r="D29">
        <v>20</v>
      </c>
      <c r="F29">
        <v>3990</v>
      </c>
      <c r="G29">
        <f>(entradas26[[#This Row],[PRECIO]]/entradas26[[#This Row],[CAN JUEGOS ]])</f>
        <v>199.5</v>
      </c>
      <c r="H29" t="s">
        <v>613</v>
      </c>
      <c r="I29" t="s">
        <v>614</v>
      </c>
    </row>
    <row r="30" spans="1:9">
      <c r="A30">
        <v>2039</v>
      </c>
      <c r="B3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UN48H4200/8B</v>
      </c>
      <c r="C30" s="32">
        <v>46055</v>
      </c>
      <c r="D30">
        <v>20</v>
      </c>
      <c r="F30">
        <v>2888</v>
      </c>
      <c r="G30">
        <f>(entradas26[[#This Row],[PRECIO]]/entradas26[[#This Row],[CAN JUEGOS ]])</f>
        <v>144.4</v>
      </c>
      <c r="H30" t="s">
        <v>613</v>
      </c>
      <c r="I30" t="s">
        <v>614</v>
      </c>
    </row>
    <row r="31" spans="1:9">
      <c r="A31">
        <v>3000</v>
      </c>
      <c r="B3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32B8000 3B/10LED/3V </v>
      </c>
      <c r="C31" s="32">
        <v>46055</v>
      </c>
      <c r="D31">
        <v>20</v>
      </c>
      <c r="F31">
        <v>912</v>
      </c>
      <c r="G31">
        <f>(entradas26[[#This Row],[PRECIO]]/entradas26[[#This Row],[CAN JUEGOS ]])</f>
        <v>45.6</v>
      </c>
      <c r="H31" t="s">
        <v>613</v>
      </c>
      <c r="I31" t="s">
        <v>614</v>
      </c>
    </row>
    <row r="32" spans="1:9">
      <c r="A32">
        <v>8055</v>
      </c>
      <c r="B3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PREMIER 8L/3V/3B 8047SF43SF</v>
      </c>
      <c r="C32" s="32">
        <v>46055</v>
      </c>
      <c r="D32">
        <v>20</v>
      </c>
      <c r="F32">
        <v>722</v>
      </c>
      <c r="G32">
        <f>(entradas26[[#This Row],[PRECIO]]/entradas26[[#This Row],[CAN JUEGOS ]])</f>
        <v>36.1</v>
      </c>
      <c r="H32" t="s">
        <v>613</v>
      </c>
      <c r="I32" t="s">
        <v>614</v>
      </c>
    </row>
    <row r="33" spans="1:9">
      <c r="A33">
        <v>8015</v>
      </c>
      <c r="B3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CHINO CHUECO 2B PREMIER</v>
      </c>
      <c r="C33" s="32">
        <v>46055</v>
      </c>
      <c r="D33">
        <v>50</v>
      </c>
      <c r="F33">
        <v>1045</v>
      </c>
      <c r="G33">
        <f>(entradas26[[#This Row],[PRECIO]]/entradas26[[#This Row],[CAN JUEGOS ]])</f>
        <v>20.9</v>
      </c>
      <c r="H33" t="s">
        <v>613</v>
      </c>
      <c r="I33" t="s">
        <v>614</v>
      </c>
    </row>
    <row r="34" spans="1:9">
      <c r="A34">
        <v>8057</v>
      </c>
      <c r="B3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45 PREMIER 7L/4B</v>
      </c>
      <c r="C34" s="32">
        <v>46055</v>
      </c>
      <c r="D34">
        <v>20</v>
      </c>
      <c r="F34">
        <v>836</v>
      </c>
      <c r="G34">
        <f>(entradas26[[#This Row],[PRECIO]]/entradas26[[#This Row],[CAN JUEGOS ]])</f>
        <v>41.8</v>
      </c>
      <c r="H34" t="s">
        <v>613</v>
      </c>
      <c r="I34" t="s">
        <v>614</v>
      </c>
    </row>
    <row r="35" spans="1:9">
      <c r="A35">
        <v>6011</v>
      </c>
      <c r="B3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TOSHIBA C350KB</v>
      </c>
      <c r="C35" s="32">
        <v>46055</v>
      </c>
      <c r="D35">
        <v>20</v>
      </c>
      <c r="F35">
        <v>1976</v>
      </c>
      <c r="G35">
        <f>(entradas26[[#This Row],[PRECIO]]/entradas26[[#This Row],[CAN JUEGOS ]])</f>
        <v>98.8</v>
      </c>
      <c r="H35" t="s">
        <v>613</v>
      </c>
      <c r="I35" t="s">
        <v>614</v>
      </c>
    </row>
    <row r="36" spans="1:9">
      <c r="A36">
        <v>2013</v>
      </c>
      <c r="B3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UN40J6400</v>
      </c>
      <c r="C36" s="32">
        <v>46055</v>
      </c>
      <c r="D36">
        <v>10</v>
      </c>
      <c r="F36">
        <v>1368</v>
      </c>
      <c r="G36">
        <f>(entradas26[[#This Row],[PRECIO]]/entradas26[[#This Row],[CAN JUEGOS ]])</f>
        <v>136.80000000000001</v>
      </c>
      <c r="H36" t="s">
        <v>613</v>
      </c>
      <c r="I36" t="s">
        <v>614</v>
      </c>
    </row>
    <row r="37" spans="1:9">
      <c r="A37">
        <v>8064</v>
      </c>
      <c r="B3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65 AIWA B4K 8L/6B/3v/ DIF 180°</v>
      </c>
      <c r="C37" s="32">
        <v>46055</v>
      </c>
      <c r="D37">
        <v>20</v>
      </c>
      <c r="F37">
        <v>1444</v>
      </c>
      <c r="G37">
        <f>(entradas26[[#This Row],[PRECIO]]/entradas26[[#This Row],[CAN JUEGOS ]])</f>
        <v>72.2</v>
      </c>
      <c r="H37" t="s">
        <v>613</v>
      </c>
      <c r="I37" t="s">
        <v>614</v>
      </c>
    </row>
    <row r="38" spans="1:9">
      <c r="A38">
        <v>8091</v>
      </c>
      <c r="B3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P735 TCL 15L/2B/3v/ DIF 180°</v>
      </c>
      <c r="C38" s="32">
        <v>46055</v>
      </c>
      <c r="D38">
        <v>20</v>
      </c>
      <c r="F38">
        <v>2432</v>
      </c>
      <c r="G38">
        <f>(entradas26[[#This Row],[PRECIO]]/entradas26[[#This Row],[CAN JUEGOS ]])</f>
        <v>121.6</v>
      </c>
      <c r="H38" t="s">
        <v>613</v>
      </c>
      <c r="I38" t="s">
        <v>717</v>
      </c>
    </row>
    <row r="39" spans="1:9">
      <c r="A39">
        <v>2091</v>
      </c>
      <c r="B3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UN65 H6400</v>
      </c>
      <c r="C39" s="32">
        <v>46055</v>
      </c>
      <c r="D39">
        <v>10</v>
      </c>
      <c r="F39">
        <v>3534</v>
      </c>
      <c r="G39">
        <f>(entradas26[[#This Row],[PRECIO]]/entradas26[[#This Row],[CAN JUEGOS ]])</f>
        <v>353.4</v>
      </c>
      <c r="H39" t="s">
        <v>613</v>
      </c>
      <c r="I39" t="s">
        <v>614</v>
      </c>
    </row>
    <row r="40" spans="1:9">
      <c r="A40">
        <v>2086</v>
      </c>
      <c r="B4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UN65 AU7000</v>
      </c>
      <c r="C40" s="32">
        <v>46055</v>
      </c>
      <c r="D40">
        <v>10</v>
      </c>
      <c r="F40">
        <v>988</v>
      </c>
      <c r="G40">
        <f>(entradas26[[#This Row],[PRECIO]]/entradas26[[#This Row],[CAN JUEGOS ]])</f>
        <v>98.8</v>
      </c>
      <c r="H40" t="s">
        <v>613</v>
      </c>
      <c r="I40" t="s">
        <v>614</v>
      </c>
    </row>
    <row r="41" spans="1:9">
      <c r="A41">
        <v>8013</v>
      </c>
      <c r="B4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CHANCHONG CD2000 6L/3V/3B</v>
      </c>
      <c r="C41" s="32">
        <v>46055</v>
      </c>
      <c r="E41">
        <v>3</v>
      </c>
      <c r="G41" t="e">
        <f>(entradas26[[#This Row],[PRECIO]]/entradas26[[#This Row],[CAN JUEGOS ]])</f>
        <v>#DIV/0!</v>
      </c>
      <c r="H41" t="s">
        <v>610</v>
      </c>
    </row>
    <row r="42" spans="1:9">
      <c r="A42">
        <v>2095</v>
      </c>
      <c r="B4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UN60AU8000G-60BU8000/2B</v>
      </c>
      <c r="C42" s="32">
        <v>46055</v>
      </c>
      <c r="E42">
        <v>2</v>
      </c>
      <c r="G42" t="e">
        <f>(entradas26[[#This Row],[PRECIO]]/entradas26[[#This Row],[CAN JUEGOS ]])</f>
        <v>#DIV/0!</v>
      </c>
      <c r="H42" t="s">
        <v>610</v>
      </c>
    </row>
    <row r="43" spans="1:9">
      <c r="A43">
        <v>1015</v>
      </c>
      <c r="B4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32LH500B-32LK500 3B/7L/3V</v>
      </c>
      <c r="C43" s="32">
        <v>46063</v>
      </c>
      <c r="E43">
        <v>3</v>
      </c>
      <c r="G43" t="e">
        <f>(entradas26[[#This Row],[PRECIO]]/entradas26[[#This Row],[CAN JUEGOS ]])</f>
        <v>#DIV/0!</v>
      </c>
      <c r="H43" t="s">
        <v>610</v>
      </c>
    </row>
    <row r="44" spans="1:9">
      <c r="A44">
        <v>4021</v>
      </c>
      <c r="B4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DAEWOO LS50U1   8B/4L/3v</v>
      </c>
      <c r="C44" s="32">
        <v>46063</v>
      </c>
      <c r="E44">
        <v>16</v>
      </c>
      <c r="G44" t="e">
        <f>(entradas26[[#This Row],[PRECIO]]/entradas26[[#This Row],[CAN JUEGOS ]])</f>
        <v>#DIV/0!</v>
      </c>
      <c r="H44" t="s">
        <v>610</v>
      </c>
    </row>
    <row r="45" spans="1:9">
      <c r="A45">
        <v>2089</v>
      </c>
      <c r="B4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UN58TU7100 8B/6L 3V-58TU7000</v>
      </c>
      <c r="C45" s="32">
        <v>46066</v>
      </c>
      <c r="D45">
        <v>1</v>
      </c>
      <c r="G45">
        <f>(entradas26[[#This Row],[PRECIO]]/entradas26[[#This Row],[CAN JUEGOS ]])</f>
        <v>0</v>
      </c>
      <c r="H45" t="s">
        <v>696</v>
      </c>
    </row>
    <row r="46" spans="1:9">
      <c r="A46">
        <v>5018</v>
      </c>
      <c r="B4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KDL-40R475 SONY/10B</v>
      </c>
      <c r="C46" s="32">
        <v>46072</v>
      </c>
      <c r="E46">
        <v>10</v>
      </c>
      <c r="G46" t="e">
        <f>(entradas26[[#This Row],[PRECIO]]/entradas26[[#This Row],[CAN JUEGOS ]])</f>
        <v>#DIV/0!</v>
      </c>
      <c r="H46" t="s">
        <v>610</v>
      </c>
    </row>
    <row r="47" spans="1:9">
      <c r="A47">
        <v>4020</v>
      </c>
      <c r="B4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 DAEWOO L49R770BNS 6L/10B</v>
      </c>
      <c r="C47" s="32">
        <v>46072</v>
      </c>
      <c r="E47">
        <v>10</v>
      </c>
      <c r="G47" t="e">
        <f>(entradas26[[#This Row],[PRECIO]]/entradas26[[#This Row],[CAN JUEGOS ]])</f>
        <v>#DIV/0!</v>
      </c>
      <c r="H47" t="s">
        <v>610</v>
      </c>
    </row>
    <row r="48" spans="1:9">
      <c r="A48">
        <v>2003</v>
      </c>
      <c r="B4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UN32F5000-SAMSUNG 5B</v>
      </c>
      <c r="C48" s="32">
        <v>46073</v>
      </c>
      <c r="E48">
        <v>5</v>
      </c>
      <c r="G48" t="e">
        <f>(entradas26[[#This Row],[PRECIO]]/entradas26[[#This Row],[CAN JUEGOS ]])</f>
        <v>#DIV/0!</v>
      </c>
      <c r="H48" t="s">
        <v>610</v>
      </c>
    </row>
    <row r="49" spans="1:8">
      <c r="A49">
        <v>7004</v>
      </c>
      <c r="B4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IRT LED4060SFHD 8L/3V/3B</v>
      </c>
      <c r="C49" s="32">
        <v>46077</v>
      </c>
      <c r="E49">
        <v>3</v>
      </c>
      <c r="G49" t="e">
        <f>(entradas26[[#This Row],[PRECIO]]/entradas26[[#This Row],[CAN JUEGOS ]])</f>
        <v>#DIV/0!</v>
      </c>
      <c r="H49" t="s">
        <v>674</v>
      </c>
    </row>
    <row r="50" spans="1:8">
      <c r="A50">
        <v>8082</v>
      </c>
      <c r="B5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L55M5-5ASP-XIAOMI 4B/12L/3V</v>
      </c>
      <c r="C50" s="32">
        <v>46080</v>
      </c>
      <c r="D50">
        <v>5</v>
      </c>
      <c r="F50">
        <v>350</v>
      </c>
      <c r="G50">
        <f>(entradas26[[#This Row],[PRECIO]]/entradas26[[#This Row],[CAN JUEGOS ]])</f>
        <v>70</v>
      </c>
      <c r="H50" t="s">
        <v>685</v>
      </c>
    </row>
    <row r="51" spans="1:8">
      <c r="A51">
        <v>2089</v>
      </c>
      <c r="B5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UN58TU7100 8B/6L 3V-58TU7000</v>
      </c>
      <c r="C51" s="32">
        <v>46080</v>
      </c>
      <c r="D51">
        <v>2</v>
      </c>
      <c r="F51">
        <v>500</v>
      </c>
      <c r="G51">
        <f>(entradas26[[#This Row],[PRECIO]]/entradas26[[#This Row],[CAN JUEGOS ]])</f>
        <v>250</v>
      </c>
      <c r="H51" t="s">
        <v>697</v>
      </c>
    </row>
    <row r="52" spans="1:8">
      <c r="A52">
        <v>6034</v>
      </c>
      <c r="B5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65 HISENSE A6GSA 6B/8L/3V</v>
      </c>
      <c r="C52" s="32">
        <v>46091</v>
      </c>
      <c r="E52">
        <v>6</v>
      </c>
      <c r="G52" t="e">
        <f>(entradas26[[#This Row],[PRECIO]]/entradas26[[#This Row],[CAN JUEGOS ]])</f>
        <v>#DIV/0!</v>
      </c>
      <c r="H52" t="s">
        <v>674</v>
      </c>
    </row>
    <row r="53" spans="1:8">
      <c r="A53">
        <v>2048</v>
      </c>
      <c r="B5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UN49 NU7100/2B EDGE</v>
      </c>
      <c r="C53" s="32">
        <v>46091</v>
      </c>
      <c r="E53">
        <v>2</v>
      </c>
      <c r="G53" t="e">
        <f>(entradas26[[#This Row],[PRECIO]]/entradas26[[#This Row],[CAN JUEGOS ]])</f>
        <v>#DIV/0!</v>
      </c>
      <c r="H53" t="s">
        <v>674</v>
      </c>
    </row>
    <row r="54" spans="1:8">
      <c r="A54">
        <v>6009</v>
      </c>
      <c r="B5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L4700 TOS/6B -43UJ-6200/LG/8B-43E2SKYWORTH</v>
      </c>
      <c r="C54" s="32">
        <v>46091</v>
      </c>
      <c r="E54">
        <v>24</v>
      </c>
      <c r="F54">
        <v>450</v>
      </c>
      <c r="G54" t="e">
        <f>(entradas26[[#This Row],[PRECIO]]/entradas26[[#This Row],[CAN JUEGOS ]])</f>
        <v>#DIV/0!</v>
      </c>
      <c r="H54" t="s">
        <v>696</v>
      </c>
    </row>
    <row r="55" spans="1:8">
      <c r="A55">
        <v>8021</v>
      </c>
      <c r="B5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JVC RECTO /2B</v>
      </c>
      <c r="C55" s="32">
        <v>46093</v>
      </c>
      <c r="E55">
        <v>2</v>
      </c>
      <c r="G55" t="e">
        <f>(entradas26[[#This Row],[PRECIO]]/entradas26[[#This Row],[CAN JUEGOS ]])</f>
        <v>#DIV/0!</v>
      </c>
      <c r="H55" t="s">
        <v>610</v>
      </c>
    </row>
    <row r="56" spans="1:8">
      <c r="A56">
        <v>1033</v>
      </c>
      <c r="B5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42LB6200-42LF6200 8B/6V</v>
      </c>
      <c r="C56" s="32">
        <v>46094</v>
      </c>
      <c r="D56">
        <v>3</v>
      </c>
      <c r="F56">
        <v>450</v>
      </c>
      <c r="G56">
        <f>(entradas26[[#This Row],[PRECIO]]/entradas26[[#This Row],[CAN JUEGOS ]])</f>
        <v>150</v>
      </c>
      <c r="H56" t="s">
        <v>696</v>
      </c>
    </row>
    <row r="57" spans="1:8">
      <c r="A57">
        <v>6006</v>
      </c>
      <c r="B57" s="2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57" s="32">
        <v>46104</v>
      </c>
      <c r="D57">
        <v>20</v>
      </c>
      <c r="F57">
        <v>684</v>
      </c>
      <c r="G57">
        <f>(entradas26[[#This Row],[PRECIO]]/entradas26[[#This Row],[CAN JUEGOS ]])</f>
        <v>34.200000000000003</v>
      </c>
      <c r="H57" t="s">
        <v>743</v>
      </c>
    </row>
    <row r="58" spans="1:8">
      <c r="A58">
        <v>6022</v>
      </c>
      <c r="B58" s="2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58" s="32">
        <v>46104</v>
      </c>
      <c r="D58">
        <v>20</v>
      </c>
      <c r="F58">
        <v>2736</v>
      </c>
      <c r="G58">
        <f>(entradas26[[#This Row],[PRECIO]]/entradas26[[#This Row],[CAN JUEGOS ]])</f>
        <v>136.80000000000001</v>
      </c>
      <c r="H58" t="s">
        <v>743</v>
      </c>
    </row>
    <row r="59" spans="1:8">
      <c r="A59">
        <v>8033</v>
      </c>
      <c r="B5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o 39 PREMIER 3B/7-6-7 LEDS /6V  7180SF40</v>
      </c>
      <c r="C59" s="32">
        <v>46104</v>
      </c>
      <c r="D59">
        <v>50</v>
      </c>
      <c r="F59">
        <v>1995</v>
      </c>
      <c r="G59">
        <f>(entradas26[[#This Row],[PRECIO]]/entradas26[[#This Row],[CAN JUEGOS ]])</f>
        <v>39.9</v>
      </c>
      <c r="H59" t="s">
        <v>743</v>
      </c>
    </row>
    <row r="60" spans="1:8">
      <c r="A60">
        <v>8095</v>
      </c>
      <c r="B6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58  PREMIER 5L/3V 10B</v>
      </c>
      <c r="C60" s="32">
        <v>46104</v>
      </c>
      <c r="D60">
        <v>30</v>
      </c>
      <c r="F60">
        <v>2907</v>
      </c>
      <c r="G60">
        <f>(entradas26[[#This Row],[PRECIO]]/entradas26[[#This Row],[CAN JUEGOS ]])</f>
        <v>96.9</v>
      </c>
      <c r="H60" t="s">
        <v>743</v>
      </c>
    </row>
    <row r="61" spans="1:8">
      <c r="A61">
        <v>5006</v>
      </c>
      <c r="B6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KDL-32R304B/3B</v>
      </c>
      <c r="C61" s="32">
        <v>46104</v>
      </c>
      <c r="D61">
        <v>20</v>
      </c>
      <c r="F61">
        <v>684</v>
      </c>
      <c r="G61">
        <f>(entradas26[[#This Row],[PRECIO]]/entradas26[[#This Row],[CAN JUEGOS ]])</f>
        <v>34.200000000000003</v>
      </c>
      <c r="H61" t="s">
        <v>743</v>
      </c>
    </row>
    <row r="62" spans="1:8">
      <c r="A62">
        <v>5018</v>
      </c>
      <c r="B6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KDL-40R475 SONY/10B</v>
      </c>
      <c r="C62" s="32">
        <v>46104</v>
      </c>
      <c r="D62">
        <v>20</v>
      </c>
      <c r="F62">
        <v>1444</v>
      </c>
      <c r="G62">
        <f>(entradas26[[#This Row],[PRECIO]]/entradas26[[#This Row],[CAN JUEGOS ]])</f>
        <v>72.2</v>
      </c>
      <c r="H62" t="s">
        <v>743</v>
      </c>
    </row>
    <row r="63" spans="1:8">
      <c r="A63">
        <v>1000</v>
      </c>
      <c r="B6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LA -3B/3V/7-7L</v>
      </c>
      <c r="C63" s="32">
        <v>46104</v>
      </c>
      <c r="D63">
        <v>20</v>
      </c>
      <c r="F63">
        <v>684</v>
      </c>
      <c r="G63">
        <f>(entradas26[[#This Row],[PRECIO]]/entradas26[[#This Row],[CAN JUEGOS ]])</f>
        <v>34.200000000000003</v>
      </c>
      <c r="H63" t="s">
        <v>743</v>
      </c>
    </row>
    <row r="64" spans="1:8">
      <c r="A64">
        <v>1033</v>
      </c>
      <c r="B6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42LB6200-42LF6200 8B/6V</v>
      </c>
      <c r="C64" s="32">
        <v>46104</v>
      </c>
      <c r="D64">
        <v>20</v>
      </c>
      <c r="F64">
        <v>2052</v>
      </c>
      <c r="G64">
        <f>(entradas26[[#This Row],[PRECIO]]/entradas26[[#This Row],[CAN JUEGOS ]])</f>
        <v>102.6</v>
      </c>
      <c r="H64" t="s">
        <v>743</v>
      </c>
    </row>
    <row r="65" spans="1:8">
      <c r="A65">
        <v>4000</v>
      </c>
      <c r="B6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DAEWO V780-TCL 5L/6V -2B
MI L32M5-5ASP</v>
      </c>
      <c r="C65" s="32">
        <v>46104</v>
      </c>
      <c r="D65">
        <v>20</v>
      </c>
      <c r="F65">
        <v>494</v>
      </c>
      <c r="G65">
        <f>(entradas26[[#This Row],[PRECIO]]/entradas26[[#This Row],[CAN JUEGOS ]])</f>
        <v>24.7</v>
      </c>
      <c r="H65" t="s">
        <v>743</v>
      </c>
    </row>
    <row r="66" spans="1:8">
      <c r="A66">
        <v>4002</v>
      </c>
      <c r="B6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DAEWO S780 6L/6V -2B</v>
      </c>
      <c r="C66" s="32">
        <v>46104</v>
      </c>
      <c r="D66">
        <v>20</v>
      </c>
      <c r="F66">
        <v>570</v>
      </c>
      <c r="G66">
        <f>(entradas26[[#This Row],[PRECIO]]/entradas26[[#This Row],[CAN JUEGOS ]])</f>
        <v>28.5</v>
      </c>
      <c r="H66" t="s">
        <v>743</v>
      </c>
    </row>
    <row r="67" spans="1:8">
      <c r="A67">
        <v>6009</v>
      </c>
      <c r="B6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L4700 TOS/6B -43UJ-6200/LG/8B-43E2SKYWORTH</v>
      </c>
      <c r="C67" s="32">
        <v>46104</v>
      </c>
      <c r="E67">
        <v>160</v>
      </c>
      <c r="F67">
        <v>1406</v>
      </c>
      <c r="G67" s="27" t="e">
        <f>(entradas26[[#This Row],[PRECIO]]/entradas26[[#This Row],[CAN JUEGOS ]])</f>
        <v>#DIV/0!</v>
      </c>
      <c r="H67" t="s">
        <v>743</v>
      </c>
    </row>
    <row r="68" spans="1:8">
      <c r="A68">
        <v>6020</v>
      </c>
      <c r="B6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55K321 9B/6L/</v>
      </c>
      <c r="C68" s="32">
        <v>46104</v>
      </c>
      <c r="D68">
        <v>20</v>
      </c>
      <c r="F68">
        <v>2508</v>
      </c>
      <c r="G68">
        <f>(entradas26[[#This Row],[PRECIO]]/entradas26[[#This Row],[CAN JUEGOS ]])</f>
        <v>125.4</v>
      </c>
      <c r="H68" t="s">
        <v>743</v>
      </c>
    </row>
    <row r="69" spans="1:8">
      <c r="A69">
        <v>1154</v>
      </c>
      <c r="B6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86Q9050- 86UP8770</v>
      </c>
      <c r="C69" s="32">
        <v>46104</v>
      </c>
      <c r="D69">
        <v>5</v>
      </c>
      <c r="F69">
        <v>2755</v>
      </c>
      <c r="G69">
        <f>(entradas26[[#This Row],[PRECIO]]/entradas26[[#This Row],[CAN JUEGOS ]])</f>
        <v>551</v>
      </c>
      <c r="H69" t="s">
        <v>743</v>
      </c>
    </row>
    <row r="70" spans="1:8">
      <c r="A70">
        <v>5015</v>
      </c>
      <c r="B7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KDL-40W655A/3B SONY</v>
      </c>
      <c r="C70" s="32">
        <v>46104</v>
      </c>
      <c r="D70">
        <v>20</v>
      </c>
      <c r="F70">
        <v>988</v>
      </c>
      <c r="G70">
        <f>(entradas26[[#This Row],[PRECIO]]/entradas26[[#This Row],[CAN JUEGOS ]])</f>
        <v>49.4</v>
      </c>
      <c r="H70" t="s">
        <v>743</v>
      </c>
    </row>
    <row r="71" spans="1:8">
      <c r="A71">
        <v>6016</v>
      </c>
      <c r="B7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TOSHIBA C350KB /8B</v>
      </c>
      <c r="C71" s="32">
        <v>46104</v>
      </c>
      <c r="D71">
        <v>20</v>
      </c>
      <c r="F71">
        <v>1216</v>
      </c>
      <c r="G71">
        <f>(entradas26[[#This Row],[PRECIO]]/entradas26[[#This Row],[CAN JUEGOS ]])</f>
        <v>60.8</v>
      </c>
      <c r="H71" t="s">
        <v>743</v>
      </c>
    </row>
    <row r="72" spans="1:8">
      <c r="A72">
        <v>2089</v>
      </c>
      <c r="B7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UN58TU7100 8B/6L 3V-58TU7000</v>
      </c>
      <c r="C72" s="32">
        <v>46104</v>
      </c>
      <c r="D72">
        <v>20</v>
      </c>
      <c r="F72">
        <v>1748</v>
      </c>
      <c r="G72">
        <f>(entradas26[[#This Row],[PRECIO]]/entradas26[[#This Row],[CAN JUEGOS ]])</f>
        <v>87.4</v>
      </c>
      <c r="H72" t="s">
        <v>743</v>
      </c>
    </row>
    <row r="73" spans="1:8">
      <c r="A73">
        <v>1126</v>
      </c>
      <c r="B7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55UH6150/2B</v>
      </c>
      <c r="C73" s="32">
        <v>46104</v>
      </c>
      <c r="D73">
        <v>20</v>
      </c>
      <c r="F73">
        <v>1292</v>
      </c>
      <c r="G73">
        <f>(entradas26[[#This Row],[PRECIO]]/entradas26[[#This Row],[CAN JUEGOS ]])</f>
        <v>64.599999999999994</v>
      </c>
      <c r="H73" t="s">
        <v>743</v>
      </c>
    </row>
    <row r="74" spans="1:8">
      <c r="A74">
        <v>1065</v>
      </c>
      <c r="B7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43UM7300</v>
      </c>
      <c r="C74" s="32">
        <v>46104</v>
      </c>
      <c r="D74">
        <v>20</v>
      </c>
      <c r="F74">
        <v>1596</v>
      </c>
      <c r="G74">
        <f>(entradas26[[#This Row],[PRECIO]]/entradas26[[#This Row],[CAN JUEGOS ]])</f>
        <v>79.8</v>
      </c>
      <c r="H74" t="s">
        <v>743</v>
      </c>
    </row>
    <row r="75" spans="1:8">
      <c r="A75">
        <v>5021</v>
      </c>
      <c r="B7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 A400L PANASONIC/1B</v>
      </c>
      <c r="C75" s="32">
        <v>46104</v>
      </c>
      <c r="D75">
        <v>20</v>
      </c>
      <c r="F75">
        <v>570</v>
      </c>
      <c r="G75">
        <f>(entradas26[[#This Row],[PRECIO]]/entradas26[[#This Row],[CAN JUEGOS ]])</f>
        <v>28.5</v>
      </c>
      <c r="H75" t="s">
        <v>743</v>
      </c>
    </row>
    <row r="76" spans="1:8">
      <c r="A76">
        <v>2108</v>
      </c>
      <c r="B7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65 TU8500</v>
      </c>
      <c r="C76" s="32">
        <v>46104</v>
      </c>
      <c r="D76">
        <v>10</v>
      </c>
      <c r="F76">
        <v>1045</v>
      </c>
      <c r="G76">
        <f>(entradas26[[#This Row],[PRECIO]]/entradas26[[#This Row],[CAN JUEGOS ]])</f>
        <v>104.5</v>
      </c>
      <c r="H76" t="s">
        <v>743</v>
      </c>
    </row>
    <row r="77" spans="1:8">
      <c r="A77">
        <v>2025</v>
      </c>
      <c r="B7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43AU7000</v>
      </c>
      <c r="C77" s="32">
        <v>46104</v>
      </c>
      <c r="D77">
        <v>20</v>
      </c>
      <c r="F77">
        <v>1254</v>
      </c>
      <c r="G77">
        <f>(entradas26[[#This Row],[PRECIO]]/entradas26[[#This Row],[CAN JUEGOS ]])</f>
        <v>62.7</v>
      </c>
      <c r="H77" t="s">
        <v>743</v>
      </c>
    </row>
    <row r="78" spans="1:8">
      <c r="A78">
        <v>4021</v>
      </c>
      <c r="B7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DAEWOO LS50U1   8B/4L/3v</v>
      </c>
      <c r="E78">
        <v>8</v>
      </c>
      <c r="G78" t="e">
        <f>(entradas26[[#This Row],[PRECIO]]/entradas26[[#This Row],[CAN JUEGOS ]])</f>
        <v>#DIV/0!</v>
      </c>
      <c r="H78" t="s">
        <v>610</v>
      </c>
    </row>
    <row r="79" spans="1:8">
      <c r="A79">
        <v>3015</v>
      </c>
      <c r="B7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48M600 10B/8 - 8 LEDS/3V</v>
      </c>
      <c r="E79">
        <v>10</v>
      </c>
      <c r="G79" t="e">
        <f>(entradas26[[#This Row],[PRECIO]]/entradas26[[#This Row],[CAN JUEGOS ]])</f>
        <v>#DIV/0!</v>
      </c>
      <c r="H79" t="s">
        <v>610</v>
      </c>
    </row>
    <row r="80" spans="1:8">
      <c r="A80">
        <v>7003</v>
      </c>
      <c r="B8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IRT 8L/6V/3B</v>
      </c>
      <c r="D80">
        <v>3</v>
      </c>
      <c r="G80">
        <f>(entradas26[[#This Row],[PRECIO]]/entradas26[[#This Row],[CAN JUEGOS ]])</f>
        <v>0</v>
      </c>
      <c r="H80" t="s">
        <v>763</v>
      </c>
    </row>
    <row r="81" spans="1:8">
      <c r="A81">
        <v>8013</v>
      </c>
      <c r="B8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CHANCHONG CD2000 6L/3V/3B</v>
      </c>
      <c r="D81">
        <v>3</v>
      </c>
      <c r="G81">
        <f>(entradas26[[#This Row],[PRECIO]]/entradas26[[#This Row],[CAN JUEGOS ]])</f>
        <v>0</v>
      </c>
      <c r="H81" t="s">
        <v>764</v>
      </c>
    </row>
    <row r="82" spans="1:8">
      <c r="A82">
        <v>2078</v>
      </c>
      <c r="B8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UN55NU7095G/9L/4B</v>
      </c>
      <c r="E82">
        <v>4</v>
      </c>
      <c r="G82" t="e">
        <f>(entradas26[[#This Row],[PRECIO]]/entradas26[[#This Row],[CAN JUEGOS ]])</f>
        <v>#DIV/0!</v>
      </c>
      <c r="H82" t="s">
        <v>766</v>
      </c>
    </row>
    <row r="83" spans="1:8">
      <c r="A83">
        <v>1027</v>
      </c>
      <c r="B8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32LM3400-4B/3V/9L</v>
      </c>
      <c r="C83" s="32">
        <v>46115</v>
      </c>
      <c r="D83">
        <v>20</v>
      </c>
      <c r="F83">
        <v>1406</v>
      </c>
      <c r="G83">
        <f>(entradas26[[#This Row],[PRECIO]]/entradas26[[#This Row],[CAN JUEGOS ]])</f>
        <v>70.3</v>
      </c>
      <c r="H83" t="s">
        <v>769</v>
      </c>
    </row>
    <row r="84" spans="1:8">
      <c r="A84">
        <v>1036</v>
      </c>
      <c r="B8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42LA6130-42LN5400  10B/3V</v>
      </c>
      <c r="C84" s="32">
        <v>46115</v>
      </c>
      <c r="D84">
        <v>20</v>
      </c>
      <c r="F84">
        <v>1938</v>
      </c>
      <c r="G84">
        <f>(entradas26[[#This Row],[PRECIO]]/entradas26[[#This Row],[CAN JUEGOS ]])</f>
        <v>96.9</v>
      </c>
      <c r="H84" t="s">
        <v>769</v>
      </c>
    </row>
    <row r="85" spans="1:8">
      <c r="A85">
        <v>1049</v>
      </c>
      <c r="B8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43LJ5500 3B/7L</v>
      </c>
      <c r="C85" s="32">
        <v>46115</v>
      </c>
      <c r="D85">
        <v>20</v>
      </c>
      <c r="F85">
        <v>1140</v>
      </c>
      <c r="G85">
        <f>(entradas26[[#This Row],[PRECIO]]/entradas26[[#This Row],[CAN JUEGOS ]])</f>
        <v>57</v>
      </c>
      <c r="H85" t="s">
        <v>769</v>
      </c>
    </row>
    <row r="86" spans="1:8">
      <c r="A86">
        <v>1102</v>
      </c>
      <c r="B8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50LA6200/12B/3V</v>
      </c>
      <c r="C86" s="32">
        <v>46115</v>
      </c>
      <c r="D86">
        <v>20</v>
      </c>
      <c r="F86">
        <v>2318</v>
      </c>
      <c r="G86">
        <f>(entradas26[[#This Row],[PRECIO]]/entradas26[[#This Row],[CAN JUEGOS ]])</f>
        <v>115.9</v>
      </c>
      <c r="H86" t="s">
        <v>769</v>
      </c>
    </row>
    <row r="87" spans="1:8">
      <c r="A87">
        <v>2003</v>
      </c>
      <c r="B8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UN32F5000-SAMSUNG 5B</v>
      </c>
      <c r="C87" s="32">
        <v>46115</v>
      </c>
      <c r="D87">
        <v>20</v>
      </c>
      <c r="F87">
        <v>1482</v>
      </c>
      <c r="G87">
        <f>(entradas26[[#This Row],[PRECIO]]/entradas26[[#This Row],[CAN JUEGOS ]])</f>
        <v>74.099999999999994</v>
      </c>
      <c r="H87" t="s">
        <v>769</v>
      </c>
    </row>
    <row r="88" spans="1:8">
      <c r="A88">
        <v>2072</v>
      </c>
      <c r="B8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UN55H6400/12B</v>
      </c>
      <c r="C88" s="32">
        <v>46115</v>
      </c>
      <c r="D88">
        <v>10</v>
      </c>
      <c r="F88">
        <v>2375</v>
      </c>
      <c r="G88">
        <f>(entradas26[[#This Row],[PRECIO]]/entradas26[[#This Row],[CAN JUEGOS ]])</f>
        <v>237.5</v>
      </c>
      <c r="H88" t="s">
        <v>769</v>
      </c>
    </row>
    <row r="89" spans="1:8">
      <c r="A89">
        <v>1015</v>
      </c>
      <c r="B8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32LH500B-32LK500 3B/7L/3V</v>
      </c>
      <c r="C89" s="32">
        <v>46115</v>
      </c>
      <c r="D89">
        <v>20</v>
      </c>
      <c r="F89">
        <v>684</v>
      </c>
      <c r="G89">
        <f>(entradas26[[#This Row],[PRECIO]]/entradas26[[#This Row],[CAN JUEGOS ]])</f>
        <v>34.200000000000003</v>
      </c>
      <c r="H89" t="s">
        <v>769</v>
      </c>
    </row>
    <row r="90" spans="1:8">
      <c r="A90">
        <v>5010</v>
      </c>
      <c r="B9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SONY/AOC LE40D3142 -4B/9L</v>
      </c>
      <c r="C90" s="32">
        <v>46115</v>
      </c>
      <c r="D90">
        <v>20</v>
      </c>
      <c r="F90">
        <v>1178</v>
      </c>
      <c r="G90">
        <f>(entradas26[[#This Row],[PRECIO]]/entradas26[[#This Row],[CAN JUEGOS ]])</f>
        <v>58.9</v>
      </c>
      <c r="H90" t="s">
        <v>769</v>
      </c>
    </row>
    <row r="91" spans="1:8">
      <c r="A91">
        <v>4009</v>
      </c>
      <c r="B9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43-DAEWO L43R630BKS/ 8B</v>
      </c>
      <c r="C91" s="32">
        <v>46115</v>
      </c>
      <c r="D91">
        <v>20</v>
      </c>
      <c r="F91">
        <v>1330</v>
      </c>
      <c r="G91">
        <f>(entradas26[[#This Row],[PRECIO]]/entradas26[[#This Row],[CAN JUEGOS ]])</f>
        <v>66.5</v>
      </c>
      <c r="H91" t="s">
        <v>769</v>
      </c>
    </row>
    <row r="92" spans="1:8">
      <c r="A92">
        <v>7000</v>
      </c>
      <c r="B9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IRT/6L/2B/6V</v>
      </c>
      <c r="C92" s="32">
        <v>46115</v>
      </c>
      <c r="D92">
        <v>20</v>
      </c>
      <c r="F92">
        <v>418</v>
      </c>
      <c r="G92">
        <f>(entradas26[[#This Row],[PRECIO]]/entradas26[[#This Row],[CAN JUEGOS ]])</f>
        <v>20.9</v>
      </c>
      <c r="H92" t="s">
        <v>769</v>
      </c>
    </row>
    <row r="93" spans="1:8">
      <c r="A93">
        <v>7004</v>
      </c>
      <c r="B9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IRT LED4060SFHD 8L/3V/3B</v>
      </c>
      <c r="C93" s="32">
        <v>46115</v>
      </c>
      <c r="D93">
        <v>20</v>
      </c>
      <c r="F93">
        <v>798</v>
      </c>
      <c r="G93">
        <f>(entradas26[[#This Row],[PRECIO]]/entradas26[[#This Row],[CAN JUEGOS ]])</f>
        <v>39.9</v>
      </c>
      <c r="H93" t="s">
        <v>769</v>
      </c>
    </row>
    <row r="94" spans="1:8">
      <c r="A94">
        <v>6034</v>
      </c>
      <c r="B9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65 HISENSE A6GSA 6B/8L/3V</v>
      </c>
      <c r="C94" s="32">
        <v>46115</v>
      </c>
      <c r="D94">
        <v>20</v>
      </c>
      <c r="F94">
        <v>1862</v>
      </c>
      <c r="G94">
        <f>(entradas26[[#This Row],[PRECIO]]/entradas26[[#This Row],[CAN JUEGOS ]])</f>
        <v>93.1</v>
      </c>
      <c r="H94" t="s">
        <v>769</v>
      </c>
    </row>
    <row r="95" spans="1:8">
      <c r="A95">
        <v>8056</v>
      </c>
      <c r="B9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PREMIER 8L/6V/3B</v>
      </c>
      <c r="C95" s="32">
        <v>46115</v>
      </c>
      <c r="D95">
        <v>20</v>
      </c>
      <c r="F95">
        <v>798</v>
      </c>
      <c r="G95">
        <f>(entradas26[[#This Row],[PRECIO]]/entradas26[[#This Row],[CAN JUEGOS ]])</f>
        <v>39.9</v>
      </c>
      <c r="H95" t="s">
        <v>769</v>
      </c>
    </row>
    <row r="96" spans="1:8">
      <c r="A96">
        <v>8067</v>
      </c>
      <c r="B9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PREMIER 6V/10L/4B EN PARALELO</v>
      </c>
      <c r="C96" s="32">
        <v>46115</v>
      </c>
      <c r="D96">
        <v>20</v>
      </c>
      <c r="F96">
        <v>1178</v>
      </c>
      <c r="G96">
        <f>(entradas26[[#This Row],[PRECIO]]/entradas26[[#This Row],[CAN JUEGOS ]])</f>
        <v>58.9</v>
      </c>
      <c r="H96" t="s">
        <v>769</v>
      </c>
    </row>
    <row r="97" spans="1:8">
      <c r="A97">
        <v>8069</v>
      </c>
      <c r="B9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PREMIER 10L/6V/4B -50 WESTPOINT TEJ -EN SERIE</v>
      </c>
      <c r="C97" s="32">
        <v>46115</v>
      </c>
      <c r="D97">
        <v>20</v>
      </c>
      <c r="F97">
        <v>1178</v>
      </c>
      <c r="G97">
        <f>(entradas26[[#This Row],[PRECIO]]/entradas26[[#This Row],[CAN JUEGOS ]])</f>
        <v>58.9</v>
      </c>
      <c r="H97" t="s">
        <v>769</v>
      </c>
    </row>
    <row r="98" spans="1:8">
      <c r="A98">
        <v>6110</v>
      </c>
      <c r="B9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A 4H HISENSE 5L/3V/2B 32E5610- 32V35KB TOSHIBA</v>
      </c>
      <c r="C98" s="32">
        <v>46115</v>
      </c>
      <c r="D98">
        <v>20</v>
      </c>
      <c r="F98">
        <v>418</v>
      </c>
      <c r="G98">
        <f>(entradas26[[#This Row],[PRECIO]]/entradas26[[#This Row],[CAN JUEGOS ]])</f>
        <v>20.9</v>
      </c>
      <c r="H98" t="s">
        <v>769</v>
      </c>
    </row>
    <row r="99" spans="1:8">
      <c r="A99">
        <v>3018</v>
      </c>
      <c r="B9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 HAIER 9B/5L</v>
      </c>
      <c r="C99" s="32">
        <v>46115</v>
      </c>
      <c r="D99">
        <v>20</v>
      </c>
      <c r="F99">
        <v>1710</v>
      </c>
      <c r="G99">
        <f>(entradas26[[#This Row],[PRECIO]]/entradas26[[#This Row],[CAN JUEGOS ]])</f>
        <v>85.5</v>
      </c>
      <c r="H99" t="s">
        <v>769</v>
      </c>
    </row>
    <row r="100" spans="1:8">
      <c r="A100">
        <v>2008</v>
      </c>
      <c r="B10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 40 D6500/2B</v>
      </c>
      <c r="C100" s="32">
        <v>46115</v>
      </c>
      <c r="D100">
        <v>10</v>
      </c>
      <c r="F100">
        <v>1026</v>
      </c>
      <c r="G100">
        <f>(entradas26[[#This Row],[PRECIO]]/entradas26[[#This Row],[CAN JUEGOS ]])</f>
        <v>102.6</v>
      </c>
      <c r="H100" t="s">
        <v>769</v>
      </c>
    </row>
    <row r="101" spans="1:8">
      <c r="A101">
        <v>7019</v>
      </c>
      <c r="B10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65 IRT 12B/6L</v>
      </c>
      <c r="C101" s="32">
        <v>46115</v>
      </c>
      <c r="D101">
        <v>20</v>
      </c>
      <c r="F101">
        <v>4104</v>
      </c>
      <c r="G101">
        <f>(entradas26[[#This Row],[PRECIO]]/entradas26[[#This Row],[CAN JUEGOS ]])</f>
        <v>205.2</v>
      </c>
      <c r="H101" t="s">
        <v>769</v>
      </c>
    </row>
    <row r="102" spans="1:8">
      <c r="A102">
        <v>1067</v>
      </c>
      <c r="B10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47LA6600/2B</v>
      </c>
      <c r="C102" s="32">
        <v>46115</v>
      </c>
      <c r="D102">
        <v>20</v>
      </c>
      <c r="F102">
        <v>1748</v>
      </c>
      <c r="G102">
        <f>(entradas26[[#This Row],[PRECIO]]/entradas26[[#This Row],[CAN JUEGOS ]])</f>
        <v>87.4</v>
      </c>
      <c r="H102" t="s">
        <v>769</v>
      </c>
    </row>
    <row r="103" spans="1:8">
      <c r="A103">
        <v>3003</v>
      </c>
      <c r="B10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40B8000 4B/12LED/3V</v>
      </c>
      <c r="E103">
        <v>4</v>
      </c>
      <c r="G103" t="e">
        <f>(entradas26[[#This Row],[PRECIO]]/entradas26[[#This Row],[CAN JUEGOS ]])</f>
        <v>#DIV/0!</v>
      </c>
      <c r="H103" t="s">
        <v>800</v>
      </c>
    </row>
    <row r="104" spans="1:8">
      <c r="A104">
        <v>1042</v>
      </c>
      <c r="B10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42LS3450/10B</v>
      </c>
      <c r="E104">
        <v>10</v>
      </c>
      <c r="G104" t="e">
        <f>(entradas26[[#This Row],[PRECIO]]/entradas26[[#This Row],[CAN JUEGOS ]])</f>
        <v>#DIV/0!</v>
      </c>
      <c r="H104" t="s">
        <v>800</v>
      </c>
    </row>
    <row r="105" spans="1:8">
      <c r="A105">
        <v>2104</v>
      </c>
      <c r="B10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UN82TU7000/18B/5L</v>
      </c>
      <c r="E105">
        <v>18</v>
      </c>
      <c r="G105" t="e">
        <f>(entradas26[[#This Row],[PRECIO]]/entradas26[[#This Row],[CAN JUEGOS ]])</f>
        <v>#DIV/0!</v>
      </c>
      <c r="H105" t="s">
        <v>800</v>
      </c>
    </row>
    <row r="106" spans="1:8">
      <c r="A106">
        <v>8098</v>
      </c>
      <c r="B10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65 PREMIER 11B/6L </v>
      </c>
      <c r="E106">
        <v>11</v>
      </c>
      <c r="G106" t="e">
        <f>(entradas26[[#This Row],[PRECIO]]/entradas26[[#This Row],[CAN JUEGOS ]])</f>
        <v>#DIV/0!</v>
      </c>
      <c r="H106" t="s">
        <v>800</v>
      </c>
    </row>
    <row r="107" spans="1:8">
      <c r="A107">
        <v>6027</v>
      </c>
      <c r="B10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HISENSE K321UW/10B reemplazo 55 6L/3V/10B</v>
      </c>
      <c r="E107">
        <v>10</v>
      </c>
      <c r="G107" t="e">
        <f>(entradas26[[#This Row],[PRECIO]]/entradas26[[#This Row],[CAN JUEGOS ]])</f>
        <v>#DIV/0!</v>
      </c>
      <c r="H107" t="s">
        <v>800</v>
      </c>
    </row>
    <row r="108" spans="1:8">
      <c r="A108">
        <v>5006</v>
      </c>
      <c r="B10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KDL-32R304B/3B</v>
      </c>
      <c r="D108">
        <v>12</v>
      </c>
      <c r="E108">
        <v>1</v>
      </c>
      <c r="G108">
        <f>(entradas26[[#This Row],[PRECIO]]/entradas26[[#This Row],[CAN JUEGOS ]])</f>
        <v>0</v>
      </c>
      <c r="H108" t="s">
        <v>820</v>
      </c>
    </row>
    <row r="109" spans="1:8">
      <c r="A109">
        <v>5009</v>
      </c>
      <c r="B10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KDL-39R475B - SONY/10B</v>
      </c>
      <c r="E109">
        <v>10</v>
      </c>
      <c r="G109" t="e">
        <f>(entradas26[[#This Row],[PRECIO]]/entradas26[[#This Row],[CAN JUEGOS ]])</f>
        <v>#DIV/0!</v>
      </c>
      <c r="H109" t="s">
        <v>800</v>
      </c>
    </row>
    <row r="110" spans="1:8">
      <c r="A110">
        <v>8012</v>
      </c>
      <c r="B11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CHANCHONG CD1000 8L/3V/DIF. 180/3B 
32 CHANCHONG CD2000U 4B A 150 BS</v>
      </c>
      <c r="E110">
        <v>3</v>
      </c>
      <c r="G110" t="e">
        <f>(entradas26[[#This Row],[PRECIO]]/entradas26[[#This Row],[CAN JUEGOS ]])</f>
        <v>#DIV/0!</v>
      </c>
      <c r="H110" t="s">
        <v>827</v>
      </c>
    </row>
    <row r="111" spans="1:8">
      <c r="A111">
        <v>2042</v>
      </c>
      <c r="B11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UN48J5000AG/8B</v>
      </c>
      <c r="E111">
        <v>8</v>
      </c>
      <c r="G111" t="e">
        <f>(entradas26[[#This Row],[PRECIO]]/entradas26[[#This Row],[CAN JUEGOS ]])</f>
        <v>#DIV/0!</v>
      </c>
      <c r="H111" t="s">
        <v>827</v>
      </c>
    </row>
    <row r="112" spans="1:8">
      <c r="A112">
        <v>1015</v>
      </c>
      <c r="B11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32LH500B-32LK500 3B/7L/3V</v>
      </c>
      <c r="C112" s="32">
        <v>46136</v>
      </c>
      <c r="D112">
        <v>20</v>
      </c>
      <c r="F112">
        <v>646</v>
      </c>
      <c r="G112">
        <f>(entradas26[[#This Row],[PRECIO]]/entradas26[[#This Row],[CAN JUEGOS ]])</f>
        <v>32.299999999999997</v>
      </c>
      <c r="H112" t="s">
        <v>832</v>
      </c>
    </row>
    <row r="113" spans="1:8">
      <c r="A113">
        <v>1069</v>
      </c>
      <c r="B11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47LB6500- 8B/6V</v>
      </c>
      <c r="C113" s="32">
        <v>46136</v>
      </c>
      <c r="D113">
        <v>20</v>
      </c>
      <c r="F113">
        <v>2318</v>
      </c>
      <c r="G113">
        <f>(entradas26[[#This Row],[PRECIO]]/entradas26[[#This Row],[CAN JUEGOS ]])</f>
        <v>115.9</v>
      </c>
      <c r="H113" t="s">
        <v>832</v>
      </c>
    </row>
    <row r="114" spans="1:8">
      <c r="A114">
        <v>1078</v>
      </c>
      <c r="B11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49LB-LF/10B</v>
      </c>
      <c r="C114" s="32">
        <v>46136</v>
      </c>
      <c r="D114">
        <v>20</v>
      </c>
      <c r="F114">
        <v>2888</v>
      </c>
      <c r="G114">
        <f>(entradas26[[#This Row],[PRECIO]]/entradas26[[#This Row],[CAN JUEGOS ]])</f>
        <v>144.4</v>
      </c>
      <c r="H114" t="s">
        <v>832</v>
      </c>
    </row>
    <row r="115" spans="1:8">
      <c r="A115">
        <v>2000</v>
      </c>
      <c r="B11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UN32FH4005G-UN32JH4005G CUERNITO 2B</v>
      </c>
      <c r="C115" s="32">
        <v>46136</v>
      </c>
      <c r="D115">
        <v>20</v>
      </c>
      <c r="F115">
        <v>608</v>
      </c>
      <c r="G115">
        <f>(entradas26[[#This Row],[PRECIO]]/entradas26[[#This Row],[CAN JUEGOS ]])</f>
        <v>30.4</v>
      </c>
      <c r="H115" t="s">
        <v>832</v>
      </c>
    </row>
    <row r="116" spans="1:8">
      <c r="A116">
        <v>2087</v>
      </c>
      <c r="B11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UN58NU7100 /2B EDGE</v>
      </c>
      <c r="C116" s="32">
        <v>46136</v>
      </c>
      <c r="D116">
        <v>20</v>
      </c>
      <c r="F116">
        <v>1178</v>
      </c>
      <c r="G116">
        <f>(entradas26[[#This Row],[PRECIO]]/entradas26[[#This Row],[CAN JUEGOS ]])</f>
        <v>58.9</v>
      </c>
      <c r="H116" t="s">
        <v>832</v>
      </c>
    </row>
    <row r="117" spans="1:8">
      <c r="A117">
        <v>2095</v>
      </c>
      <c r="B11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UN60AU8000G-60BU8000/2B</v>
      </c>
      <c r="C117" s="32">
        <v>46136</v>
      </c>
      <c r="D117">
        <v>20</v>
      </c>
      <c r="F117">
        <v>1900</v>
      </c>
      <c r="G117">
        <f>(entradas26[[#This Row],[PRECIO]]/entradas26[[#This Row],[CAN JUEGOS ]])</f>
        <v>95</v>
      </c>
      <c r="H117" t="s">
        <v>832</v>
      </c>
    </row>
    <row r="118" spans="1:8">
      <c r="A118">
        <v>6021</v>
      </c>
      <c r="B11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MASTERG 55U4700 - 55 TOSHIBA 8B/5-6L</v>
      </c>
      <c r="C118" s="32">
        <v>46136</v>
      </c>
      <c r="D118">
        <v>20</v>
      </c>
      <c r="F118">
        <v>1368</v>
      </c>
      <c r="G118">
        <f>(entradas26[[#This Row],[PRECIO]]/entradas26[[#This Row],[CAN JUEGOS ]])</f>
        <v>68.400000000000006</v>
      </c>
      <c r="H118" t="s">
        <v>832</v>
      </c>
    </row>
    <row r="119" spans="1:8">
      <c r="A119">
        <v>6000</v>
      </c>
      <c r="B119" s="2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19" s="32">
        <v>46136</v>
      </c>
      <c r="D119">
        <v>30</v>
      </c>
      <c r="F119">
        <v>627</v>
      </c>
      <c r="G119">
        <f>(entradas26[[#This Row],[PRECIO]]/entradas26[[#This Row],[CAN JUEGOS ]])</f>
        <v>20.9</v>
      </c>
      <c r="H119" t="s">
        <v>832</v>
      </c>
    </row>
    <row r="120" spans="1:8">
      <c r="A120">
        <v>8015</v>
      </c>
      <c r="B12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CHINO CHUECO 2B PREMIER</v>
      </c>
      <c r="C120" s="32">
        <v>46136</v>
      </c>
      <c r="D120">
        <v>40</v>
      </c>
      <c r="F120">
        <v>836</v>
      </c>
      <c r="G120">
        <f>(entradas26[[#This Row],[PRECIO]]/entradas26[[#This Row],[CAN JUEGOS ]])</f>
        <v>20.9</v>
      </c>
      <c r="H120" t="s">
        <v>832</v>
      </c>
    </row>
    <row r="121" spans="1:8">
      <c r="A121">
        <v>3033</v>
      </c>
      <c r="B12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55B8000 14B/2B DE 8L Y 12B DE 7L</v>
      </c>
      <c r="C121" s="32">
        <v>46136</v>
      </c>
      <c r="D121">
        <v>20</v>
      </c>
      <c r="F121">
        <v>2850</v>
      </c>
      <c r="G121">
        <f>(entradas26[[#This Row],[PRECIO]]/entradas26[[#This Row],[CAN JUEGOS ]])</f>
        <v>142.5</v>
      </c>
      <c r="H121" t="s">
        <v>832</v>
      </c>
    </row>
    <row r="122" spans="1:8">
      <c r="A122">
        <v>7002</v>
      </c>
      <c r="B12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F1000 KONKA 6L/LED3250HDD/CRONW TV3277D IRT</v>
      </c>
      <c r="C122" s="32">
        <v>46136</v>
      </c>
      <c r="D122">
        <v>20</v>
      </c>
      <c r="F122">
        <v>418</v>
      </c>
      <c r="G122">
        <f>(entradas26[[#This Row],[PRECIO]]/entradas26[[#This Row],[CAN JUEGOS ]])</f>
        <v>20.9</v>
      </c>
      <c r="H122" t="s">
        <v>832</v>
      </c>
    </row>
    <row r="123" spans="1:8">
      <c r="A123">
        <v>8021</v>
      </c>
      <c r="B12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JVC RECTO /2B</v>
      </c>
      <c r="C123" s="32">
        <v>46136</v>
      </c>
      <c r="D123">
        <v>30</v>
      </c>
      <c r="F123">
        <v>627</v>
      </c>
      <c r="G123">
        <f>(entradas26[[#This Row],[PRECIO]]/entradas26[[#This Row],[CAN JUEGOS ]])</f>
        <v>20.9</v>
      </c>
      <c r="H123" t="s">
        <v>832</v>
      </c>
    </row>
    <row r="124" spans="1:8">
      <c r="A124" s="190" t="s">
        <v>839</v>
      </c>
      <c r="B12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MASTER GMGUF55WK</v>
      </c>
      <c r="C124" s="32">
        <v>46136</v>
      </c>
      <c r="D124">
        <v>20</v>
      </c>
      <c r="F124">
        <v>1444</v>
      </c>
      <c r="G124">
        <f>(entradas26[[#This Row],[PRECIO]]/entradas26[[#This Row],[CAN JUEGOS ]])</f>
        <v>72.2</v>
      </c>
      <c r="H124" t="s">
        <v>832</v>
      </c>
    </row>
    <row r="125" spans="1:8">
      <c r="A125">
        <v>8014</v>
      </c>
      <c r="B12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PREMIER 5L/6V/2B</v>
      </c>
      <c r="C125" s="32">
        <v>46136</v>
      </c>
      <c r="D125">
        <v>20</v>
      </c>
      <c r="F125">
        <v>342</v>
      </c>
      <c r="G125">
        <f>(entradas26[[#This Row],[PRECIO]]/entradas26[[#This Row],[CAN JUEGOS ]])</f>
        <v>17.100000000000001</v>
      </c>
      <c r="H125" t="s">
        <v>832</v>
      </c>
    </row>
    <row r="126" spans="1:8">
      <c r="A126" t="s">
        <v>846</v>
      </c>
      <c r="B1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75 UH 4B</v>
      </c>
      <c r="C126" s="32">
        <v>46136</v>
      </c>
      <c r="D126">
        <v>10</v>
      </c>
      <c r="F126">
        <v>2470</v>
      </c>
      <c r="G126">
        <f>(entradas26[[#This Row],[PRECIO]]/entradas26[[#This Row],[CAN JUEGOS ]])</f>
        <v>247</v>
      </c>
      <c r="H126" t="s">
        <v>832</v>
      </c>
    </row>
    <row r="127" spans="1:8">
      <c r="A127" t="s">
        <v>850</v>
      </c>
      <c r="B12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55BU/AU 8000</v>
      </c>
      <c r="C127" s="32">
        <v>46136</v>
      </c>
      <c r="D127">
        <v>20</v>
      </c>
      <c r="F127">
        <v>1634</v>
      </c>
      <c r="G127">
        <f>(entradas26[[#This Row],[PRECIO]]/entradas26[[#This Row],[CAN JUEGOS ]])</f>
        <v>81.7</v>
      </c>
      <c r="H127" t="s">
        <v>832</v>
      </c>
    </row>
    <row r="128" spans="1:8">
      <c r="A128">
        <v>2019</v>
      </c>
      <c r="B12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 H5100-40 H4200</v>
      </c>
      <c r="C128" s="32">
        <v>46136</v>
      </c>
      <c r="D128">
        <v>20</v>
      </c>
      <c r="F128">
        <v>1292</v>
      </c>
      <c r="G128">
        <f>(entradas26[[#This Row],[PRECIO]]/entradas26[[#This Row],[CAN JUEGOS ]])</f>
        <v>64.599999999999994</v>
      </c>
      <c r="H128" t="s">
        <v>832</v>
      </c>
    </row>
    <row r="129" spans="1:8">
      <c r="A129">
        <v>1141</v>
      </c>
      <c r="B12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60LB6500/12B/6V</v>
      </c>
      <c r="C129" s="32">
        <v>46136</v>
      </c>
      <c r="D129">
        <v>10</v>
      </c>
      <c r="F129">
        <v>2128</v>
      </c>
      <c r="G129">
        <f>(entradas26[[#This Row],[PRECIO]]/entradas26[[#This Row],[CAN JUEGOS ]])</f>
        <v>212.8</v>
      </c>
      <c r="H129" t="s">
        <v>832</v>
      </c>
    </row>
    <row r="130" spans="1:8">
      <c r="A130" t="s">
        <v>856</v>
      </c>
      <c r="B13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30" s="32">
        <v>46136</v>
      </c>
      <c r="D130">
        <v>20</v>
      </c>
      <c r="F130">
        <v>494</v>
      </c>
      <c r="G130">
        <f>(entradas26[[#This Row],[PRECIO]]/entradas26[[#This Row],[CAN JUEGOS ]])</f>
        <v>24.7</v>
      </c>
      <c r="H130" t="s">
        <v>832</v>
      </c>
    </row>
    <row r="131" spans="1:8">
      <c r="A131" t="s">
        <v>858</v>
      </c>
      <c r="B13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31" s="32">
        <v>46136</v>
      </c>
      <c r="D131">
        <v>20</v>
      </c>
      <c r="F131">
        <v>2584</v>
      </c>
      <c r="G131">
        <f>(entradas26[[#This Row],[PRECIO]]/entradas26[[#This Row],[CAN JUEGOS ]])</f>
        <v>129.19999999999999</v>
      </c>
      <c r="H131" t="s">
        <v>832</v>
      </c>
    </row>
    <row r="132" spans="1:8">
      <c r="A132">
        <v>8012</v>
      </c>
      <c r="B13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CHANCHONG CD1000 8L/3V/DIF. 180/3B 
32 CHANCHONG CD2000U 4B A 150 BS</v>
      </c>
      <c r="C132" s="32">
        <v>46136</v>
      </c>
      <c r="D132">
        <v>30</v>
      </c>
      <c r="F132">
        <v>1140</v>
      </c>
      <c r="G132">
        <f>(entradas26[[#This Row],[PRECIO]]/entradas26[[#This Row],[CAN JUEGOS ]])</f>
        <v>38</v>
      </c>
      <c r="H132" t="s">
        <v>832</v>
      </c>
    </row>
    <row r="133" spans="1:8">
      <c r="A133">
        <v>6024</v>
      </c>
      <c r="B13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55 U7700 TOSHIBA 12B  3V 6L </v>
      </c>
      <c r="C133" s="32">
        <v>46142</v>
      </c>
      <c r="E133">
        <v>12</v>
      </c>
      <c r="G133" t="e">
        <f>(entradas26[[#This Row],[PRECIO]]/entradas26[[#This Row],[CAN JUEGOS ]])</f>
        <v>#DIV/0!</v>
      </c>
      <c r="H133" t="s">
        <v>800</v>
      </c>
    </row>
    <row r="134" spans="1:8">
      <c r="A134">
        <v>2105</v>
      </c>
      <c r="B13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UN85AU8000G  4B EGDE</v>
      </c>
      <c r="C134" s="32">
        <v>46153</v>
      </c>
      <c r="E134">
        <v>4</v>
      </c>
      <c r="G134" t="e">
        <f>(entradas26[[#This Row],[PRECIO]]/entradas26[[#This Row],[CAN JUEGOS ]])</f>
        <v>#DIV/0!</v>
      </c>
      <c r="H134" t="s">
        <v>800</v>
      </c>
    </row>
    <row r="135" spans="1:8">
      <c r="A135">
        <v>3003</v>
      </c>
      <c r="B13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40B8000 4B/12LED/3V</v>
      </c>
      <c r="C135" s="32">
        <v>46156</v>
      </c>
      <c r="E135">
        <v>4</v>
      </c>
      <c r="G135" t="e">
        <f>(entradas26[[#This Row],[PRECIO]]/entradas26[[#This Row],[CAN JUEGOS ]])</f>
        <v>#DIV/0!</v>
      </c>
      <c r="H135" t="s">
        <v>800</v>
      </c>
    </row>
    <row r="136" spans="1:8">
      <c r="A136">
        <v>1063</v>
      </c>
      <c r="B13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43LH5000/5B</v>
      </c>
      <c r="C136" s="32">
        <v>46157</v>
      </c>
      <c r="E136">
        <v>5</v>
      </c>
      <c r="G136" t="e">
        <f>(entradas26[[#This Row],[PRECIO]]/entradas26[[#This Row],[CAN JUEGOS ]])</f>
        <v>#DIV/0!</v>
      </c>
      <c r="H136" t="s">
        <v>800</v>
      </c>
    </row>
    <row r="137" spans="1:8">
      <c r="A137">
        <v>2024</v>
      </c>
      <c r="B13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UN43J5202/ 3 BARRAS/8L/3V</v>
      </c>
      <c r="C137" s="32">
        <v>46157</v>
      </c>
      <c r="E137">
        <v>3</v>
      </c>
      <c r="G137" t="e">
        <f>(entradas26[[#This Row],[PRECIO]]/entradas26[[#This Row],[CAN JUEGOS ]])</f>
        <v>#DIV/0!</v>
      </c>
      <c r="H137" t="s">
        <v>800</v>
      </c>
    </row>
    <row r="138" spans="1:8">
      <c r="A138">
        <v>8000</v>
      </c>
      <c r="B13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19 PULG</v>
      </c>
      <c r="C138" s="32">
        <v>46164</v>
      </c>
      <c r="E138">
        <v>2</v>
      </c>
      <c r="G138" t="e">
        <f>(entradas26[[#This Row],[PRECIO]]/entradas26[[#This Row],[CAN JUEGOS ]])</f>
        <v>#DIV/0!</v>
      </c>
      <c r="H138" t="s">
        <v>800</v>
      </c>
    </row>
    <row r="139" spans="1:8">
      <c r="A139">
        <v>7012</v>
      </c>
      <c r="B13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IRT 50604  9L/ 4B</v>
      </c>
      <c r="C139" s="32">
        <v>46164</v>
      </c>
      <c r="E139">
        <v>4</v>
      </c>
      <c r="G139" t="e">
        <f>(entradas26[[#This Row],[PRECIO]]/entradas26[[#This Row],[CAN JUEGOS ]])</f>
        <v>#DIV/0!</v>
      </c>
      <c r="H139" t="s">
        <v>800</v>
      </c>
    </row>
    <row r="140" spans="1:8">
      <c r="A140">
        <v>6027</v>
      </c>
      <c r="B14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HISENSE K321UW/10B reemplazo 55 6L/3V/10B</v>
      </c>
      <c r="C140" s="32">
        <v>46165</v>
      </c>
      <c r="E140">
        <v>10</v>
      </c>
      <c r="G140" t="e">
        <f>(entradas26[[#This Row],[PRECIO]]/entradas26[[#This Row],[CAN JUEGOS ]])</f>
        <v>#DIV/0!</v>
      </c>
      <c r="H140" t="s">
        <v>800</v>
      </c>
    </row>
    <row r="141" spans="1:8">
      <c r="A141">
        <v>8082</v>
      </c>
      <c r="B14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L55M5-5ASP-XIAOMI 4B/12L/3V</v>
      </c>
      <c r="C141" s="32">
        <v>46171</v>
      </c>
      <c r="D141">
        <v>20</v>
      </c>
      <c r="F141">
        <v>1280</v>
      </c>
      <c r="G141">
        <f>(entradas26[[#This Row],[PRECIO]]/entradas26[[#This Row],[CAN JUEGOS ]])</f>
        <v>64</v>
      </c>
      <c r="H141" t="s">
        <v>887</v>
      </c>
    </row>
    <row r="142" spans="1:8">
      <c r="A142">
        <v>6030</v>
      </c>
      <c r="B14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65U9700 TOSHIBA 2B</v>
      </c>
      <c r="C142" s="32">
        <v>46171</v>
      </c>
      <c r="D142">
        <v>20</v>
      </c>
      <c r="F142">
        <v>2320</v>
      </c>
      <c r="G142">
        <f>(entradas26[[#This Row],[PRECIO]]/entradas26[[#This Row],[CAN JUEGOS ]])</f>
        <v>116</v>
      </c>
      <c r="H142" t="s">
        <v>887</v>
      </c>
    </row>
    <row r="143" spans="1:8">
      <c r="A143">
        <v>1012</v>
      </c>
      <c r="B14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32LB620B-32LF620B -3B/6V/6L</v>
      </c>
      <c r="C143" s="32">
        <v>46171</v>
      </c>
      <c r="D143">
        <v>20</v>
      </c>
      <c r="F143">
        <v>1200</v>
      </c>
      <c r="G143">
        <f>(entradas26[[#This Row],[PRECIO]]/entradas26[[#This Row],[CAN JUEGOS ]])</f>
        <v>60</v>
      </c>
      <c r="H143" t="s">
        <v>887</v>
      </c>
    </row>
    <row r="144" spans="1:8">
      <c r="A144">
        <v>2021</v>
      </c>
      <c r="B14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UN40F5000-F6400/14 B</v>
      </c>
      <c r="C144" s="32">
        <v>46171</v>
      </c>
      <c r="D144">
        <v>20</v>
      </c>
      <c r="F144">
        <v>3480</v>
      </c>
      <c r="G144">
        <f>(entradas26[[#This Row],[PRECIO]]/entradas26[[#This Row],[CAN JUEGOS ]])</f>
        <v>174</v>
      </c>
      <c r="H144" t="s">
        <v>887</v>
      </c>
    </row>
    <row r="145" spans="1:8">
      <c r="A145">
        <v>2045</v>
      </c>
      <c r="B14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UN49KU6500-UN49MU6500/2B</v>
      </c>
      <c r="C145" s="32">
        <v>46171</v>
      </c>
      <c r="D145">
        <v>20</v>
      </c>
      <c r="F145">
        <v>2400</v>
      </c>
      <c r="G145">
        <f>(entradas26[[#This Row],[PRECIO]]/entradas26[[#This Row],[CAN JUEGOS ]])</f>
        <v>120</v>
      </c>
      <c r="H145" t="s">
        <v>887</v>
      </c>
    </row>
    <row r="146" spans="1:8">
      <c r="A146">
        <v>4011</v>
      </c>
      <c r="B14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DAEWO L43V780BTS 3B/7LED/3V</v>
      </c>
      <c r="C146" s="32">
        <v>46171</v>
      </c>
      <c r="D146">
        <v>20</v>
      </c>
      <c r="F146">
        <v>680</v>
      </c>
      <c r="G146">
        <f>(entradas26[[#This Row],[PRECIO]]/entradas26[[#This Row],[CAN JUEGOS ]])</f>
        <v>34</v>
      </c>
      <c r="H146" t="s">
        <v>887</v>
      </c>
    </row>
    <row r="147" spans="1:8">
      <c r="A147">
        <v>3003</v>
      </c>
      <c r="B14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40B8000 4B/12LED/3V</v>
      </c>
      <c r="C147" s="32">
        <v>46171</v>
      </c>
      <c r="D147">
        <v>20</v>
      </c>
      <c r="F147">
        <v>1560</v>
      </c>
      <c r="G147">
        <f>(entradas26[[#This Row],[PRECIO]]/entradas26[[#This Row],[CAN JUEGOS ]])</f>
        <v>78</v>
      </c>
      <c r="H147" t="s">
        <v>887</v>
      </c>
    </row>
    <row r="148" spans="1:8">
      <c r="A148">
        <v>3006</v>
      </c>
      <c r="B14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42B8000 4B/15LEDS/3V</v>
      </c>
      <c r="C148" s="32">
        <v>46171</v>
      </c>
      <c r="D148">
        <v>20</v>
      </c>
      <c r="F148">
        <v>1960</v>
      </c>
      <c r="G148">
        <f>(entradas26[[#This Row],[PRECIO]]/entradas26[[#This Row],[CAN JUEGOS ]])</f>
        <v>98</v>
      </c>
      <c r="H148" t="s">
        <v>887</v>
      </c>
    </row>
    <row r="149" spans="1:8">
      <c r="A149">
        <v>5002</v>
      </c>
      <c r="B14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PANASONIC 7L/3V/3B</v>
      </c>
      <c r="C149" s="32">
        <v>46171</v>
      </c>
      <c r="D149">
        <v>20</v>
      </c>
      <c r="F149">
        <v>800</v>
      </c>
      <c r="G149">
        <f>(entradas26[[#This Row],[PRECIO]]/entradas26[[#This Row],[CAN JUEGOS ]])</f>
        <v>40</v>
      </c>
      <c r="H149" t="s">
        <v>887</v>
      </c>
    </row>
    <row r="150" spans="1:8">
      <c r="A150">
        <v>3021</v>
      </c>
      <c r="B15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 U6500 3V/6L/12B</v>
      </c>
      <c r="C150" s="32">
        <v>46171</v>
      </c>
      <c r="D150">
        <v>10</v>
      </c>
      <c r="F150">
        <v>1380</v>
      </c>
      <c r="G150">
        <f>(entradas26[[#This Row],[PRECIO]]/entradas26[[#This Row],[CAN JUEGOS ]])</f>
        <v>138</v>
      </c>
      <c r="H150" t="s">
        <v>887</v>
      </c>
    </row>
    <row r="151" spans="1:8">
      <c r="A151">
        <v>1048</v>
      </c>
      <c r="B15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LJ5000 /10L/3V/5B</v>
      </c>
      <c r="C151" s="32">
        <v>46171</v>
      </c>
      <c r="D151">
        <v>20</v>
      </c>
      <c r="F151">
        <v>1920</v>
      </c>
      <c r="G151">
        <f>(entradas26[[#This Row],[PRECIO]]/entradas26[[#This Row],[CAN JUEGOS ]])</f>
        <v>96</v>
      </c>
      <c r="H151" t="s">
        <v>887</v>
      </c>
    </row>
    <row r="152" spans="1:8">
      <c r="A152">
        <v>2075</v>
      </c>
      <c r="B15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UN55NU7100-UN55RU7100/2B EDGE</v>
      </c>
      <c r="C152" s="32">
        <v>46171</v>
      </c>
      <c r="D152">
        <v>40</v>
      </c>
      <c r="F152">
        <v>2800</v>
      </c>
      <c r="G152">
        <f>(entradas26[[#This Row],[PRECIO]]/entradas26[[#This Row],[CAN JUEGOS ]])</f>
        <v>70</v>
      </c>
      <c r="H152" t="s">
        <v>887</v>
      </c>
    </row>
    <row r="153" spans="1:8">
      <c r="A153">
        <v>8024</v>
      </c>
      <c r="B15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39 CHANCHONG CHIQ/3B</v>
      </c>
      <c r="C153" s="32">
        <v>46171</v>
      </c>
      <c r="D153">
        <v>20</v>
      </c>
      <c r="F153">
        <v>680</v>
      </c>
      <c r="G153">
        <f>(entradas26[[#This Row],[PRECIO]]/entradas26[[#This Row],[CAN JUEGOS ]])</f>
        <v>34</v>
      </c>
      <c r="H153" t="s">
        <v>887</v>
      </c>
    </row>
    <row r="154" spans="1:8">
      <c r="A154">
        <v>6008</v>
      </c>
      <c r="B15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54" s="32">
        <v>46171</v>
      </c>
      <c r="D154">
        <v>20</v>
      </c>
      <c r="F154">
        <v>1400</v>
      </c>
      <c r="G154">
        <f>(entradas26[[#This Row],[PRECIO]]/entradas26[[#This Row],[CAN JUEGOS ]])</f>
        <v>70</v>
      </c>
      <c r="H154" t="s">
        <v>887</v>
      </c>
    </row>
    <row r="155" spans="1:8">
      <c r="A155">
        <v>3000</v>
      </c>
      <c r="B15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32B8000 3B/10LED/3V </v>
      </c>
      <c r="C155" s="32">
        <v>46171</v>
      </c>
      <c r="D155">
        <v>20</v>
      </c>
      <c r="F155">
        <v>1000</v>
      </c>
      <c r="G155">
        <f>(entradas26[[#This Row],[PRECIO]]/entradas26[[#This Row],[CAN JUEGOS ]])</f>
        <v>50</v>
      </c>
      <c r="H155" t="s">
        <v>887</v>
      </c>
    </row>
    <row r="156" spans="1:8">
      <c r="A156">
        <v>6131</v>
      </c>
      <c r="B15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56" s="32">
        <v>46171</v>
      </c>
      <c r="E156">
        <v>200</v>
      </c>
      <c r="G156" t="e">
        <f>(entradas26[[#This Row],[PRECIO]]/entradas26[[#This Row],[CAN JUEGOS ]])</f>
        <v>#DIV/0!</v>
      </c>
      <c r="H156" t="s">
        <v>887</v>
      </c>
    </row>
    <row r="157" spans="1:8">
      <c r="A157">
        <v>8038</v>
      </c>
      <c r="B15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42CD2000 CHANCHONG</v>
      </c>
      <c r="C157" s="32">
        <v>46171</v>
      </c>
      <c r="D157">
        <v>20</v>
      </c>
      <c r="F157">
        <v>2000</v>
      </c>
      <c r="G157">
        <f>(entradas26[[#This Row],[PRECIO]]/entradas26[[#This Row],[CAN JUEGOS ]])</f>
        <v>100</v>
      </c>
      <c r="H157" t="s">
        <v>887</v>
      </c>
    </row>
    <row r="158" spans="1:8">
      <c r="A158">
        <v>2083</v>
      </c>
      <c r="B15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QN 55 Q8CNAG 2B</v>
      </c>
      <c r="C158" s="32">
        <v>46171</v>
      </c>
      <c r="D158">
        <v>5</v>
      </c>
      <c r="F158">
        <v>1400</v>
      </c>
      <c r="G158">
        <f>(entradas26[[#This Row],[PRECIO]]/entradas26[[#This Row],[CAN JUEGOS ]])</f>
        <v>280</v>
      </c>
      <c r="H158" t="s">
        <v>887</v>
      </c>
    </row>
    <row r="159" spans="1:8">
      <c r="A159">
        <v>1074</v>
      </c>
      <c r="B15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 UN7100</v>
      </c>
      <c r="C159" s="32">
        <v>46171</v>
      </c>
      <c r="D159">
        <v>20</v>
      </c>
      <c r="F159">
        <v>1280</v>
      </c>
      <c r="G159">
        <f>(entradas26[[#This Row],[PRECIO]]/entradas26[[#This Row],[CAN JUEGOS ]])</f>
        <v>64</v>
      </c>
      <c r="H159" t="s">
        <v>887</v>
      </c>
    </row>
    <row r="160" spans="1:8">
      <c r="A160">
        <v>4011</v>
      </c>
      <c r="B16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DAEWO L43V780BTS 3B/7LED/3V</v>
      </c>
      <c r="C160" s="32">
        <v>46171</v>
      </c>
      <c r="E160">
        <v>3</v>
      </c>
      <c r="G160" t="e">
        <f>(entradas26[[#This Row],[PRECIO]]/entradas26[[#This Row],[CAN JUEGOS ]])</f>
        <v>#DIV/0!</v>
      </c>
      <c r="H160" t="s">
        <v>800</v>
      </c>
    </row>
    <row r="161" spans="1:8">
      <c r="A161">
        <v>1015</v>
      </c>
      <c r="B16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32LH500B-32LK500 3B/7L/3V</v>
      </c>
      <c r="C161" s="32">
        <v>46179</v>
      </c>
      <c r="E161">
        <v>3</v>
      </c>
      <c r="G161" t="e">
        <f>(entradas26[[#This Row],[PRECIO]]/entradas26[[#This Row],[CAN JUEGOS ]])</f>
        <v>#DIV/0!</v>
      </c>
      <c r="H161" t="s">
        <v>800</v>
      </c>
    </row>
    <row r="162" spans="1:8">
      <c r="A162">
        <v>2003</v>
      </c>
      <c r="B16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UN32F5000-SAMSUNG 5B</v>
      </c>
      <c r="C162" s="32">
        <v>46186</v>
      </c>
      <c r="E162">
        <v>5</v>
      </c>
      <c r="G162" t="e">
        <f>(entradas26[[#This Row],[PRECIO]]/entradas26[[#This Row],[CAN JUEGOS ]])</f>
        <v>#DIV/0!</v>
      </c>
      <c r="H162" t="s">
        <v>800</v>
      </c>
    </row>
    <row r="163" spans="1:8">
      <c r="A163">
        <v>6027</v>
      </c>
      <c r="B16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HISENSE K321UW/10B reemplazo 55 6L/3V/10B</v>
      </c>
      <c r="C163" s="32">
        <v>46186</v>
      </c>
      <c r="E163">
        <v>10</v>
      </c>
      <c r="G163" t="e">
        <f>(entradas26[[#This Row],[PRECIO]]/entradas26[[#This Row],[CAN JUEGOS ]])</f>
        <v>#DIV/0!</v>
      </c>
      <c r="H163" t="s">
        <v>800</v>
      </c>
    </row>
    <row r="164" spans="1:8">
      <c r="A164">
        <v>2072</v>
      </c>
      <c r="B16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UN55H6400/12B</v>
      </c>
      <c r="C164" s="32">
        <v>46188</v>
      </c>
      <c r="E164">
        <v>12</v>
      </c>
      <c r="G164" t="e">
        <f>(entradas26[[#This Row],[PRECIO]]/entradas26[[#This Row],[CAN JUEGOS ]])</f>
        <v>#DIV/0!</v>
      </c>
      <c r="H164" t="s">
        <v>800</v>
      </c>
    </row>
    <row r="165" spans="1:8">
      <c r="A165">
        <v>1033</v>
      </c>
      <c r="B16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42LB6200-42LF6200 8B/6V</v>
      </c>
      <c r="C165" s="32">
        <v>46197</v>
      </c>
      <c r="D165">
        <v>2</v>
      </c>
      <c r="F165">
        <v>280</v>
      </c>
      <c r="G165">
        <f>(entradas26[[#This Row],[PRECIO]]/entradas26[[#This Row],[CAN JUEGOS ]])</f>
        <v>140</v>
      </c>
      <c r="H165" t="s">
        <v>810</v>
      </c>
    </row>
    <row r="166" spans="1:8">
      <c r="A166">
        <v>3018</v>
      </c>
      <c r="B16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 HAIER 9B/5L</v>
      </c>
      <c r="C166" s="32">
        <v>46192</v>
      </c>
      <c r="E166">
        <v>9</v>
      </c>
      <c r="G166" t="e">
        <f>(entradas26[[#This Row],[PRECIO]]/entradas26[[#This Row],[CAN JUEGOS ]])</f>
        <v>#DIV/0!</v>
      </c>
      <c r="H166" t="s">
        <v>800</v>
      </c>
    </row>
    <row r="167" spans="1:8">
      <c r="A167">
        <v>3009</v>
      </c>
      <c r="B16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43U6600 4B/ 8L/3V DIF 180º</v>
      </c>
      <c r="C167" s="32">
        <v>46196</v>
      </c>
      <c r="E167">
        <v>4</v>
      </c>
      <c r="G167" t="e">
        <f>(entradas26[[#This Row],[PRECIO]]/entradas26[[#This Row],[CAN JUEGOS ]])</f>
        <v>#DIV/0!</v>
      </c>
      <c r="H167" t="s">
        <v>800</v>
      </c>
    </row>
    <row r="168" spans="1:8">
      <c r="A168">
        <v>2072</v>
      </c>
      <c r="B16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UN55H6400/12B</v>
      </c>
      <c r="C168" s="32">
        <v>46198</v>
      </c>
      <c r="E168">
        <v>12</v>
      </c>
      <c r="G168" t="e">
        <f>(entradas26[[#This Row],[PRECIO]]/entradas26[[#This Row],[CAN JUEGOS ]])</f>
        <v>#DIV/0!</v>
      </c>
      <c r="H168" t="s">
        <v>800</v>
      </c>
    </row>
    <row r="169" spans="1:8">
      <c r="A169">
        <v>1033</v>
      </c>
      <c r="B16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42LB6200-42LF6200 8B/6V</v>
      </c>
      <c r="C169" s="32">
        <v>46203</v>
      </c>
      <c r="D169">
        <v>30</v>
      </c>
      <c r="F169">
        <v>3240</v>
      </c>
      <c r="G169">
        <f>(entradas26[[#This Row],[PRECIO]]/entradas26[[#This Row],[CAN JUEGOS ]])</f>
        <v>108</v>
      </c>
      <c r="H169" t="s">
        <v>927</v>
      </c>
    </row>
    <row r="170" spans="1:8">
      <c r="A170">
        <v>1066</v>
      </c>
      <c r="B17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47LA6130-12B/3V</v>
      </c>
      <c r="C170" s="32">
        <v>46203</v>
      </c>
      <c r="D170">
        <v>20</v>
      </c>
      <c r="F170">
        <v>1920</v>
      </c>
      <c r="G170">
        <f>(entradas26[[#This Row],[PRECIO]]/entradas26[[#This Row],[CAN JUEGOS ]])</f>
        <v>96</v>
      </c>
      <c r="H170" t="s">
        <v>927</v>
      </c>
    </row>
    <row r="171" spans="1:8">
      <c r="A171">
        <v>2012</v>
      </c>
      <c r="B17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UN40J5000 -40J5200-40M5000 8L/3B</v>
      </c>
      <c r="C171" s="32">
        <v>46203</v>
      </c>
      <c r="D171">
        <v>20</v>
      </c>
      <c r="F171">
        <v>1320</v>
      </c>
      <c r="G171">
        <f>(entradas26[[#This Row],[PRECIO]]/entradas26[[#This Row],[CAN JUEGOS ]])</f>
        <v>66</v>
      </c>
      <c r="H171" t="s">
        <v>927</v>
      </c>
    </row>
    <row r="172" spans="1:8">
      <c r="A172">
        <v>2078</v>
      </c>
      <c r="B17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UN55NU7095G/9L/4B</v>
      </c>
      <c r="C172" s="32">
        <v>46203</v>
      </c>
      <c r="D172">
        <v>20</v>
      </c>
      <c r="F172">
        <v>1280</v>
      </c>
      <c r="G172">
        <f>(entradas26[[#This Row],[PRECIO]]/entradas26[[#This Row],[CAN JUEGOS ]])</f>
        <v>64</v>
      </c>
      <c r="H172" t="s">
        <v>927</v>
      </c>
    </row>
    <row r="173" spans="1:8">
      <c r="A173">
        <v>2093</v>
      </c>
      <c r="B17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UN60FH6003/12B</v>
      </c>
      <c r="C173" s="32">
        <v>46203</v>
      </c>
      <c r="D173">
        <v>10</v>
      </c>
      <c r="F173">
        <v>1600</v>
      </c>
      <c r="G173">
        <f>(entradas26[[#This Row],[PRECIO]]/entradas26[[#This Row],[CAN JUEGOS ]])</f>
        <v>160</v>
      </c>
      <c r="H173" t="s">
        <v>927</v>
      </c>
    </row>
    <row r="174" spans="1:8">
      <c r="A174">
        <v>2095</v>
      </c>
      <c r="B17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UN60AU8000G-60BU8000/2B</v>
      </c>
      <c r="C174" s="32">
        <v>46203</v>
      </c>
      <c r="D174">
        <v>20</v>
      </c>
      <c r="F174">
        <v>2000</v>
      </c>
      <c r="G174">
        <f>(entradas26[[#This Row],[PRECIO]]/entradas26[[#This Row],[CAN JUEGOS ]])</f>
        <v>100</v>
      </c>
      <c r="H174" t="s">
        <v>927</v>
      </c>
    </row>
    <row r="175" spans="1:8">
      <c r="A175">
        <v>2105</v>
      </c>
      <c r="B17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UN85AU8000G  4B EGDE</v>
      </c>
      <c r="C175" s="32">
        <v>46203</v>
      </c>
      <c r="D175">
        <v>20</v>
      </c>
      <c r="F175">
        <v>4560</v>
      </c>
      <c r="G175">
        <f>(entradas26[[#This Row],[PRECIO]]/entradas26[[#This Row],[CAN JUEGOS ]])</f>
        <v>228</v>
      </c>
      <c r="H175" t="s">
        <v>927</v>
      </c>
    </row>
    <row r="176" spans="1:8">
      <c r="A176">
        <v>4000</v>
      </c>
      <c r="B17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DAEWO V780-TCL 5L/6V -2B
MI L32M5-5ASP</v>
      </c>
      <c r="C176" s="32">
        <v>46203</v>
      </c>
      <c r="D176">
        <v>30</v>
      </c>
      <c r="F176">
        <v>600</v>
      </c>
      <c r="G176">
        <f>(entradas26[[#This Row],[PRECIO]]/entradas26[[#This Row],[CAN JUEGOS ]])</f>
        <v>20</v>
      </c>
      <c r="H176" t="s">
        <v>927</v>
      </c>
    </row>
    <row r="177" spans="1:8">
      <c r="A177">
        <v>4010</v>
      </c>
      <c r="B17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DAEWO S780 3B/8LED/3V</v>
      </c>
      <c r="C177" s="32">
        <v>46203</v>
      </c>
      <c r="D177">
        <v>20</v>
      </c>
      <c r="F177">
        <v>720</v>
      </c>
      <c r="G177">
        <f>(entradas26[[#This Row],[PRECIO]]/entradas26[[#This Row],[CAN JUEGOS ]])</f>
        <v>36</v>
      </c>
      <c r="H177" t="s">
        <v>927</v>
      </c>
    </row>
    <row r="178" spans="1:8">
      <c r="A178">
        <v>4015</v>
      </c>
      <c r="B17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49-DAeWO/ 9B EL JUEGO 1 PIN</v>
      </c>
      <c r="C178" s="32">
        <v>46203</v>
      </c>
      <c r="D178">
        <v>20</v>
      </c>
      <c r="F178">
        <v>1880</v>
      </c>
      <c r="G178">
        <f>(entradas26[[#This Row],[PRECIO]]/entradas26[[#This Row],[CAN JUEGOS ]])</f>
        <v>94</v>
      </c>
      <c r="H178" t="s">
        <v>927</v>
      </c>
    </row>
    <row r="179" spans="1:8">
      <c r="A179">
        <v>5000</v>
      </c>
      <c r="B17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KDL-32R425A SONY/3B</v>
      </c>
      <c r="C179" s="32">
        <v>46203</v>
      </c>
      <c r="D179">
        <v>20</v>
      </c>
      <c r="F179">
        <v>720</v>
      </c>
      <c r="G179">
        <f>(entradas26[[#This Row],[PRECIO]]/entradas26[[#This Row],[CAN JUEGOS ]])</f>
        <v>36</v>
      </c>
      <c r="H179" t="s">
        <v>927</v>
      </c>
    </row>
    <row r="180" spans="1:8">
      <c r="A180">
        <v>7000</v>
      </c>
      <c r="B18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IRT/6L/2B/6V</v>
      </c>
      <c r="C180" s="32">
        <v>46203</v>
      </c>
      <c r="D180">
        <v>30</v>
      </c>
      <c r="F180">
        <v>660</v>
      </c>
      <c r="G180">
        <f>(entradas26[[#This Row],[PRECIO]]/entradas26[[#This Row],[CAN JUEGOS ]])</f>
        <v>22</v>
      </c>
      <c r="H180" t="s">
        <v>927</v>
      </c>
    </row>
    <row r="181" spans="1:8">
      <c r="A181">
        <v>6012</v>
      </c>
      <c r="B18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49 MASTER G/8B DAEWOO L49S780BTS</v>
      </c>
      <c r="C181" s="32">
        <v>46203</v>
      </c>
      <c r="D181">
        <v>20</v>
      </c>
      <c r="F181">
        <v>1400</v>
      </c>
      <c r="G181">
        <f>(entradas26[[#This Row],[PRECIO]]/entradas26[[#This Row],[CAN JUEGOS ]])</f>
        <v>70</v>
      </c>
      <c r="H181" t="s">
        <v>927</v>
      </c>
    </row>
    <row r="182" spans="1:8">
      <c r="A182">
        <v>8067</v>
      </c>
      <c r="B18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50 PREMIER 6V/10L/4B EN PARALELO</v>
      </c>
      <c r="C182" s="32">
        <v>46203</v>
      </c>
      <c r="D182">
        <v>40</v>
      </c>
      <c r="F182">
        <v>2560</v>
      </c>
      <c r="G182">
        <f>(entradas26[[#This Row],[PRECIO]]/entradas26[[#This Row],[CAN JUEGOS ]])</f>
        <v>64</v>
      </c>
      <c r="H182" t="s">
        <v>927</v>
      </c>
    </row>
    <row r="183" spans="1:8">
      <c r="A183" t="s">
        <v>930</v>
      </c>
      <c r="B18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55W655D 14B/6L/3V</v>
      </c>
      <c r="C183" s="32">
        <v>46203</v>
      </c>
      <c r="D183">
        <v>10</v>
      </c>
      <c r="F183">
        <v>1480</v>
      </c>
      <c r="G183">
        <f>(entradas26[[#This Row],[PRECIO]]/entradas26[[#This Row],[CAN JUEGOS ]])</f>
        <v>148</v>
      </c>
      <c r="H183" t="s">
        <v>927</v>
      </c>
    </row>
    <row r="184" spans="1:8">
      <c r="A184">
        <v>1034</v>
      </c>
      <c r="B18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42 LA6600</v>
      </c>
      <c r="C184" s="32">
        <v>46203</v>
      </c>
      <c r="D184">
        <v>20</v>
      </c>
      <c r="F184">
        <v>1680</v>
      </c>
      <c r="G184">
        <f>(entradas26[[#This Row],[PRECIO]]/entradas26[[#This Row],[CAN JUEGOS ]])</f>
        <v>84</v>
      </c>
      <c r="H184" t="s">
        <v>927</v>
      </c>
    </row>
    <row r="185" spans="1:8">
      <c r="A185">
        <v>4003</v>
      </c>
      <c r="B18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32 DAEWOO 8L/3V - 3B</v>
      </c>
      <c r="C185" s="32">
        <v>46198</v>
      </c>
      <c r="E185">
        <v>3</v>
      </c>
      <c r="G185" t="e">
        <f>(entradas26[[#This Row],[PRECIO]]/entradas26[[#This Row],[CAN JUEGOS ]])</f>
        <v>#DIV/0!</v>
      </c>
      <c r="H185" t="s">
        <v>800</v>
      </c>
    </row>
    <row r="186" spans="1:8">
      <c r="A186">
        <v>4011</v>
      </c>
      <c r="B18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43 DAEWO L43V780BTS 3B/7LED/3V</v>
      </c>
      <c r="C186" s="32">
        <v>46199</v>
      </c>
      <c r="E186">
        <v>3</v>
      </c>
      <c r="G186" t="e">
        <f>(entradas26[[#This Row],[PRECIO]]/entradas26[[#This Row],[CAN JUEGOS ]])</f>
        <v>#DIV/0!</v>
      </c>
      <c r="H186" t="s">
        <v>800</v>
      </c>
    </row>
    <row r="187" spans="1:8">
      <c r="A187">
        <v>9002</v>
      </c>
      <c r="B18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75 JVC  KB527 14B/7L</v>
      </c>
      <c r="C187" s="32">
        <v>46200</v>
      </c>
      <c r="E187">
        <v>14</v>
      </c>
      <c r="G187" t="e">
        <f>(entradas26[[#This Row],[PRECIO]]/entradas26[[#This Row],[CAN JUEGOS ]])</f>
        <v>#DIV/0!</v>
      </c>
      <c r="H187" t="s">
        <v>800</v>
      </c>
    </row>
    <row r="188" spans="1:8">
      <c r="A188">
        <v>6024</v>
      </c>
      <c r="B18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 xml:space="preserve">55 U7700 TOSHIBA 12B  3V 6L </v>
      </c>
      <c r="C188" s="32">
        <v>46203</v>
      </c>
      <c r="E188">
        <v>12</v>
      </c>
      <c r="G188" t="e">
        <f>(entradas26[[#This Row],[PRECIO]]/entradas26[[#This Row],[CAN JUEGOS ]])</f>
        <v>#DIV/0!</v>
      </c>
      <c r="H188" t="s">
        <v>800</v>
      </c>
    </row>
    <row r="189" spans="1:8">
      <c r="A189">
        <v>6027</v>
      </c>
      <c r="B18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55 HISENSE K321UW/10B reemplazo 55 6L/3V/10B</v>
      </c>
      <c r="C189" s="32">
        <v>46205</v>
      </c>
      <c r="E189">
        <v>10</v>
      </c>
      <c r="G189" t="e">
        <f>(entradas26[[#This Row],[PRECIO]]/entradas26[[#This Row],[CAN JUEGOS ]])</f>
        <v>#DIV/0!</v>
      </c>
      <c r="H189" t="s">
        <v>800</v>
      </c>
    </row>
    <row r="190" spans="1:8">
      <c r="B19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0" s="32"/>
      <c r="G190" t="e">
        <f>(entradas26[[#This Row],[PRECIO]]/entradas26[[#This Row],[CAN JUEGOS ]])</f>
        <v>#DIV/0!</v>
      </c>
    </row>
    <row r="191" spans="1:8">
      <c r="B19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1" s="32"/>
      <c r="G191" t="e">
        <f>(entradas26[[#This Row],[PRECIO]]/entradas26[[#This Row],[CAN JUEGOS ]])</f>
        <v>#DIV/0!</v>
      </c>
    </row>
    <row r="192" spans="1:8">
      <c r="B19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2" s="32"/>
      <c r="G192" t="e">
        <f>(entradas26[[#This Row],[PRECIO]]/entradas26[[#This Row],[CAN JUEGOS ]])</f>
        <v>#DIV/0!</v>
      </c>
    </row>
    <row r="193" spans="2:7">
      <c r="B19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3" s="32"/>
      <c r="G193" t="e">
        <f>(entradas26[[#This Row],[PRECIO]]/entradas26[[#This Row],[CAN JUEGOS ]])</f>
        <v>#DIV/0!</v>
      </c>
    </row>
    <row r="194" spans="2:7">
      <c r="B19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4" s="32"/>
      <c r="G194" t="e">
        <f>(entradas26[[#This Row],[PRECIO]]/entradas26[[#This Row],[CAN JUEGOS ]])</f>
        <v>#DIV/0!</v>
      </c>
    </row>
    <row r="195" spans="2:7">
      <c r="B19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5" s="32"/>
      <c r="G195" t="e">
        <f>(entradas26[[#This Row],[PRECIO]]/entradas26[[#This Row],[CAN JUEGOS ]])</f>
        <v>#DIV/0!</v>
      </c>
    </row>
    <row r="196" spans="2:7">
      <c r="B19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6" s="32"/>
      <c r="G196" t="e">
        <f>(entradas26[[#This Row],[PRECIO]]/entradas26[[#This Row],[CAN JUEGOS ]])</f>
        <v>#DIV/0!</v>
      </c>
    </row>
    <row r="197" spans="2:7">
      <c r="B19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7" s="32"/>
      <c r="G197" t="e">
        <f>(entradas26[[#This Row],[PRECIO]]/entradas26[[#This Row],[CAN JUEGOS ]])</f>
        <v>#DIV/0!</v>
      </c>
    </row>
    <row r="198" spans="2:7">
      <c r="B19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8" s="32"/>
      <c r="G198" t="e">
        <f>(entradas26[[#This Row],[PRECIO]]/entradas26[[#This Row],[CAN JUEGOS ]])</f>
        <v>#DIV/0!</v>
      </c>
    </row>
    <row r="199" spans="2:7">
      <c r="B19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199" s="32"/>
      <c r="G199" t="e">
        <f>(entradas26[[#This Row],[PRECIO]]/entradas26[[#This Row],[CAN JUEGOS ]])</f>
        <v>#DIV/0!</v>
      </c>
    </row>
    <row r="200" spans="2:7">
      <c r="B20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0" s="32"/>
      <c r="G200" t="e">
        <f>(entradas26[[#This Row],[PRECIO]]/entradas26[[#This Row],[CAN JUEGOS ]])</f>
        <v>#DIV/0!</v>
      </c>
    </row>
    <row r="201" spans="2:7">
      <c r="B20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1" s="32"/>
      <c r="G201" t="e">
        <f>(entradas26[[#This Row],[PRECIO]]/entradas26[[#This Row],[CAN JUEGOS ]])</f>
        <v>#DIV/0!</v>
      </c>
    </row>
    <row r="202" spans="2:7">
      <c r="B20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2" s="32"/>
      <c r="G202" t="e">
        <f>(entradas26[[#This Row],[PRECIO]]/entradas26[[#This Row],[CAN JUEGOS ]])</f>
        <v>#DIV/0!</v>
      </c>
    </row>
    <row r="203" spans="2:7">
      <c r="B20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3" s="32"/>
      <c r="G203" t="e">
        <f>(entradas26[[#This Row],[PRECIO]]/entradas26[[#This Row],[CAN JUEGOS ]])</f>
        <v>#DIV/0!</v>
      </c>
    </row>
    <row r="204" spans="2:7">
      <c r="B20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4" s="32"/>
      <c r="G204" t="e">
        <f>(entradas26[[#This Row],[PRECIO]]/entradas26[[#This Row],[CAN JUEGOS ]])</f>
        <v>#DIV/0!</v>
      </c>
    </row>
    <row r="205" spans="2:7">
      <c r="B20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5" s="32"/>
      <c r="G205" t="e">
        <f>(entradas26[[#This Row],[PRECIO]]/entradas26[[#This Row],[CAN JUEGOS ]])</f>
        <v>#DIV/0!</v>
      </c>
    </row>
    <row r="206" spans="2:7">
      <c r="B20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6" s="32"/>
      <c r="G206" t="e">
        <f>(entradas26[[#This Row],[PRECIO]]/entradas26[[#This Row],[CAN JUEGOS ]])</f>
        <v>#DIV/0!</v>
      </c>
    </row>
    <row r="207" spans="2:7">
      <c r="B20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7" s="32"/>
      <c r="G207" t="e">
        <f>(entradas26[[#This Row],[PRECIO]]/entradas26[[#This Row],[CAN JUEGOS ]])</f>
        <v>#DIV/0!</v>
      </c>
    </row>
    <row r="208" spans="2:7">
      <c r="B20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8" s="32"/>
      <c r="G208" t="e">
        <f>(entradas26[[#This Row],[PRECIO]]/entradas26[[#This Row],[CAN JUEGOS ]])</f>
        <v>#DIV/0!</v>
      </c>
    </row>
    <row r="209" spans="2:7">
      <c r="B20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09" s="32"/>
      <c r="G209" t="e">
        <f>(entradas26[[#This Row],[PRECIO]]/entradas26[[#This Row],[CAN JUEGOS ]])</f>
        <v>#DIV/0!</v>
      </c>
    </row>
    <row r="210" spans="2:7">
      <c r="B21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0" s="32"/>
      <c r="G210" t="e">
        <f>(entradas26[[#This Row],[PRECIO]]/entradas26[[#This Row],[CAN JUEGOS ]])</f>
        <v>#DIV/0!</v>
      </c>
    </row>
    <row r="211" spans="2:7">
      <c r="B21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1" s="32"/>
      <c r="G211" t="e">
        <f>(entradas26[[#This Row],[PRECIO]]/entradas26[[#This Row],[CAN JUEGOS ]])</f>
        <v>#DIV/0!</v>
      </c>
    </row>
    <row r="212" spans="2:7">
      <c r="B21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2" s="32"/>
      <c r="G212" t="e">
        <f>(entradas26[[#This Row],[PRECIO]]/entradas26[[#This Row],[CAN JUEGOS ]])</f>
        <v>#DIV/0!</v>
      </c>
    </row>
    <row r="213" spans="2:7">
      <c r="B21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3" s="32"/>
      <c r="G213" t="e">
        <f>(entradas26[[#This Row],[PRECIO]]/entradas26[[#This Row],[CAN JUEGOS ]])</f>
        <v>#DIV/0!</v>
      </c>
    </row>
    <row r="214" spans="2:7">
      <c r="B21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4" s="32"/>
      <c r="G214" t="e">
        <f>(entradas26[[#This Row],[PRECIO]]/entradas26[[#This Row],[CAN JUEGOS ]])</f>
        <v>#DIV/0!</v>
      </c>
    </row>
    <row r="215" spans="2:7">
      <c r="B21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5" s="32"/>
      <c r="G215" t="e">
        <f>(entradas26[[#This Row],[PRECIO]]/entradas26[[#This Row],[CAN JUEGOS ]])</f>
        <v>#DIV/0!</v>
      </c>
    </row>
    <row r="216" spans="2:7">
      <c r="B21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6" s="32"/>
      <c r="G216" t="e">
        <f>(entradas26[[#This Row],[PRECIO]]/entradas26[[#This Row],[CAN JUEGOS ]])</f>
        <v>#DIV/0!</v>
      </c>
    </row>
    <row r="217" spans="2:7">
      <c r="B21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7" s="32"/>
      <c r="G217" t="e">
        <f>(entradas26[[#This Row],[PRECIO]]/entradas26[[#This Row],[CAN JUEGOS ]])</f>
        <v>#DIV/0!</v>
      </c>
    </row>
    <row r="218" spans="2:7">
      <c r="B21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8" s="32"/>
      <c r="G218" t="e">
        <f>(entradas26[[#This Row],[PRECIO]]/entradas26[[#This Row],[CAN JUEGOS ]])</f>
        <v>#DIV/0!</v>
      </c>
    </row>
    <row r="219" spans="2:7">
      <c r="B21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19" s="32"/>
      <c r="G219" t="e">
        <f>(entradas26[[#This Row],[PRECIO]]/entradas26[[#This Row],[CAN JUEGOS ]])</f>
        <v>#DIV/0!</v>
      </c>
    </row>
    <row r="220" spans="2:7">
      <c r="B22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0" s="32"/>
      <c r="G220" t="e">
        <f>(entradas26[[#This Row],[PRECIO]]/entradas26[[#This Row],[CAN JUEGOS ]])</f>
        <v>#DIV/0!</v>
      </c>
    </row>
    <row r="221" spans="2:7">
      <c r="B22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1" s="32"/>
      <c r="G221" t="e">
        <f>(entradas26[[#This Row],[PRECIO]]/entradas26[[#This Row],[CAN JUEGOS ]])</f>
        <v>#DIV/0!</v>
      </c>
    </row>
    <row r="222" spans="2:7">
      <c r="B22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2" s="32"/>
      <c r="G222" t="e">
        <f>(entradas26[[#This Row],[PRECIO]]/entradas26[[#This Row],[CAN JUEGOS ]])</f>
        <v>#DIV/0!</v>
      </c>
    </row>
    <row r="223" spans="2:7">
      <c r="B22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3" s="32"/>
      <c r="G223" t="e">
        <f>(entradas26[[#This Row],[PRECIO]]/entradas26[[#This Row],[CAN JUEGOS ]])</f>
        <v>#DIV/0!</v>
      </c>
    </row>
    <row r="224" spans="2:7">
      <c r="B22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4" s="32"/>
      <c r="G224" t="e">
        <f>(entradas26[[#This Row],[PRECIO]]/entradas26[[#This Row],[CAN JUEGOS ]])</f>
        <v>#DIV/0!</v>
      </c>
    </row>
    <row r="225" spans="2:7">
      <c r="B22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5" s="32"/>
      <c r="G225" t="e">
        <f>(entradas26[[#This Row],[PRECIO]]/entradas26[[#This Row],[CAN JUEGOS ]])</f>
        <v>#DIV/0!</v>
      </c>
    </row>
    <row r="226" spans="2:7">
      <c r="B22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6" s="32"/>
      <c r="G226" t="e">
        <f>(entradas26[[#This Row],[PRECIO]]/entradas26[[#This Row],[CAN JUEGOS ]])</f>
        <v>#DIV/0!</v>
      </c>
    </row>
    <row r="227" spans="2:7">
      <c r="B22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7" s="32"/>
      <c r="G227" t="e">
        <f>(entradas26[[#This Row],[PRECIO]]/entradas26[[#This Row],[CAN JUEGOS ]])</f>
        <v>#DIV/0!</v>
      </c>
    </row>
    <row r="228" spans="2:7">
      <c r="B22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8" s="32"/>
      <c r="G228" t="e">
        <f>(entradas26[[#This Row],[PRECIO]]/entradas26[[#This Row],[CAN JUEGOS ]])</f>
        <v>#DIV/0!</v>
      </c>
    </row>
    <row r="229" spans="2:7">
      <c r="B22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29" s="32"/>
      <c r="G229" t="e">
        <f>(entradas26[[#This Row],[PRECIO]]/entradas26[[#This Row],[CAN JUEGOS ]])</f>
        <v>#DIV/0!</v>
      </c>
    </row>
    <row r="230" spans="2:7">
      <c r="B23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0" s="32"/>
      <c r="G230" t="e">
        <f>(entradas26[[#This Row],[PRECIO]]/entradas26[[#This Row],[CAN JUEGOS ]])</f>
        <v>#DIV/0!</v>
      </c>
    </row>
    <row r="231" spans="2:7">
      <c r="B23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1" s="32"/>
      <c r="G231" t="e">
        <f>(entradas26[[#This Row],[PRECIO]]/entradas26[[#This Row],[CAN JUEGOS ]])</f>
        <v>#DIV/0!</v>
      </c>
    </row>
    <row r="232" spans="2:7">
      <c r="B23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2" s="32"/>
      <c r="G232" t="e">
        <f>(entradas26[[#This Row],[PRECIO]]/entradas26[[#This Row],[CAN JUEGOS ]])</f>
        <v>#DIV/0!</v>
      </c>
    </row>
    <row r="233" spans="2:7">
      <c r="B23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3" s="32"/>
      <c r="G233" t="e">
        <f>(entradas26[[#This Row],[PRECIO]]/entradas26[[#This Row],[CAN JUEGOS ]])</f>
        <v>#DIV/0!</v>
      </c>
    </row>
    <row r="234" spans="2:7">
      <c r="B23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4" s="32"/>
      <c r="G234" t="e">
        <f>(entradas26[[#This Row],[PRECIO]]/entradas26[[#This Row],[CAN JUEGOS ]])</f>
        <v>#DIV/0!</v>
      </c>
    </row>
    <row r="235" spans="2:7">
      <c r="B23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5" s="32"/>
      <c r="G235" t="e">
        <f>(entradas26[[#This Row],[PRECIO]]/entradas26[[#This Row],[CAN JUEGOS ]])</f>
        <v>#DIV/0!</v>
      </c>
    </row>
    <row r="236" spans="2:7">
      <c r="B23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6" s="32"/>
      <c r="G236" t="e">
        <f>(entradas26[[#This Row],[PRECIO]]/entradas26[[#This Row],[CAN JUEGOS ]])</f>
        <v>#DIV/0!</v>
      </c>
    </row>
    <row r="237" spans="2:7">
      <c r="B23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7" s="32"/>
      <c r="G237" t="e">
        <f>(entradas26[[#This Row],[PRECIO]]/entradas26[[#This Row],[CAN JUEGOS ]])</f>
        <v>#DIV/0!</v>
      </c>
    </row>
    <row r="238" spans="2:7">
      <c r="B23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8" s="32"/>
      <c r="G238" t="e">
        <f>(entradas26[[#This Row],[PRECIO]]/entradas26[[#This Row],[CAN JUEGOS ]])</f>
        <v>#DIV/0!</v>
      </c>
    </row>
    <row r="239" spans="2:7">
      <c r="B239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39" s="32"/>
      <c r="G239" t="e">
        <f>(entradas26[[#This Row],[PRECIO]]/entradas26[[#This Row],[CAN JUEGOS ]])</f>
        <v>#DIV/0!</v>
      </c>
    </row>
    <row r="240" spans="2:7">
      <c r="B24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0" s="32"/>
      <c r="G240" t="e">
        <f>(entradas26[[#This Row],[PRECIO]]/entradas26[[#This Row],[CAN JUEGOS ]])</f>
        <v>#DIV/0!</v>
      </c>
    </row>
    <row r="241" spans="2:7">
      <c r="B241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1" s="32"/>
      <c r="G241" t="e">
        <f>(entradas26[[#This Row],[PRECIO]]/entradas26[[#This Row],[CAN JUEGOS ]])</f>
        <v>#DIV/0!</v>
      </c>
    </row>
    <row r="242" spans="2:7">
      <c r="B242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2" s="32"/>
      <c r="G242" t="e">
        <f>(entradas26[[#This Row],[PRECIO]]/entradas26[[#This Row],[CAN JUEGOS ]])</f>
        <v>#DIV/0!</v>
      </c>
    </row>
    <row r="243" spans="2:7">
      <c r="B243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3" s="32"/>
      <c r="G243" t="e">
        <f>(entradas26[[#This Row],[PRECIO]]/entradas26[[#This Row],[CAN JUEGOS ]])</f>
        <v>#DIV/0!</v>
      </c>
    </row>
    <row r="244" spans="2:7">
      <c r="B244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4" s="32"/>
      <c r="G244" t="e">
        <f>(entradas26[[#This Row],[PRECIO]]/entradas26[[#This Row],[CAN JUEGOS ]])</f>
        <v>#DIV/0!</v>
      </c>
    </row>
    <row r="245" spans="2:7">
      <c r="B245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5" s="32"/>
      <c r="G245" t="e">
        <f>(entradas26[[#This Row],[PRECIO]]/entradas26[[#This Row],[CAN JUEGOS ]])</f>
        <v>#DIV/0!</v>
      </c>
    </row>
    <row r="246" spans="2:7">
      <c r="B246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6" s="32"/>
      <c r="G246" t="e">
        <f>(entradas26[[#This Row],[PRECIO]]/entradas26[[#This Row],[CAN JUEGOS ]])</f>
        <v>#DIV/0!</v>
      </c>
    </row>
    <row r="247" spans="2:7">
      <c r="B247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7" s="32"/>
      <c r="G247" t="e">
        <f>(entradas26[[#This Row],[PRECIO]]/entradas26[[#This Row],[CAN JUEGOS ]])</f>
        <v>#DIV/0!</v>
      </c>
    </row>
    <row r="248" spans="2:7">
      <c r="B248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C248" s="32"/>
      <c r="G248" t="e">
        <f>(entradas26[[#This Row],[PRECIO]]/entradas26[[#This Row],[CAN JUEGOS ]])</f>
        <v>#DIV/0!</v>
      </c>
    </row>
    <row r="249" spans="2:7">
      <c r="B24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49" t="e">
        <f>(entradas26[[#This Row],[PRECIO]]/entradas26[[#This Row],[CAN JUEGOS ]])</f>
        <v>#DIV/0!</v>
      </c>
    </row>
    <row r="250" spans="2:7">
      <c r="B250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0" t="e">
        <f>(entradas26[[#This Row],[PRECIO]]/entradas26[[#This Row],[CAN JUEGOS ]])</f>
        <v>#DIV/0!</v>
      </c>
    </row>
    <row r="251" spans="2:7">
      <c r="B251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1" t="e">
        <f>(entradas26[[#This Row],[PRECIO]]/entradas26[[#This Row],[CAN JUEGOS ]])</f>
        <v>#DIV/0!</v>
      </c>
    </row>
    <row r="252" spans="2:7">
      <c r="B252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2" t="e">
        <f>(entradas26[[#This Row],[PRECIO]]/entradas26[[#This Row],[CAN JUEGOS ]])</f>
        <v>#DIV/0!</v>
      </c>
    </row>
    <row r="253" spans="2:7">
      <c r="B253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3" t="e">
        <f>(entradas26[[#This Row],[PRECIO]]/entradas26[[#This Row],[CAN JUEGOS ]])</f>
        <v>#DIV/0!</v>
      </c>
    </row>
    <row r="254" spans="2:7">
      <c r="B254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4" t="e">
        <f>(entradas26[[#This Row],[PRECIO]]/entradas26[[#This Row],[CAN JUEGOS ]])</f>
        <v>#DIV/0!</v>
      </c>
    </row>
    <row r="255" spans="2:7">
      <c r="B255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5" t="e">
        <f>(entradas26[[#This Row],[PRECIO]]/entradas26[[#This Row],[CAN JUEGOS ]])</f>
        <v>#DIV/0!</v>
      </c>
    </row>
    <row r="256" spans="2:7">
      <c r="B25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6" t="e">
        <f>(entradas26[[#This Row],[PRECIO]]/entradas26[[#This Row],[CAN JUEGOS ]])</f>
        <v>#DIV/0!</v>
      </c>
    </row>
    <row r="257" spans="2:7">
      <c r="B257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7" t="e">
        <f>(entradas26[[#This Row],[PRECIO]]/entradas26[[#This Row],[CAN JUEGOS ]])</f>
        <v>#DIV/0!</v>
      </c>
    </row>
    <row r="258" spans="2:7">
      <c r="B258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8" t="e">
        <f>(entradas26[[#This Row],[PRECIO]]/entradas26[[#This Row],[CAN JUEGOS ]])</f>
        <v>#DIV/0!</v>
      </c>
    </row>
    <row r="259" spans="2:7">
      <c r="B259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59" t="e">
        <f>(entradas26[[#This Row],[PRECIO]]/entradas26[[#This Row],[CAN JUEGOS ]])</f>
        <v>#DIV/0!</v>
      </c>
    </row>
    <row r="260" spans="2:7">
      <c r="B260" s="26" t="str">
        <f>IFERROR(VLOOKUP(entradas26[[#This Row],[CODIGO]],LG26V[],2,(FALSE)),IFERROR(VLOOKUP(entradas26[[#This Row],[CODIGO]],samgung26[],2,(FALSE)),IFERROR(VLOOKUP(entradas26[[#This Row],[CODIGO]],sony26[],2,(FALSE)),IFERROR(VLOOKUP(entradas26[[#This Row],[CODIGO]],haier26[],2,(FALSE)),IFERROR(VLOOKUP(entradas26[[#This Row],[CODIGO]],daewoo26[],2,(FALSE)),IFERROR(VLOOKUP(entradas26[[#This Row],[CODIGO]],toshiba26[],2,(FALSE)),IFERROR(VLOOKUP(entradas26[[#This Row],[CODIGO]],philips26[],2,(FALSE)),IFERROR(VLOOKUP(entradas26[[#This Row],[CODIGO]],chino26[],2,(FALSE)),IFERROR(VLOOKUP(entradas26[[#This Row],[CODIGO]],aocyjvc26[],2,(FALSE)),IFERROR(VLOOKUP(entradas26[[#This Row],[CODIGO]],premier26[],2,(FALSE)),IFERROR(VLOOKUP(entradas26[[#This Row],[CODIGO]],MASTERG26[],2,(FALSE)),IFERROR(VLOOKUP(entradas26[[#This Row],[CODIGO]],SKY,2,(FALSE)),IFERROR(VLOOKUP(entradas26[[#This Row],[CODIGO]],HISENSE26[],2,(FALSE)),("No existe"))))))))))))))</f>
        <v>No existe</v>
      </c>
      <c r="G260" t="e">
        <f>(entradas26[[#This Row],[PRECIO]]/entradas26[[#This Row],[CAN JUEGOS ]])</f>
        <v>#DIV/0!</v>
      </c>
    </row>
  </sheetData>
  <mergeCells count="1">
    <mergeCell ref="A2:H5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view="pageLayout" topLeftCell="A151" zoomScale="130" zoomScaleNormal="100" zoomScalePageLayoutView="130" workbookViewId="0">
      <selection activeCell="F84" sqref="F84"/>
    </sheetView>
  </sheetViews>
  <sheetFormatPr baseColWidth="10" defaultColWidth="11.42578125" defaultRowHeight="15"/>
  <cols>
    <col min="1" max="1" width="5.140625" style="100" customWidth="1"/>
    <col min="2" max="2" width="25.28515625" customWidth="1"/>
    <col min="3" max="3" width="7.28515625" style="63" customWidth="1"/>
    <col min="4" max="5" width="5.5703125" style="63" hidden="1" customWidth="1"/>
    <col min="6" max="6" width="14.85546875" customWidth="1"/>
    <col min="7" max="7" width="5.140625" style="100" customWidth="1"/>
    <col min="8" max="8" width="32.7109375" customWidth="1"/>
    <col min="9" max="9" width="5.5703125" style="122" customWidth="1"/>
    <col min="10" max="10" width="5.5703125" style="141" hidden="1" customWidth="1"/>
    <col min="11" max="11" width="4.140625" hidden="1" customWidth="1"/>
  </cols>
  <sheetData>
    <row r="1" spans="1:11" ht="14.1" customHeight="1">
      <c r="A1" s="252" t="s">
        <v>791</v>
      </c>
      <c r="B1" s="252"/>
      <c r="C1" s="252"/>
      <c r="D1" s="252"/>
      <c r="E1" s="252"/>
      <c r="F1" s="252"/>
      <c r="G1" s="252"/>
      <c r="H1" s="252"/>
      <c r="I1" s="252"/>
    </row>
    <row r="2" spans="1:11" ht="13.5" customHeight="1">
      <c r="A2" s="253" t="s">
        <v>0</v>
      </c>
      <c r="B2" s="253"/>
      <c r="C2" s="253"/>
      <c r="D2" s="139"/>
      <c r="E2" s="139"/>
      <c r="F2" s="65"/>
      <c r="G2" s="253" t="s">
        <v>617</v>
      </c>
      <c r="H2" s="253"/>
      <c r="I2" s="253"/>
    </row>
    <row r="3" spans="1:11" s="102" customFormat="1" ht="11.25" customHeight="1">
      <c r="A3" s="104" t="s">
        <v>616</v>
      </c>
      <c r="B3" s="105" t="s">
        <v>2</v>
      </c>
      <c r="C3" s="151" t="s">
        <v>615</v>
      </c>
      <c r="D3" s="143" t="s">
        <v>478</v>
      </c>
      <c r="E3" s="207"/>
      <c r="F3" s="101"/>
      <c r="G3" s="104" t="s">
        <v>616</v>
      </c>
      <c r="H3" s="105" t="s">
        <v>2</v>
      </c>
      <c r="I3" s="147" t="s">
        <v>607</v>
      </c>
      <c r="J3" s="145" t="s">
        <v>478</v>
      </c>
    </row>
    <row r="4" spans="1:11" s="102" customFormat="1" ht="11.25" customHeight="1">
      <c r="A4" s="106">
        <v>1000</v>
      </c>
      <c r="B4" s="107" t="s">
        <v>23</v>
      </c>
      <c r="C4" s="135">
        <f>LG!F5</f>
        <v>80</v>
      </c>
      <c r="D4" s="144">
        <v>80</v>
      </c>
      <c r="E4" s="168">
        <v>1.8</v>
      </c>
      <c r="F4" s="101"/>
      <c r="G4" s="110">
        <v>2000</v>
      </c>
      <c r="H4" s="111" t="s">
        <v>133</v>
      </c>
      <c r="I4" s="134">
        <f>SAMSUNG!F5</f>
        <v>80</v>
      </c>
      <c r="J4" s="144">
        <v>80</v>
      </c>
      <c r="K4" s="168">
        <v>1.6</v>
      </c>
    </row>
    <row r="5" spans="1:11" s="102" customFormat="1" ht="11.25" customHeight="1">
      <c r="A5" s="108">
        <v>1003</v>
      </c>
      <c r="B5" s="109" t="s">
        <v>25</v>
      </c>
      <c r="C5" s="135">
        <f>LG!F6</f>
        <v>80</v>
      </c>
      <c r="D5" s="144"/>
      <c r="E5" s="153">
        <v>1.38</v>
      </c>
      <c r="F5" s="101"/>
      <c r="G5" s="112">
        <v>2001</v>
      </c>
      <c r="H5" s="113" t="s">
        <v>136</v>
      </c>
      <c r="I5" s="134">
        <f>SAMSUNG!F6</f>
        <v>150</v>
      </c>
      <c r="J5" s="144"/>
      <c r="K5" s="153"/>
    </row>
    <row r="6" spans="1:11" s="102" customFormat="1" ht="11.25" customHeight="1">
      <c r="A6" s="106">
        <v>1006</v>
      </c>
      <c r="B6" s="107" t="s">
        <v>27</v>
      </c>
      <c r="C6" s="135">
        <f>LG!F7</f>
        <v>80</v>
      </c>
      <c r="D6" s="144"/>
      <c r="E6" s="168">
        <v>1.8</v>
      </c>
      <c r="F6" s="101"/>
      <c r="G6" s="110">
        <v>2003</v>
      </c>
      <c r="H6" s="111" t="s">
        <v>137</v>
      </c>
      <c r="I6" s="134">
        <f>SAMSUNG!F7</f>
        <v>130</v>
      </c>
      <c r="J6" s="144">
        <v>120</v>
      </c>
      <c r="K6" s="168">
        <v>3.9</v>
      </c>
    </row>
    <row r="7" spans="1:11" s="102" customFormat="1" ht="11.25" customHeight="1">
      <c r="A7" s="108">
        <v>1009</v>
      </c>
      <c r="B7" s="109" t="s">
        <v>29</v>
      </c>
      <c r="C7" s="135" t="e">
        <f>LG!#REF!</f>
        <v>#REF!</v>
      </c>
      <c r="D7" s="144"/>
      <c r="E7" s="153">
        <v>0</v>
      </c>
      <c r="F7" s="101"/>
      <c r="G7" s="112">
        <v>2006</v>
      </c>
      <c r="H7" s="114" t="s">
        <v>140</v>
      </c>
      <c r="I7" s="134">
        <f>SAMSUNG!F8</f>
        <v>90</v>
      </c>
      <c r="J7" s="144">
        <v>90</v>
      </c>
      <c r="K7" s="153">
        <v>1.6</v>
      </c>
    </row>
    <row r="8" spans="1:11" s="102" customFormat="1" ht="11.25" customHeight="1">
      <c r="A8" s="106">
        <v>1011</v>
      </c>
      <c r="B8" s="107" t="s">
        <v>30</v>
      </c>
      <c r="C8" s="135">
        <f>LG!F8</f>
        <v>70</v>
      </c>
      <c r="D8" s="144">
        <v>70</v>
      </c>
      <c r="E8" s="153">
        <v>1.3</v>
      </c>
      <c r="F8" s="101"/>
      <c r="G8" s="110">
        <v>2009</v>
      </c>
      <c r="H8" s="111" t="s">
        <v>142</v>
      </c>
      <c r="I8" s="134">
        <f>SAMSUNG!F9</f>
        <v>180</v>
      </c>
      <c r="J8" s="144">
        <v>180</v>
      </c>
      <c r="K8" s="168">
        <v>3.55</v>
      </c>
    </row>
    <row r="9" spans="1:11" s="102" customFormat="1" ht="11.25" customHeight="1">
      <c r="A9" s="108">
        <v>1012</v>
      </c>
      <c r="B9" s="109" t="s">
        <v>32</v>
      </c>
      <c r="C9" s="135">
        <f>LG!F9</f>
        <v>90</v>
      </c>
      <c r="D9" s="144">
        <v>80</v>
      </c>
      <c r="E9" s="168">
        <v>3</v>
      </c>
      <c r="F9" s="101"/>
      <c r="G9" s="110">
        <v>2008</v>
      </c>
      <c r="H9" s="153" t="s">
        <v>778</v>
      </c>
      <c r="I9" s="134">
        <f>SAMSUNG!F10</f>
        <v>200</v>
      </c>
      <c r="J9" s="144"/>
      <c r="K9" s="153">
        <v>5.4</v>
      </c>
    </row>
    <row r="10" spans="1:11" s="102" customFormat="1" ht="11.25" customHeight="1">
      <c r="A10" s="106">
        <v>1015</v>
      </c>
      <c r="B10" s="107" t="s">
        <v>34</v>
      </c>
      <c r="C10" s="135">
        <f>LG!F10</f>
        <v>80</v>
      </c>
      <c r="D10" s="144">
        <v>80</v>
      </c>
      <c r="E10" s="153">
        <v>1.8</v>
      </c>
      <c r="F10" s="101"/>
      <c r="G10" s="112">
        <v>2012</v>
      </c>
      <c r="H10" s="115" t="s">
        <v>144</v>
      </c>
      <c r="I10" s="134">
        <f>SAMSUNG!F11</f>
        <v>160</v>
      </c>
      <c r="J10" s="144">
        <v>160</v>
      </c>
      <c r="K10" s="168">
        <v>3.3</v>
      </c>
    </row>
    <row r="11" spans="1:11" s="102" customFormat="1" ht="11.25" customHeight="1">
      <c r="A11" s="108">
        <v>1018</v>
      </c>
      <c r="B11" s="109" t="s">
        <v>36</v>
      </c>
      <c r="C11" s="135">
        <f>LG!F11</f>
        <v>80</v>
      </c>
      <c r="D11" s="144">
        <v>80</v>
      </c>
      <c r="E11" s="168">
        <v>1.45</v>
      </c>
      <c r="F11" s="101"/>
      <c r="G11" s="110">
        <v>2013</v>
      </c>
      <c r="H11" s="116" t="s">
        <v>146</v>
      </c>
      <c r="I11" s="134">
        <f>SAMSUNG!F12</f>
        <v>250</v>
      </c>
      <c r="J11" s="144"/>
      <c r="K11" s="153"/>
    </row>
    <row r="12" spans="1:11" s="102" customFormat="1" ht="11.25" customHeight="1">
      <c r="A12" s="106">
        <v>1021</v>
      </c>
      <c r="B12" s="107" t="s">
        <v>38</v>
      </c>
      <c r="C12" s="135">
        <f>LG!F12</f>
        <v>120</v>
      </c>
      <c r="D12" s="144"/>
      <c r="E12" s="153"/>
      <c r="F12" s="101"/>
      <c r="G12" s="112">
        <v>2015</v>
      </c>
      <c r="H12" s="114" t="s">
        <v>148</v>
      </c>
      <c r="I12" s="134">
        <f>SAMSUNG!F13</f>
        <v>160</v>
      </c>
      <c r="J12" s="144">
        <v>160</v>
      </c>
      <c r="K12" s="168">
        <v>3.8</v>
      </c>
    </row>
    <row r="13" spans="1:11" s="102" customFormat="1" ht="11.25" customHeight="1">
      <c r="A13" s="108">
        <v>1024</v>
      </c>
      <c r="B13" s="109" t="s">
        <v>39</v>
      </c>
      <c r="C13" s="135">
        <f>LG!F13</f>
        <v>100</v>
      </c>
      <c r="D13" s="144">
        <v>90</v>
      </c>
      <c r="E13" s="168">
        <v>2.4</v>
      </c>
      <c r="F13" s="101"/>
      <c r="G13" s="110">
        <v>2018</v>
      </c>
      <c r="H13" s="111" t="s">
        <v>151</v>
      </c>
      <c r="I13" s="134">
        <f>SAMSUNG!F14</f>
        <v>160</v>
      </c>
      <c r="J13" s="144">
        <v>160</v>
      </c>
      <c r="K13" s="153">
        <v>2.71</v>
      </c>
    </row>
    <row r="14" spans="1:11" s="102" customFormat="1" ht="11.25" customHeight="1">
      <c r="A14" s="106">
        <v>1027</v>
      </c>
      <c r="B14" s="107" t="s">
        <v>41</v>
      </c>
      <c r="C14" s="135">
        <f>LG!F14</f>
        <v>120</v>
      </c>
      <c r="D14" s="144">
        <v>110</v>
      </c>
      <c r="E14" s="153">
        <v>3.7</v>
      </c>
      <c r="F14" s="101"/>
      <c r="G14" s="191">
        <v>2019</v>
      </c>
      <c r="H14" s="202" t="s">
        <v>853</v>
      </c>
      <c r="I14" s="193">
        <f>SAMSUNG!F15</f>
        <v>160</v>
      </c>
      <c r="J14" s="200"/>
      <c r="K14" s="168">
        <v>3.4</v>
      </c>
    </row>
    <row r="15" spans="1:11" s="102" customFormat="1" ht="11.25" customHeight="1">
      <c r="A15" s="108">
        <v>1028</v>
      </c>
      <c r="B15" s="109" t="s">
        <v>43</v>
      </c>
      <c r="C15" s="135">
        <f>LG!F15</f>
        <v>90</v>
      </c>
      <c r="D15" s="144">
        <v>90</v>
      </c>
      <c r="E15" s="168"/>
      <c r="F15" s="101"/>
      <c r="G15" s="112">
        <v>2021</v>
      </c>
      <c r="H15" s="114" t="s">
        <v>154</v>
      </c>
      <c r="I15" s="134">
        <f>SAMSUNG!F16</f>
        <v>260</v>
      </c>
      <c r="J15" s="144">
        <v>240</v>
      </c>
      <c r="K15" s="153">
        <v>8.6999999999999993</v>
      </c>
    </row>
    <row r="16" spans="1:11" s="102" customFormat="1" ht="11.25" customHeight="1">
      <c r="A16" s="106">
        <v>1030</v>
      </c>
      <c r="B16" s="107" t="s">
        <v>44</v>
      </c>
      <c r="C16" s="135">
        <f>LG!F16</f>
        <v>200</v>
      </c>
      <c r="D16" s="144"/>
      <c r="E16" s="153">
        <v>5.5</v>
      </c>
      <c r="F16" s="101"/>
      <c r="G16" s="110">
        <v>2024</v>
      </c>
      <c r="H16" s="111" t="s">
        <v>157</v>
      </c>
      <c r="I16" s="134">
        <f>SAMSUNG!F17</f>
        <v>180</v>
      </c>
      <c r="J16" s="144">
        <v>170</v>
      </c>
      <c r="K16" s="168">
        <v>2.1</v>
      </c>
    </row>
    <row r="17" spans="1:11" s="102" customFormat="1" ht="11.25" customHeight="1">
      <c r="A17" s="108">
        <v>1033</v>
      </c>
      <c r="B17" s="109" t="s">
        <v>46</v>
      </c>
      <c r="C17" s="135">
        <f>LG!F17</f>
        <v>180</v>
      </c>
      <c r="D17" s="144">
        <v>180</v>
      </c>
      <c r="E17" s="168">
        <v>5.4</v>
      </c>
      <c r="F17" s="101"/>
      <c r="G17" s="110">
        <v>2025</v>
      </c>
      <c r="H17" s="65" t="s">
        <v>756</v>
      </c>
      <c r="I17" s="134">
        <f>SAMSUNG!F18</f>
        <v>200</v>
      </c>
      <c r="J17" s="144"/>
      <c r="K17" s="153">
        <v>3.3</v>
      </c>
    </row>
    <row r="18" spans="1:11" s="102" customFormat="1" ht="11.25" customHeight="1">
      <c r="A18" s="198">
        <v>1034</v>
      </c>
      <c r="B18" s="224" t="s">
        <v>933</v>
      </c>
      <c r="C18" s="135">
        <f>LG!F18</f>
        <v>180</v>
      </c>
      <c r="D18" s="144"/>
      <c r="E18" s="153">
        <v>4.2</v>
      </c>
      <c r="F18" s="101"/>
      <c r="G18" s="112">
        <v>2027</v>
      </c>
      <c r="H18" s="114" t="s">
        <v>160</v>
      </c>
      <c r="I18" s="134">
        <f>SAMSUNG!F19</f>
        <v>180</v>
      </c>
      <c r="J18" s="144">
        <v>180</v>
      </c>
      <c r="K18" s="168">
        <v>4.5999999999999996</v>
      </c>
    </row>
    <row r="19" spans="1:11" s="102" customFormat="1" ht="11.25" customHeight="1">
      <c r="A19" s="106">
        <v>1036</v>
      </c>
      <c r="B19" s="107" t="s">
        <v>48</v>
      </c>
      <c r="C19" s="135">
        <f>LG!F19</f>
        <v>180</v>
      </c>
      <c r="D19" s="144">
        <v>180</v>
      </c>
      <c r="E19" s="168">
        <v>5.0999999999999996</v>
      </c>
      <c r="F19" s="101"/>
      <c r="G19" s="110">
        <v>2029</v>
      </c>
      <c r="H19" s="117" t="s">
        <v>163</v>
      </c>
      <c r="I19" s="134">
        <f>SAMSUNG!F20</f>
        <v>220</v>
      </c>
      <c r="J19" s="144"/>
      <c r="K19" s="153">
        <v>3.9</v>
      </c>
    </row>
    <row r="20" spans="1:11" s="102" customFormat="1" ht="11.25" customHeight="1">
      <c r="A20" s="108">
        <v>1039</v>
      </c>
      <c r="B20" s="109" t="s">
        <v>50</v>
      </c>
      <c r="C20" s="135">
        <f>LG!F20</f>
        <v>200</v>
      </c>
      <c r="D20" s="144">
        <v>180</v>
      </c>
      <c r="E20" s="153">
        <v>5.64</v>
      </c>
      <c r="F20" s="101"/>
      <c r="G20" s="112">
        <v>2030</v>
      </c>
      <c r="H20" s="114" t="s">
        <v>165</v>
      </c>
      <c r="I20" s="134">
        <f>SAMSUNG!F21</f>
        <v>150</v>
      </c>
      <c r="J20" s="144">
        <v>140</v>
      </c>
      <c r="K20" s="168"/>
    </row>
    <row r="21" spans="1:11" s="102" customFormat="1" ht="11.25" customHeight="1">
      <c r="A21" s="106">
        <v>1042</v>
      </c>
      <c r="B21" s="107" t="s">
        <v>52</v>
      </c>
      <c r="C21" s="135">
        <f>LG!F21</f>
        <v>250</v>
      </c>
      <c r="D21" s="144"/>
      <c r="E21" s="168">
        <v>7.85</v>
      </c>
      <c r="F21" s="101"/>
      <c r="G21" s="110">
        <v>2033</v>
      </c>
      <c r="H21" s="111" t="s">
        <v>166</v>
      </c>
      <c r="I21" s="134">
        <f>SAMSUNG!F22</f>
        <v>350</v>
      </c>
      <c r="J21" s="144">
        <v>320</v>
      </c>
      <c r="K21" s="153">
        <v>8.84</v>
      </c>
    </row>
    <row r="22" spans="1:11" s="102" customFormat="1" ht="11.25" customHeight="1">
      <c r="A22" s="108">
        <v>1045</v>
      </c>
      <c r="B22" s="109" t="s">
        <v>54</v>
      </c>
      <c r="C22" s="135">
        <f>LG!F22</f>
        <v>140</v>
      </c>
      <c r="D22" s="144">
        <v>120</v>
      </c>
      <c r="E22" s="153">
        <v>2.15</v>
      </c>
      <c r="F22" s="101"/>
      <c r="G22" s="112">
        <v>2036</v>
      </c>
      <c r="H22" s="114" t="s">
        <v>168</v>
      </c>
      <c r="I22" s="134">
        <f>SAMSUNG!F23</f>
        <v>220</v>
      </c>
      <c r="J22" s="144">
        <v>210</v>
      </c>
      <c r="K22" s="168">
        <v>4.0999999999999996</v>
      </c>
    </row>
    <row r="23" spans="1:11" s="102" customFormat="1" ht="11.25" customHeight="1">
      <c r="A23" s="106">
        <v>1048</v>
      </c>
      <c r="B23" s="107" t="s">
        <v>56</v>
      </c>
      <c r="C23" s="135">
        <f>LG!F23</f>
        <v>180</v>
      </c>
      <c r="D23" s="144">
        <v>180</v>
      </c>
      <c r="E23" s="168">
        <v>4.8</v>
      </c>
      <c r="F23" s="101"/>
      <c r="G23" s="110">
        <v>2039</v>
      </c>
      <c r="H23" s="110" t="s">
        <v>786</v>
      </c>
      <c r="I23" s="134">
        <f>SAMSUNG!F24</f>
        <v>280</v>
      </c>
      <c r="J23" s="144">
        <v>270</v>
      </c>
      <c r="K23" s="153">
        <v>5</v>
      </c>
    </row>
    <row r="24" spans="1:11" s="102" customFormat="1" ht="11.25" customHeight="1">
      <c r="A24" s="108">
        <v>1049</v>
      </c>
      <c r="B24" s="109" t="s">
        <v>57</v>
      </c>
      <c r="C24" s="135">
        <f>LG!F24</f>
        <v>180</v>
      </c>
      <c r="D24" s="144"/>
      <c r="E24" s="153">
        <v>3</v>
      </c>
      <c r="F24" s="101"/>
      <c r="G24" s="112">
        <v>2040</v>
      </c>
      <c r="H24" s="118" t="s">
        <v>173</v>
      </c>
      <c r="I24" s="134">
        <f>SAMSUNG!F25</f>
        <v>360</v>
      </c>
      <c r="J24" s="144">
        <v>360</v>
      </c>
      <c r="K24" s="168">
        <v>8.83</v>
      </c>
    </row>
    <row r="25" spans="1:11" s="102" customFormat="1" ht="11.25" customHeight="1">
      <c r="A25" s="106">
        <v>1057</v>
      </c>
      <c r="B25" s="107" t="s">
        <v>59</v>
      </c>
      <c r="C25" s="135">
        <f>LG!F25</f>
        <v>180</v>
      </c>
      <c r="D25" s="144">
        <v>150</v>
      </c>
      <c r="E25" s="168"/>
      <c r="F25" s="101"/>
      <c r="G25" s="110">
        <v>2042</v>
      </c>
      <c r="H25" s="111" t="s">
        <v>175</v>
      </c>
      <c r="I25" s="134">
        <f>SAMSUNG!F26</f>
        <v>260</v>
      </c>
      <c r="J25" s="144">
        <v>260</v>
      </c>
      <c r="K25" s="153">
        <v>5</v>
      </c>
    </row>
    <row r="26" spans="1:11" s="102" customFormat="1" ht="11.25" customHeight="1">
      <c r="A26" s="108">
        <v>1060</v>
      </c>
      <c r="B26" s="109" t="s">
        <v>60</v>
      </c>
      <c r="C26" s="135">
        <f>LG!F26</f>
        <v>180</v>
      </c>
      <c r="D26" s="144">
        <v>180</v>
      </c>
      <c r="E26" s="153">
        <v>3.3</v>
      </c>
      <c r="F26" s="101"/>
      <c r="G26" s="112">
        <v>2045</v>
      </c>
      <c r="H26" s="114" t="s">
        <v>177</v>
      </c>
      <c r="I26" s="134">
        <f>SAMSUNG!F27</f>
        <v>400</v>
      </c>
      <c r="J26" s="144"/>
      <c r="K26" s="168">
        <v>6</v>
      </c>
    </row>
    <row r="27" spans="1:11" s="102" customFormat="1" ht="11.25" customHeight="1">
      <c r="A27" s="106">
        <v>1063</v>
      </c>
      <c r="B27" s="107" t="s">
        <v>62</v>
      </c>
      <c r="C27" s="135">
        <f>LG!F27</f>
        <v>180</v>
      </c>
      <c r="D27" s="144">
        <v>180</v>
      </c>
      <c r="E27" s="168">
        <v>3.55</v>
      </c>
      <c r="F27" s="101"/>
      <c r="G27" s="110">
        <v>2048</v>
      </c>
      <c r="H27" s="111" t="s">
        <v>179</v>
      </c>
      <c r="I27" s="134">
        <f>SAMSUNG!F28</f>
        <v>180</v>
      </c>
      <c r="J27" s="144">
        <v>160</v>
      </c>
      <c r="K27" s="153">
        <v>2.7</v>
      </c>
    </row>
    <row r="28" spans="1:11" s="102" customFormat="1" ht="11.25" customHeight="1">
      <c r="A28" s="108">
        <v>1064</v>
      </c>
      <c r="B28" s="109" t="s">
        <v>64</v>
      </c>
      <c r="C28" s="135">
        <f>LG!F27</f>
        <v>180</v>
      </c>
      <c r="D28" s="144">
        <v>170</v>
      </c>
      <c r="E28" s="153">
        <v>4.5</v>
      </c>
      <c r="F28" s="101"/>
      <c r="G28" s="112">
        <v>2051</v>
      </c>
      <c r="H28" s="114" t="s">
        <v>181</v>
      </c>
      <c r="I28" s="134">
        <f>SAMSUNG!F29</f>
        <v>260</v>
      </c>
      <c r="J28" s="144">
        <v>260</v>
      </c>
      <c r="K28" s="168">
        <v>6.28</v>
      </c>
    </row>
    <row r="29" spans="1:11" s="102" customFormat="1" ht="11.25" customHeight="1">
      <c r="A29" s="108">
        <v>1065</v>
      </c>
      <c r="B29" s="184" t="s">
        <v>751</v>
      </c>
      <c r="C29" s="135">
        <f>LG!F28</f>
        <v>180</v>
      </c>
      <c r="D29" s="144"/>
      <c r="E29" s="168">
        <v>4.2</v>
      </c>
      <c r="F29" s="101"/>
      <c r="G29" s="110">
        <v>2054</v>
      </c>
      <c r="H29" s="111" t="s">
        <v>183</v>
      </c>
      <c r="I29" s="134">
        <f>SAMSUNG!F30</f>
        <v>280</v>
      </c>
      <c r="J29" s="144">
        <v>280</v>
      </c>
      <c r="K29" s="153">
        <v>4.4000000000000004</v>
      </c>
    </row>
    <row r="30" spans="1:11" s="102" customFormat="1" ht="11.25" customHeight="1">
      <c r="A30" s="106">
        <v>1066</v>
      </c>
      <c r="B30" s="107" t="s">
        <v>66</v>
      </c>
      <c r="C30" s="135">
        <f>LG!F30</f>
        <v>240</v>
      </c>
      <c r="D30" s="144">
        <v>230</v>
      </c>
      <c r="E30" s="153">
        <v>4.8</v>
      </c>
      <c r="F30" s="101"/>
      <c r="G30" s="112">
        <v>2057</v>
      </c>
      <c r="H30" s="114" t="s">
        <v>185</v>
      </c>
      <c r="I30" s="134">
        <f>SAMSUNG!F31</f>
        <v>400</v>
      </c>
      <c r="J30" s="144">
        <v>390</v>
      </c>
      <c r="K30" s="168">
        <v>11.3</v>
      </c>
    </row>
    <row r="31" spans="1:11" s="102" customFormat="1" ht="11.25" customHeight="1">
      <c r="A31" s="108">
        <v>1067</v>
      </c>
      <c r="B31" s="109" t="s">
        <v>68</v>
      </c>
      <c r="C31" s="135">
        <f>LG!F31</f>
        <v>250</v>
      </c>
      <c r="D31" s="144"/>
      <c r="E31" s="168">
        <v>4.5999999999999996</v>
      </c>
      <c r="F31" s="101"/>
      <c r="G31" s="110">
        <v>2060</v>
      </c>
      <c r="H31" s="119" t="s">
        <v>187</v>
      </c>
      <c r="I31" s="134">
        <f>SAMSUNG!F32</f>
        <v>300</v>
      </c>
      <c r="J31" s="144">
        <v>290</v>
      </c>
      <c r="K31" s="153">
        <v>5.2</v>
      </c>
    </row>
    <row r="32" spans="1:11" s="102" customFormat="1" ht="11.25" customHeight="1">
      <c r="A32" s="106">
        <v>1069</v>
      </c>
      <c r="B32" s="107" t="s">
        <v>69</v>
      </c>
      <c r="C32" s="135">
        <f>LG!F32</f>
        <v>250</v>
      </c>
      <c r="D32" s="144">
        <v>260</v>
      </c>
      <c r="E32" s="153">
        <v>6.1</v>
      </c>
      <c r="F32" s="101"/>
      <c r="G32" s="112">
        <v>2063</v>
      </c>
      <c r="H32" s="114" t="s">
        <v>189</v>
      </c>
      <c r="I32" s="134">
        <f>SAMSUNG!F33</f>
        <v>180</v>
      </c>
      <c r="J32" s="144">
        <v>170</v>
      </c>
      <c r="K32" s="168">
        <v>3.25</v>
      </c>
    </row>
    <row r="33" spans="1:11" s="102" customFormat="1" ht="11.25" customHeight="1">
      <c r="A33" s="108">
        <v>1072</v>
      </c>
      <c r="B33" s="109" t="s">
        <v>71</v>
      </c>
      <c r="C33" s="135">
        <f>LG!F33</f>
        <v>200</v>
      </c>
      <c r="D33" s="144">
        <v>190</v>
      </c>
      <c r="E33" s="168"/>
      <c r="F33" s="101"/>
      <c r="G33" s="110">
        <v>2064</v>
      </c>
      <c r="H33" s="111" t="s">
        <v>192</v>
      </c>
      <c r="I33" s="134">
        <f>SAMSUNG!F34</f>
        <v>250</v>
      </c>
      <c r="J33" s="144">
        <v>250</v>
      </c>
      <c r="K33" s="153">
        <v>3.77</v>
      </c>
    </row>
    <row r="34" spans="1:11" s="102" customFormat="1" ht="11.25" customHeight="1">
      <c r="A34" s="106">
        <v>1073</v>
      </c>
      <c r="B34" s="107" t="s">
        <v>73</v>
      </c>
      <c r="C34" s="135">
        <f>LG!F34</f>
        <v>250</v>
      </c>
      <c r="D34" s="144"/>
      <c r="E34" s="153"/>
      <c r="F34" s="101"/>
      <c r="G34" s="112">
        <v>2065</v>
      </c>
      <c r="H34" s="114" t="s">
        <v>195</v>
      </c>
      <c r="I34" s="134">
        <f>SAMSUNG!F35</f>
        <v>220</v>
      </c>
      <c r="J34" s="144">
        <v>220</v>
      </c>
      <c r="K34" s="168">
        <v>3.5</v>
      </c>
    </row>
    <row r="35" spans="1:11" s="102" customFormat="1" ht="11.25" customHeight="1">
      <c r="A35" s="106">
        <v>1074</v>
      </c>
      <c r="B35" s="220" t="s">
        <v>895</v>
      </c>
      <c r="C35" s="219">
        <f>LG!F35</f>
        <v>220</v>
      </c>
      <c r="D35" s="221"/>
      <c r="E35" s="168">
        <v>3.2</v>
      </c>
      <c r="F35" s="101"/>
      <c r="G35" s="110">
        <v>2066</v>
      </c>
      <c r="H35" s="111" t="s">
        <v>197</v>
      </c>
      <c r="I35" s="134">
        <f>SAMSUNG!F36</f>
        <v>300</v>
      </c>
      <c r="J35" s="144"/>
      <c r="K35" s="153">
        <v>6.55</v>
      </c>
    </row>
    <row r="36" spans="1:11" s="102" customFormat="1" ht="11.25" customHeight="1">
      <c r="A36" s="108">
        <v>1075</v>
      </c>
      <c r="B36" s="109" t="s">
        <v>74</v>
      </c>
      <c r="C36" s="135">
        <f>LG!F36</f>
        <v>240</v>
      </c>
      <c r="D36" s="144">
        <v>240</v>
      </c>
      <c r="E36" s="153">
        <v>3</v>
      </c>
      <c r="F36" s="101"/>
      <c r="G36" s="112">
        <v>2067</v>
      </c>
      <c r="H36" s="113" t="s">
        <v>199</v>
      </c>
      <c r="I36" s="134">
        <f>SAMSUNG!F37</f>
        <v>400</v>
      </c>
      <c r="J36" s="144"/>
      <c r="K36" s="168">
        <v>10.3</v>
      </c>
    </row>
    <row r="37" spans="1:11" s="102" customFormat="1" ht="11.25" customHeight="1">
      <c r="A37" s="106">
        <v>1076</v>
      </c>
      <c r="B37" s="107" t="s">
        <v>76</v>
      </c>
      <c r="C37" s="135">
        <f>LG!F37</f>
        <v>250</v>
      </c>
      <c r="D37" s="144"/>
      <c r="E37" s="168"/>
      <c r="F37" s="101"/>
      <c r="G37" s="201" t="s">
        <v>850</v>
      </c>
      <c r="H37" s="201" t="s">
        <v>851</v>
      </c>
      <c r="I37" s="193">
        <f>SAMSUNG!F38</f>
        <v>250</v>
      </c>
      <c r="J37" s="200"/>
      <c r="K37" s="153">
        <v>4.3</v>
      </c>
    </row>
    <row r="38" spans="1:11" s="102" customFormat="1" ht="11.25" customHeight="1">
      <c r="A38" s="108">
        <v>1078</v>
      </c>
      <c r="B38" s="109" t="s">
        <v>77</v>
      </c>
      <c r="C38" s="135">
        <f>LG!F38</f>
        <v>280</v>
      </c>
      <c r="D38" s="144">
        <v>300</v>
      </c>
      <c r="E38" s="153">
        <v>7.6</v>
      </c>
      <c r="F38" s="101"/>
      <c r="G38" s="110">
        <v>2069</v>
      </c>
      <c r="H38" s="111" t="s">
        <v>201</v>
      </c>
      <c r="I38" s="134">
        <f>SAMSUNG!F39</f>
        <v>420</v>
      </c>
      <c r="J38" s="144">
        <v>480</v>
      </c>
      <c r="K38" s="168">
        <v>1.1000000000000001</v>
      </c>
    </row>
    <row r="39" spans="1:11" s="102" customFormat="1" ht="11.25" customHeight="1">
      <c r="A39" s="106">
        <v>1081</v>
      </c>
      <c r="B39" s="107" t="s">
        <v>79</v>
      </c>
      <c r="C39" s="135">
        <f>LG!F39</f>
        <v>200</v>
      </c>
      <c r="D39" s="144">
        <v>200</v>
      </c>
      <c r="E39" s="168"/>
      <c r="F39" s="101"/>
      <c r="G39" s="112">
        <v>2070</v>
      </c>
      <c r="H39" s="113" t="s">
        <v>204</v>
      </c>
      <c r="I39" s="134">
        <f>SAMSUNG!F40</f>
        <v>700</v>
      </c>
      <c r="J39" s="144"/>
      <c r="K39" s="153">
        <v>16.399999999999999</v>
      </c>
    </row>
    <row r="40" spans="1:11" s="102" customFormat="1" ht="11.25" customHeight="1">
      <c r="A40" s="108">
        <v>1084</v>
      </c>
      <c r="B40" s="109" t="s">
        <v>80</v>
      </c>
      <c r="C40" s="135">
        <f>LG!F40</f>
        <v>250</v>
      </c>
      <c r="D40" s="144">
        <v>240</v>
      </c>
      <c r="E40" s="153"/>
      <c r="F40" s="101"/>
      <c r="G40" s="110">
        <v>2072</v>
      </c>
      <c r="H40" s="111" t="s">
        <v>642</v>
      </c>
      <c r="I40" s="134">
        <f>SAMSUNG!F41</f>
        <v>480</v>
      </c>
      <c r="J40" s="144">
        <v>430</v>
      </c>
      <c r="K40" s="168">
        <v>12.5</v>
      </c>
    </row>
    <row r="41" spans="1:11" s="102" customFormat="1" ht="11.25" customHeight="1">
      <c r="A41" s="106">
        <v>1087</v>
      </c>
      <c r="B41" s="107" t="s">
        <v>81</v>
      </c>
      <c r="C41" s="135">
        <f>LG!F41</f>
        <v>220</v>
      </c>
      <c r="D41" s="144">
        <v>210</v>
      </c>
      <c r="E41" s="168">
        <v>5.7</v>
      </c>
      <c r="F41" s="101"/>
      <c r="G41" s="112">
        <v>2075</v>
      </c>
      <c r="H41" s="114" t="s">
        <v>208</v>
      </c>
      <c r="I41" s="134">
        <f>SAMSUNG!F42</f>
        <v>200</v>
      </c>
      <c r="J41" s="144">
        <v>190</v>
      </c>
      <c r="K41" s="153">
        <v>3.5</v>
      </c>
    </row>
    <row r="42" spans="1:11" s="102" customFormat="1" ht="11.25" customHeight="1">
      <c r="A42" s="108">
        <v>1090</v>
      </c>
      <c r="B42" s="109" t="s">
        <v>83</v>
      </c>
      <c r="C42" s="135">
        <f>LG!F42</f>
        <v>250</v>
      </c>
      <c r="D42" s="144"/>
      <c r="E42" s="153">
        <v>4.5</v>
      </c>
      <c r="F42" s="101"/>
      <c r="G42" s="110">
        <v>2078</v>
      </c>
      <c r="H42" s="111" t="s">
        <v>211</v>
      </c>
      <c r="I42" s="134">
        <f>SAMSUNG!F43</f>
        <v>250</v>
      </c>
      <c r="J42" s="144">
        <v>230</v>
      </c>
      <c r="K42" s="168">
        <v>3.2</v>
      </c>
    </row>
    <row r="43" spans="1:11" s="102" customFormat="1" ht="11.25" customHeight="1">
      <c r="A43" s="106">
        <v>1094</v>
      </c>
      <c r="B43" s="107" t="s">
        <v>85</v>
      </c>
      <c r="C43" s="135">
        <f>LG!F43</f>
        <v>250</v>
      </c>
      <c r="D43" s="144">
        <v>240</v>
      </c>
      <c r="E43" s="168">
        <v>4.3600000000000003</v>
      </c>
      <c r="F43" s="101"/>
      <c r="G43" s="112">
        <v>2079</v>
      </c>
      <c r="H43" s="113" t="s">
        <v>214</v>
      </c>
      <c r="I43" s="134">
        <f>SAMSUNG!F44</f>
        <v>450</v>
      </c>
      <c r="J43" s="144"/>
      <c r="K43" s="153">
        <v>12</v>
      </c>
    </row>
    <row r="44" spans="1:11" s="102" customFormat="1" ht="11.25" customHeight="1">
      <c r="A44" s="108">
        <v>1096</v>
      </c>
      <c r="B44" s="109" t="s">
        <v>87</v>
      </c>
      <c r="C44" s="135">
        <f>LG!F44</f>
        <v>260</v>
      </c>
      <c r="D44" s="144"/>
      <c r="E44" s="153"/>
      <c r="F44" s="101"/>
      <c r="G44" s="110">
        <v>2081</v>
      </c>
      <c r="H44" s="111" t="s">
        <v>217</v>
      </c>
      <c r="I44" s="134">
        <f>SAMSUNG!F45</f>
        <v>420</v>
      </c>
      <c r="J44" s="144">
        <v>400</v>
      </c>
      <c r="K44" s="168">
        <v>6.3</v>
      </c>
    </row>
    <row r="45" spans="1:11" s="102" customFormat="1" ht="11.25" customHeight="1">
      <c r="A45" s="106">
        <v>1099</v>
      </c>
      <c r="B45" s="107" t="s">
        <v>88</v>
      </c>
      <c r="C45" s="135">
        <f>LG!F45</f>
        <v>220</v>
      </c>
      <c r="D45" s="144">
        <v>220</v>
      </c>
      <c r="E45" s="168">
        <v>4.2</v>
      </c>
      <c r="F45" s="101"/>
      <c r="G45" s="112">
        <v>2082</v>
      </c>
      <c r="H45" s="113" t="s">
        <v>219</v>
      </c>
      <c r="I45" s="134">
        <f>SAMSUNG!F46</f>
        <v>400</v>
      </c>
      <c r="J45" s="144"/>
      <c r="K45" s="153">
        <v>6.28</v>
      </c>
    </row>
    <row r="46" spans="1:11" s="102" customFormat="1" ht="11.25" customHeight="1">
      <c r="A46" s="108">
        <v>1102</v>
      </c>
      <c r="B46" s="109" t="s">
        <v>90</v>
      </c>
      <c r="C46" s="135">
        <f>LG!F46</f>
        <v>280</v>
      </c>
      <c r="D46" s="144">
        <v>270</v>
      </c>
      <c r="E46" s="153">
        <v>6.1</v>
      </c>
      <c r="F46" s="101"/>
      <c r="G46" s="215">
        <v>2083</v>
      </c>
      <c r="H46" s="216" t="s">
        <v>890</v>
      </c>
      <c r="I46" s="219">
        <f>SAMSUNG!F47</f>
        <v>500</v>
      </c>
      <c r="J46" s="221"/>
      <c r="K46" s="168">
        <v>14</v>
      </c>
    </row>
    <row r="47" spans="1:11" s="102" customFormat="1" ht="11.25" customHeight="1">
      <c r="A47" s="106">
        <v>1105</v>
      </c>
      <c r="B47" s="107" t="s">
        <v>92</v>
      </c>
      <c r="C47" s="135">
        <f>LG!F47</f>
        <v>300</v>
      </c>
      <c r="D47" s="144">
        <v>300</v>
      </c>
      <c r="E47" s="168">
        <v>7.7</v>
      </c>
      <c r="F47" s="101"/>
      <c r="G47" s="110">
        <v>2084</v>
      </c>
      <c r="H47" s="111" t="s">
        <v>220</v>
      </c>
      <c r="I47" s="134">
        <f>SAMSUNG!F48</f>
        <v>300</v>
      </c>
      <c r="J47" s="144">
        <v>280</v>
      </c>
      <c r="K47" s="153"/>
    </row>
    <row r="48" spans="1:11" s="102" customFormat="1" ht="11.25" customHeight="1">
      <c r="A48" s="108">
        <v>1108</v>
      </c>
      <c r="B48" s="109" t="s">
        <v>94</v>
      </c>
      <c r="C48" s="135">
        <f>LG!F48</f>
        <v>300</v>
      </c>
      <c r="D48" s="144"/>
      <c r="E48" s="153">
        <v>5.8</v>
      </c>
      <c r="F48" s="101"/>
      <c r="G48" s="112">
        <v>2085</v>
      </c>
      <c r="H48" s="114" t="s">
        <v>727</v>
      </c>
      <c r="I48" s="134">
        <f>SAMSUNG!F49</f>
        <v>450</v>
      </c>
      <c r="J48" s="144"/>
      <c r="K48" s="168">
        <v>13.2</v>
      </c>
    </row>
    <row r="49" spans="1:11" s="102" customFormat="1" ht="11.25" customHeight="1">
      <c r="A49" s="106">
        <v>1111</v>
      </c>
      <c r="B49" s="107" t="s">
        <v>96</v>
      </c>
      <c r="C49" s="135">
        <f>LG!F49</f>
        <v>280</v>
      </c>
      <c r="D49" s="144">
        <v>240</v>
      </c>
      <c r="E49" s="168">
        <v>6.2</v>
      </c>
      <c r="F49" s="101"/>
      <c r="G49" s="110">
        <v>2087</v>
      </c>
      <c r="H49" s="111" t="s">
        <v>222</v>
      </c>
      <c r="I49" s="134">
        <f>SAMSUNG!F50</f>
        <v>240</v>
      </c>
      <c r="J49" s="144">
        <v>230</v>
      </c>
      <c r="K49" s="153">
        <v>3.6</v>
      </c>
    </row>
    <row r="50" spans="1:11" s="102" customFormat="1" ht="11.25" customHeight="1">
      <c r="A50" s="108">
        <v>1112</v>
      </c>
      <c r="B50" s="109" t="s">
        <v>98</v>
      </c>
      <c r="C50" s="135">
        <f>LG!F50</f>
        <v>400</v>
      </c>
      <c r="D50" s="144"/>
      <c r="E50" s="153">
        <v>8.5</v>
      </c>
      <c r="F50" s="101"/>
      <c r="G50" s="112">
        <v>2088</v>
      </c>
      <c r="H50" s="113" t="s">
        <v>225</v>
      </c>
      <c r="I50" s="134">
        <f>SAMSUNG!F51</f>
        <v>420</v>
      </c>
      <c r="J50" s="144"/>
      <c r="K50" s="168"/>
    </row>
    <row r="51" spans="1:11" s="102" customFormat="1" ht="11.25" customHeight="1">
      <c r="A51" s="106">
        <v>1114</v>
      </c>
      <c r="B51" s="107" t="s">
        <v>100</v>
      </c>
      <c r="C51" s="135">
        <f>LG!F51</f>
        <v>280</v>
      </c>
      <c r="D51" s="144">
        <v>240</v>
      </c>
      <c r="E51" s="168">
        <v>5.35</v>
      </c>
      <c r="F51" s="101"/>
      <c r="G51" s="110">
        <v>2089</v>
      </c>
      <c r="H51" s="117" t="s">
        <v>226</v>
      </c>
      <c r="I51" s="134">
        <f>SAMSUNG!F52</f>
        <v>320</v>
      </c>
      <c r="J51" s="144">
        <v>320</v>
      </c>
      <c r="K51" s="153">
        <v>4.5999999999999996</v>
      </c>
    </row>
    <row r="52" spans="1:11" s="102" customFormat="1" ht="11.25" customHeight="1">
      <c r="A52" s="108">
        <v>1117</v>
      </c>
      <c r="B52" s="109" t="s">
        <v>102</v>
      </c>
      <c r="C52" s="135">
        <f>LG!F52</f>
        <v>350</v>
      </c>
      <c r="D52" s="144">
        <v>350</v>
      </c>
      <c r="E52" s="153">
        <v>9.4499999999999993</v>
      </c>
      <c r="F52" s="101"/>
      <c r="G52" s="112">
        <v>2090</v>
      </c>
      <c r="H52" s="114" t="s">
        <v>227</v>
      </c>
      <c r="I52" s="134">
        <f>SAMSUNG!F53</f>
        <v>350</v>
      </c>
      <c r="J52" s="144">
        <v>340</v>
      </c>
      <c r="K52" s="168">
        <v>7.2</v>
      </c>
    </row>
    <row r="53" spans="1:11" s="102" customFormat="1" ht="11.25" customHeight="1">
      <c r="A53" s="106">
        <v>1120</v>
      </c>
      <c r="B53" s="107" t="s">
        <v>104</v>
      </c>
      <c r="C53" s="135">
        <f>LG!F53</f>
        <v>220</v>
      </c>
      <c r="D53" s="144">
        <v>220</v>
      </c>
      <c r="E53" s="168">
        <v>3.8</v>
      </c>
      <c r="F53" s="101"/>
      <c r="G53" s="110">
        <v>2092</v>
      </c>
      <c r="H53" s="117" t="s">
        <v>229</v>
      </c>
      <c r="I53" s="134">
        <f>SAMSUNG!F54</f>
        <v>400</v>
      </c>
      <c r="J53" s="144"/>
      <c r="K53" s="153"/>
    </row>
    <row r="54" spans="1:11" s="102" customFormat="1" ht="11.25" customHeight="1">
      <c r="A54" s="108">
        <v>1121</v>
      </c>
      <c r="B54" s="109" t="s">
        <v>106</v>
      </c>
      <c r="C54" s="135">
        <f>LG!F54</f>
        <v>300</v>
      </c>
      <c r="D54" s="144"/>
      <c r="E54" s="153">
        <v>5.3</v>
      </c>
      <c r="F54" s="101"/>
      <c r="G54" s="112">
        <v>2093</v>
      </c>
      <c r="H54" s="114" t="s">
        <v>231</v>
      </c>
      <c r="I54" s="134">
        <f>SAMSUNG!F55</f>
        <v>400</v>
      </c>
      <c r="J54" s="144">
        <v>400</v>
      </c>
      <c r="K54" s="168">
        <v>8</v>
      </c>
    </row>
    <row r="55" spans="1:11" s="102" customFormat="1" ht="11.25" customHeight="1">
      <c r="A55" s="106">
        <v>1123</v>
      </c>
      <c r="B55" s="107" t="s">
        <v>107</v>
      </c>
      <c r="C55" s="135">
        <f>LG!F55</f>
        <v>320</v>
      </c>
      <c r="D55" s="144"/>
      <c r="E55" s="168">
        <v>4.9000000000000004</v>
      </c>
      <c r="F55" s="101"/>
      <c r="G55" s="110">
        <v>2094</v>
      </c>
      <c r="H55" s="111" t="s">
        <v>233</v>
      </c>
      <c r="I55" s="134">
        <f>SAMSUNG!F56</f>
        <v>500</v>
      </c>
      <c r="J55" s="144">
        <v>450</v>
      </c>
      <c r="K55" s="153">
        <v>15.6</v>
      </c>
    </row>
    <row r="56" spans="1:11" s="102" customFormat="1" ht="11.25" customHeight="1">
      <c r="A56" s="108">
        <v>1126</v>
      </c>
      <c r="B56" s="109" t="s">
        <v>108</v>
      </c>
      <c r="C56" s="135">
        <f>LG!F56</f>
        <v>260</v>
      </c>
      <c r="D56" s="144">
        <v>240</v>
      </c>
      <c r="E56" s="153">
        <v>304</v>
      </c>
      <c r="F56" s="101"/>
      <c r="G56" s="112">
        <v>2095</v>
      </c>
      <c r="H56" s="113" t="s">
        <v>235</v>
      </c>
      <c r="I56" s="134">
        <f>SAMSUNG!F57</f>
        <v>250</v>
      </c>
      <c r="J56" s="144">
        <v>250</v>
      </c>
      <c r="K56" s="168">
        <v>5</v>
      </c>
    </row>
    <row r="57" spans="1:11" s="102" customFormat="1" ht="11.25" customHeight="1">
      <c r="A57" s="106">
        <v>1129</v>
      </c>
      <c r="B57" s="107" t="s">
        <v>109</v>
      </c>
      <c r="C57" s="135">
        <f>LG!F57</f>
        <v>260</v>
      </c>
      <c r="D57" s="144">
        <v>240</v>
      </c>
      <c r="E57" s="168">
        <v>4.25</v>
      </c>
      <c r="F57" s="101"/>
      <c r="G57" s="110">
        <v>2096</v>
      </c>
      <c r="H57" s="111" t="s">
        <v>237</v>
      </c>
      <c r="I57" s="134">
        <f>SAMSUNG!F58</f>
        <v>550</v>
      </c>
      <c r="J57" s="144"/>
      <c r="K57" s="153">
        <v>9</v>
      </c>
    </row>
    <row r="58" spans="1:11" s="102" customFormat="1" ht="11.25" customHeight="1">
      <c r="A58" s="108">
        <v>1132</v>
      </c>
      <c r="B58" s="109" t="s">
        <v>111</v>
      </c>
      <c r="C58" s="135">
        <f>LG!F58</f>
        <v>260</v>
      </c>
      <c r="D58" s="144">
        <v>240</v>
      </c>
      <c r="E58" s="153">
        <v>6.2</v>
      </c>
      <c r="F58" s="101"/>
      <c r="G58" s="112">
        <v>2097</v>
      </c>
      <c r="H58" s="113" t="s">
        <v>239</v>
      </c>
      <c r="I58" s="134">
        <f>SAMSUNG!F59</f>
        <v>320</v>
      </c>
      <c r="J58" s="144">
        <v>290</v>
      </c>
      <c r="K58" s="168">
        <v>6.7</v>
      </c>
    </row>
    <row r="59" spans="1:11" s="102" customFormat="1" ht="11.25" customHeight="1">
      <c r="A59" s="106">
        <v>1135</v>
      </c>
      <c r="B59" s="107" t="s">
        <v>113</v>
      </c>
      <c r="C59" s="135">
        <f>LG!F59</f>
        <v>380</v>
      </c>
      <c r="D59" s="144">
        <v>320</v>
      </c>
      <c r="E59" s="168">
        <v>12</v>
      </c>
      <c r="F59" s="101"/>
      <c r="G59" s="110">
        <v>2106</v>
      </c>
      <c r="H59" s="117" t="s">
        <v>241</v>
      </c>
      <c r="I59" s="134">
        <f>SAMSUNG!F60</f>
        <v>800</v>
      </c>
      <c r="J59" s="144"/>
      <c r="K59" s="153">
        <v>16</v>
      </c>
    </row>
    <row r="60" spans="1:11" s="102" customFormat="1" ht="11.25" customHeight="1">
      <c r="A60" s="108">
        <v>1138</v>
      </c>
      <c r="B60" s="109" t="s">
        <v>115</v>
      </c>
      <c r="C60" s="135">
        <f>LG!F60</f>
        <v>280</v>
      </c>
      <c r="D60" s="144">
        <v>240</v>
      </c>
      <c r="E60" s="153">
        <v>6.3</v>
      </c>
      <c r="F60" s="101"/>
      <c r="G60" s="112">
        <v>2091</v>
      </c>
      <c r="H60" s="114" t="s">
        <v>243</v>
      </c>
      <c r="I60" s="134">
        <f>SAMSUNG!F61</f>
        <v>700</v>
      </c>
      <c r="J60" s="144"/>
      <c r="K60" s="168"/>
    </row>
    <row r="61" spans="1:11" s="102" customFormat="1" ht="11.25" customHeight="1">
      <c r="A61" s="106">
        <v>1139</v>
      </c>
      <c r="B61" s="107" t="s">
        <v>117</v>
      </c>
      <c r="C61" s="135">
        <f>LG!F61</f>
        <v>320</v>
      </c>
      <c r="D61" s="144">
        <v>390</v>
      </c>
      <c r="E61" s="168">
        <v>6.85</v>
      </c>
      <c r="F61" s="101"/>
      <c r="G61" s="110">
        <v>2086</v>
      </c>
      <c r="H61" s="111" t="s">
        <v>245</v>
      </c>
      <c r="I61" s="134">
        <f>SAMSUNG!F62</f>
        <v>420</v>
      </c>
      <c r="J61" s="144"/>
      <c r="K61" s="153"/>
    </row>
    <row r="62" spans="1:11" s="102" customFormat="1" ht="11.25" customHeight="1">
      <c r="A62" s="108">
        <v>1141</v>
      </c>
      <c r="B62" s="109" t="s">
        <v>119</v>
      </c>
      <c r="C62" s="135">
        <f>LG!F62</f>
        <v>450</v>
      </c>
      <c r="D62" s="144">
        <v>420</v>
      </c>
      <c r="E62" s="153">
        <v>11.2</v>
      </c>
      <c r="F62" s="101"/>
      <c r="G62" s="112">
        <v>2098</v>
      </c>
      <c r="H62" s="113" t="s">
        <v>247</v>
      </c>
      <c r="I62" s="134">
        <f>SAMSUNG!F63</f>
        <v>700</v>
      </c>
      <c r="J62" s="144"/>
      <c r="K62" s="168">
        <v>16</v>
      </c>
    </row>
    <row r="63" spans="1:11" s="102" customFormat="1" ht="11.25" customHeight="1">
      <c r="A63" s="106">
        <v>1144</v>
      </c>
      <c r="B63" s="107" t="s">
        <v>121</v>
      </c>
      <c r="C63" s="135">
        <f>LG!F63</f>
        <v>400</v>
      </c>
      <c r="D63" s="144">
        <v>370</v>
      </c>
      <c r="E63" s="168">
        <v>8.6</v>
      </c>
      <c r="F63" s="101"/>
      <c r="G63" s="110">
        <v>2099</v>
      </c>
      <c r="H63" s="111" t="s">
        <v>249</v>
      </c>
      <c r="I63" s="134">
        <f>SAMSUNG!F64</f>
        <v>260</v>
      </c>
      <c r="J63" s="144">
        <v>250</v>
      </c>
      <c r="K63" s="153">
        <v>4.5999999999999996</v>
      </c>
    </row>
    <row r="64" spans="1:11" s="102" customFormat="1" ht="11.25" customHeight="1">
      <c r="A64" s="108">
        <v>1147</v>
      </c>
      <c r="B64" s="109" t="s">
        <v>123</v>
      </c>
      <c r="C64" s="135">
        <f>LG!F64</f>
        <v>420</v>
      </c>
      <c r="D64" s="144">
        <v>380</v>
      </c>
      <c r="E64" s="153">
        <v>9.5</v>
      </c>
      <c r="F64" s="101"/>
      <c r="G64" s="112">
        <v>2100</v>
      </c>
      <c r="H64" s="113" t="s">
        <v>251</v>
      </c>
      <c r="I64" s="134">
        <f>SAMSUNG!F65</f>
        <v>460</v>
      </c>
      <c r="J64" s="144">
        <v>460</v>
      </c>
      <c r="K64" s="168">
        <v>6.5</v>
      </c>
    </row>
    <row r="65" spans="1:11" s="102" customFormat="1" ht="11.25" customHeight="1">
      <c r="A65" s="106">
        <v>1148</v>
      </c>
      <c r="B65" s="107" t="s">
        <v>125</v>
      </c>
      <c r="C65" s="135">
        <f>LG!F65</f>
        <v>500</v>
      </c>
      <c r="D65" s="144"/>
      <c r="E65" s="168">
        <v>8.85</v>
      </c>
      <c r="F65" s="101"/>
      <c r="G65" s="110">
        <v>2101</v>
      </c>
      <c r="H65" s="117" t="s">
        <v>253</v>
      </c>
      <c r="I65" s="134">
        <f>SAMSUNG!F66</f>
        <v>400</v>
      </c>
      <c r="J65" s="144"/>
      <c r="K65" s="153"/>
    </row>
    <row r="66" spans="1:11" s="102" customFormat="1" ht="12.75" customHeight="1">
      <c r="A66" s="108">
        <v>1149</v>
      </c>
      <c r="B66" s="109" t="s">
        <v>127</v>
      </c>
      <c r="C66" s="135">
        <f>LG!F66</f>
        <v>500</v>
      </c>
      <c r="D66" s="144"/>
      <c r="E66" s="153"/>
      <c r="F66" s="101"/>
      <c r="G66" s="112">
        <v>2102</v>
      </c>
      <c r="H66" s="114" t="s">
        <v>787</v>
      </c>
      <c r="I66" s="134">
        <f>SAMSUNG!F67</f>
        <v>1300</v>
      </c>
      <c r="J66" s="144">
        <v>1280</v>
      </c>
      <c r="K66" s="168">
        <v>44.5</v>
      </c>
    </row>
    <row r="67" spans="1:11" s="102" customFormat="1" ht="16.5" customHeight="1">
      <c r="A67" s="106">
        <v>1150</v>
      </c>
      <c r="B67" s="107" t="s">
        <v>128</v>
      </c>
      <c r="C67" s="135">
        <f>LG!F67</f>
        <v>450</v>
      </c>
      <c r="D67" s="144">
        <v>430</v>
      </c>
      <c r="E67" s="168">
        <v>5.9</v>
      </c>
      <c r="G67" s="110">
        <v>2103</v>
      </c>
      <c r="H67" s="117" t="s">
        <v>255</v>
      </c>
      <c r="I67" s="134">
        <f>SAMSUNG!F68</f>
        <v>600</v>
      </c>
      <c r="J67" s="144"/>
      <c r="K67" s="153">
        <v>7.2</v>
      </c>
    </row>
    <row r="68" spans="1:11" s="101" customFormat="1" ht="10.5" customHeight="1">
      <c r="A68" s="108">
        <v>1153</v>
      </c>
      <c r="B68" s="109" t="s">
        <v>130</v>
      </c>
      <c r="C68" s="135">
        <f>LG!F68</f>
        <v>1200</v>
      </c>
      <c r="D68" s="144"/>
      <c r="E68" s="153">
        <v>31.34</v>
      </c>
      <c r="F68" s="102"/>
      <c r="G68" s="112">
        <v>2107</v>
      </c>
      <c r="H68" s="113" t="s">
        <v>257</v>
      </c>
      <c r="I68" s="134">
        <f>SAMSUNG!F69</f>
        <v>400</v>
      </c>
      <c r="J68" s="144">
        <v>380</v>
      </c>
      <c r="K68" s="168"/>
    </row>
    <row r="69" spans="1:11" s="101" customFormat="1" ht="10.5" customHeight="1">
      <c r="A69" s="198" t="s">
        <v>846</v>
      </c>
      <c r="B69" s="199" t="s">
        <v>847</v>
      </c>
      <c r="C69" s="193">
        <f>LG!F69</f>
        <v>700</v>
      </c>
      <c r="D69" s="200"/>
      <c r="E69" s="168">
        <v>13</v>
      </c>
      <c r="F69" s="102"/>
      <c r="G69" s="110">
        <v>2104</v>
      </c>
      <c r="H69" s="117" t="s">
        <v>259</v>
      </c>
      <c r="I69" s="134">
        <f>SAMSUNG!F70</f>
        <v>600</v>
      </c>
      <c r="J69" s="144"/>
      <c r="K69" s="153">
        <v>9</v>
      </c>
    </row>
    <row r="70" spans="1:11" s="65" customFormat="1" ht="10.5" customHeight="1">
      <c r="A70" s="108">
        <v>1154</v>
      </c>
      <c r="B70" s="183" t="s">
        <v>745</v>
      </c>
      <c r="C70" s="135">
        <f>LG!F70</f>
        <v>1500</v>
      </c>
      <c r="D70" s="144"/>
      <c r="E70" s="241">
        <v>29</v>
      </c>
      <c r="F70" s="101"/>
      <c r="G70" s="110">
        <v>2108</v>
      </c>
      <c r="H70" s="183" t="s">
        <v>754</v>
      </c>
      <c r="I70" s="134">
        <f>SAMSUNG!F71</f>
        <v>320</v>
      </c>
      <c r="J70" s="144"/>
      <c r="K70" s="168">
        <v>505</v>
      </c>
    </row>
    <row r="71" spans="1:11" s="65" customFormat="1" ht="10.5" customHeight="1">
      <c r="A71" s="103"/>
      <c r="B71" s="102"/>
      <c r="C71" s="120"/>
      <c r="D71" s="140"/>
      <c r="E71" s="140"/>
      <c r="F71" s="101"/>
      <c r="G71" s="112">
        <v>2105</v>
      </c>
      <c r="H71" s="113" t="s">
        <v>261</v>
      </c>
      <c r="I71" s="134">
        <f>SAMSUNG!F72</f>
        <v>600</v>
      </c>
      <c r="J71" s="144">
        <v>590</v>
      </c>
      <c r="K71" s="153">
        <v>11.4</v>
      </c>
    </row>
    <row r="72" spans="1:11" s="65" customFormat="1" ht="10.5" customHeight="1">
      <c r="A72" s="254" t="s">
        <v>281</v>
      </c>
      <c r="B72" s="254"/>
      <c r="C72" s="254"/>
      <c r="D72" s="140"/>
      <c r="E72" s="140"/>
      <c r="F72" s="101"/>
      <c r="G72" s="103"/>
      <c r="H72" s="102"/>
      <c r="I72" s="121"/>
      <c r="J72" s="142"/>
    </row>
    <row r="73" spans="1:11" s="65" customFormat="1" ht="10.5" customHeight="1">
      <c r="A73" s="104" t="s">
        <v>616</v>
      </c>
      <c r="B73" s="105" t="s">
        <v>2</v>
      </c>
      <c r="C73" s="147" t="s">
        <v>607</v>
      </c>
      <c r="D73" s="145" t="s">
        <v>478</v>
      </c>
      <c r="E73" s="140"/>
      <c r="F73" s="101"/>
      <c r="G73" s="254" t="s">
        <v>343</v>
      </c>
      <c r="H73" s="254"/>
      <c r="I73" s="254"/>
      <c r="J73" s="142"/>
    </row>
    <row r="74" spans="1:11" s="65" customFormat="1" ht="10.5" customHeight="1">
      <c r="A74" s="110">
        <v>4000</v>
      </c>
      <c r="B74" s="124" t="s">
        <v>282</v>
      </c>
      <c r="C74" s="134">
        <f>DAEWOO!F5</f>
        <v>60</v>
      </c>
      <c r="D74" s="144">
        <v>50</v>
      </c>
      <c r="E74" s="168">
        <v>1</v>
      </c>
      <c r="F74" s="101"/>
      <c r="G74" s="104" t="s">
        <v>616</v>
      </c>
      <c r="H74" s="105" t="s">
        <v>2</v>
      </c>
      <c r="I74" s="152" t="s">
        <v>607</v>
      </c>
      <c r="J74" s="145" t="s">
        <v>643</v>
      </c>
    </row>
    <row r="75" spans="1:11" s="65" customFormat="1" ht="10.5" customHeight="1">
      <c r="A75" s="112">
        <v>4002</v>
      </c>
      <c r="B75" s="114" t="s">
        <v>284</v>
      </c>
      <c r="C75" s="134">
        <f>DAEWOO!F6</f>
        <v>60</v>
      </c>
      <c r="D75" s="144">
        <v>60</v>
      </c>
      <c r="E75" s="153">
        <v>1.5</v>
      </c>
      <c r="F75" s="101"/>
      <c r="G75" s="110">
        <v>6009</v>
      </c>
      <c r="H75" s="168" t="s">
        <v>935</v>
      </c>
      <c r="I75" s="135">
        <f>'TOSHIBA '!E5</f>
        <v>180</v>
      </c>
      <c r="J75" s="144">
        <v>180</v>
      </c>
      <c r="K75" s="165">
        <v>3.7</v>
      </c>
    </row>
    <row r="76" spans="1:11" s="65" customFormat="1" ht="10.5" customHeight="1">
      <c r="A76" s="110">
        <v>4003</v>
      </c>
      <c r="B76" s="111" t="s">
        <v>286</v>
      </c>
      <c r="C76" s="134">
        <f>DAEWOO!F7</f>
        <v>90</v>
      </c>
      <c r="D76" s="144">
        <v>90</v>
      </c>
      <c r="E76" s="168">
        <v>1.9</v>
      </c>
      <c r="F76" s="101"/>
      <c r="G76" s="112">
        <v>6011</v>
      </c>
      <c r="H76" s="114" t="s">
        <v>345</v>
      </c>
      <c r="I76" s="135">
        <f>'TOSHIBA '!E6</f>
        <v>180</v>
      </c>
      <c r="J76" s="146"/>
    </row>
    <row r="77" spans="1:11" ht="11.25" customHeight="1">
      <c r="A77" s="112">
        <v>4009</v>
      </c>
      <c r="B77" s="114" t="s">
        <v>288</v>
      </c>
      <c r="C77" s="134">
        <f>DAEWOO!F8</f>
        <v>160</v>
      </c>
      <c r="D77" s="144">
        <v>150</v>
      </c>
      <c r="E77" s="153">
        <v>3.5</v>
      </c>
      <c r="F77" s="101"/>
      <c r="G77" s="110">
        <v>6015</v>
      </c>
      <c r="H77" s="111" t="s">
        <v>347</v>
      </c>
      <c r="I77" s="135">
        <f>'TOSHIBA '!E7</f>
        <v>220</v>
      </c>
      <c r="J77" s="146">
        <v>220</v>
      </c>
      <c r="K77" s="165">
        <v>2.5</v>
      </c>
    </row>
    <row r="78" spans="1:11" ht="11.25" customHeight="1">
      <c r="A78" s="110">
        <v>4010</v>
      </c>
      <c r="B78" s="111" t="s">
        <v>290</v>
      </c>
      <c r="C78" s="134">
        <f>DAEWOO!F9</f>
        <v>160</v>
      </c>
      <c r="D78" s="144">
        <v>140</v>
      </c>
      <c r="E78" s="168">
        <v>1.8</v>
      </c>
      <c r="F78" s="101"/>
      <c r="G78" s="112">
        <v>6016</v>
      </c>
      <c r="H78" s="114" t="s">
        <v>349</v>
      </c>
      <c r="I78" s="135">
        <f>'TOSHIBA '!E8</f>
        <v>240</v>
      </c>
      <c r="J78" s="146"/>
      <c r="K78" s="65">
        <v>3.9</v>
      </c>
    </row>
    <row r="79" spans="1:11" ht="11.25" customHeight="1">
      <c r="A79" s="112">
        <v>4011</v>
      </c>
      <c r="B79" s="114" t="s">
        <v>293</v>
      </c>
      <c r="C79" s="134">
        <f>DAEWOO!F10</f>
        <v>160</v>
      </c>
      <c r="D79" s="144">
        <v>130</v>
      </c>
      <c r="E79" s="153">
        <v>1.7</v>
      </c>
      <c r="F79" s="102"/>
      <c r="G79" s="110">
        <v>6021</v>
      </c>
      <c r="H79" s="111" t="s">
        <v>351</v>
      </c>
      <c r="I79" s="135">
        <f>'TOSHIBA '!E9</f>
        <v>300</v>
      </c>
      <c r="J79" s="146">
        <v>280</v>
      </c>
      <c r="K79" s="165">
        <v>3.6</v>
      </c>
    </row>
    <row r="80" spans="1:11" ht="14.1" customHeight="1">
      <c r="A80" s="110">
        <v>4015</v>
      </c>
      <c r="B80" s="111" t="s">
        <v>296</v>
      </c>
      <c r="C80" s="134">
        <f>DAEWOO!F11</f>
        <v>200</v>
      </c>
      <c r="D80" s="144">
        <v>200</v>
      </c>
      <c r="E80" s="168">
        <v>4.7</v>
      </c>
      <c r="F80" s="102"/>
      <c r="G80" s="112">
        <v>6023</v>
      </c>
      <c r="H80" s="114" t="s">
        <v>352</v>
      </c>
      <c r="I80" s="135">
        <f>'TOSHIBA '!E10</f>
        <v>300</v>
      </c>
      <c r="J80" s="146">
        <v>280</v>
      </c>
      <c r="K80" s="65">
        <v>4.5</v>
      </c>
    </row>
    <row r="81" spans="1:11" ht="11.25" customHeight="1">
      <c r="A81" s="112">
        <v>4018</v>
      </c>
      <c r="B81" s="114" t="s">
        <v>298</v>
      </c>
      <c r="C81" s="134">
        <f>DAEWOO!F12</f>
        <v>200</v>
      </c>
      <c r="D81" s="144">
        <v>200</v>
      </c>
      <c r="E81" s="153">
        <v>4.5</v>
      </c>
      <c r="G81" s="110">
        <v>6024</v>
      </c>
      <c r="H81" s="111" t="s">
        <v>354</v>
      </c>
      <c r="I81" s="135">
        <f>'TOSHIBA '!E11</f>
        <v>300</v>
      </c>
      <c r="J81" s="146">
        <v>300</v>
      </c>
      <c r="K81" s="165">
        <v>6.7</v>
      </c>
    </row>
    <row r="82" spans="1:11" ht="11.25" customHeight="1">
      <c r="A82" s="110">
        <v>4020</v>
      </c>
      <c r="B82" s="111" t="s">
        <v>300</v>
      </c>
      <c r="C82" s="134">
        <f>DAEWOO!F13</f>
        <v>250</v>
      </c>
      <c r="D82" s="144"/>
      <c r="E82" s="168"/>
      <c r="F82" s="174"/>
      <c r="G82" s="112">
        <v>6025</v>
      </c>
      <c r="H82" s="114" t="s">
        <v>356</v>
      </c>
      <c r="I82" s="135">
        <f>'TOSHIBA '!E12</f>
        <v>320</v>
      </c>
      <c r="J82" s="146"/>
      <c r="K82" s="65">
        <v>6.21</v>
      </c>
    </row>
    <row r="83" spans="1:11" ht="11.25" customHeight="1">
      <c r="A83" s="112">
        <v>4021</v>
      </c>
      <c r="B83" s="188" t="s">
        <v>301</v>
      </c>
      <c r="C83" s="134">
        <f>DAEWOO!F14</f>
        <v>200</v>
      </c>
      <c r="D83" s="144"/>
      <c r="E83" s="241">
        <v>3.71</v>
      </c>
      <c r="G83" s="110">
        <v>6030</v>
      </c>
      <c r="H83" s="111" t="s">
        <v>358</v>
      </c>
      <c r="I83" s="135">
        <f>'TOSHIBA '!E13</f>
        <v>320</v>
      </c>
      <c r="J83" s="146">
        <v>320</v>
      </c>
      <c r="K83" s="175">
        <v>5.8</v>
      </c>
    </row>
    <row r="84" spans="1:11" ht="11.25" customHeight="1">
      <c r="A84" s="254" t="s">
        <v>397</v>
      </c>
      <c r="B84" s="254"/>
      <c r="C84" s="254"/>
      <c r="G84" s="255" t="s">
        <v>619</v>
      </c>
      <c r="H84" s="256"/>
      <c r="I84" s="257"/>
    </row>
    <row r="85" spans="1:11" ht="11.25" customHeight="1">
      <c r="A85" s="104" t="s">
        <v>616</v>
      </c>
      <c r="B85" s="105" t="s">
        <v>2</v>
      </c>
      <c r="C85" s="134" t="s">
        <v>607</v>
      </c>
      <c r="D85"/>
      <c r="E85"/>
      <c r="G85" s="125" t="s">
        <v>616</v>
      </c>
      <c r="H85" s="126" t="s">
        <v>2</v>
      </c>
      <c r="I85" s="147" t="s">
        <v>607</v>
      </c>
    </row>
    <row r="86" spans="1:11" ht="11.25" customHeight="1">
      <c r="A86" s="110">
        <v>8000</v>
      </c>
      <c r="B86" s="127" t="s">
        <v>398</v>
      </c>
      <c r="C86" s="135">
        <f>CHINO!F5</f>
        <v>60</v>
      </c>
      <c r="D86" s="146">
        <v>70</v>
      </c>
      <c r="E86" s="165"/>
      <c r="G86" s="110">
        <v>5000</v>
      </c>
      <c r="H86" s="110" t="s">
        <v>304</v>
      </c>
      <c r="I86" s="134">
        <f>'SONY-PANASONIC'!F5</f>
        <v>90</v>
      </c>
      <c r="J86" s="146">
        <v>90</v>
      </c>
      <c r="K86" s="223">
        <v>1.8</v>
      </c>
    </row>
    <row r="87" spans="1:11" ht="11.25" customHeight="1">
      <c r="A87" s="112">
        <v>8003</v>
      </c>
      <c r="B87" s="128" t="s">
        <v>399</v>
      </c>
      <c r="C87" s="135">
        <f>CHINO!F6</f>
        <v>70</v>
      </c>
      <c r="D87" s="146">
        <v>80</v>
      </c>
      <c r="E87" s="65"/>
      <c r="G87" s="112">
        <v>5001</v>
      </c>
      <c r="H87" s="112" t="s">
        <v>305</v>
      </c>
      <c r="I87" s="134">
        <f>'SONY-PANASONIC'!F6</f>
        <v>100</v>
      </c>
      <c r="J87" s="146">
        <v>100</v>
      </c>
      <c r="K87" s="141"/>
    </row>
    <row r="88" spans="1:11" ht="11.25" customHeight="1">
      <c r="A88" s="110">
        <v>8006</v>
      </c>
      <c r="B88" s="127" t="s">
        <v>400</v>
      </c>
      <c r="C88" s="135">
        <f>CHINO!F7</f>
        <v>80</v>
      </c>
      <c r="D88" s="146"/>
      <c r="E88" s="165"/>
      <c r="G88" s="110">
        <v>5002</v>
      </c>
      <c r="H88" s="110" t="s">
        <v>306</v>
      </c>
      <c r="I88" s="134">
        <f>'SONY-PANASONIC'!F7</f>
        <v>90</v>
      </c>
      <c r="J88" s="146">
        <v>80</v>
      </c>
      <c r="K88" s="223">
        <v>2</v>
      </c>
    </row>
    <row r="89" spans="1:11" ht="11.25" customHeight="1">
      <c r="A89" s="129">
        <v>8012</v>
      </c>
      <c r="B89" s="130" t="s">
        <v>401</v>
      </c>
      <c r="C89" s="135">
        <f>CHINO!F8</f>
        <v>100</v>
      </c>
      <c r="D89" s="146"/>
      <c r="E89" s="65">
        <v>2</v>
      </c>
      <c r="G89" s="112">
        <v>5003</v>
      </c>
      <c r="H89" s="112" t="s">
        <v>307</v>
      </c>
      <c r="I89" s="134">
        <f>'SONY-PANASONIC'!F8</f>
        <v>120</v>
      </c>
      <c r="J89" s="146"/>
      <c r="K89" s="141"/>
    </row>
    <row r="90" spans="1:11" ht="11.25" customHeight="1">
      <c r="A90" s="131">
        <v>8013</v>
      </c>
      <c r="B90" s="132" t="s">
        <v>402</v>
      </c>
      <c r="C90" s="135">
        <f>CHINO!F9</f>
        <v>100</v>
      </c>
      <c r="D90" s="146"/>
      <c r="E90" s="165"/>
      <c r="G90" s="110">
        <v>5006</v>
      </c>
      <c r="H90" s="110" t="s">
        <v>308</v>
      </c>
      <c r="I90" s="134">
        <f>'SONY-PANASONIC'!F9</f>
        <v>90</v>
      </c>
      <c r="J90" s="146">
        <v>80</v>
      </c>
      <c r="K90" s="223">
        <v>1.8</v>
      </c>
    </row>
    <row r="91" spans="1:11" ht="11.25" customHeight="1">
      <c r="A91" s="129">
        <v>8009</v>
      </c>
      <c r="B91" s="128" t="s">
        <v>403</v>
      </c>
      <c r="C91" s="135">
        <f>CHINO!F10</f>
        <v>90</v>
      </c>
      <c r="D91" s="146"/>
      <c r="E91" s="65"/>
      <c r="G91" s="112">
        <v>5009</v>
      </c>
      <c r="H91" s="112" t="s">
        <v>309</v>
      </c>
      <c r="I91" s="134">
        <f>'SONY-PANASONIC'!F10</f>
        <v>150</v>
      </c>
      <c r="J91" s="146"/>
      <c r="K91" s="141"/>
    </row>
    <row r="92" spans="1:11" ht="11.25" customHeight="1">
      <c r="A92" s="131">
        <v>4001</v>
      </c>
      <c r="B92" s="133" t="s">
        <v>405</v>
      </c>
      <c r="C92" s="135">
        <f>CHINO!F11</f>
        <v>60</v>
      </c>
      <c r="D92" s="146"/>
      <c r="E92" s="165">
        <v>1.1100000000000001</v>
      </c>
      <c r="G92" s="110">
        <v>5010</v>
      </c>
      <c r="H92" s="110" t="s">
        <v>310</v>
      </c>
      <c r="I92" s="134">
        <f>'SONY-PANASONIC'!F11</f>
        <v>180</v>
      </c>
      <c r="J92" s="146">
        <v>160</v>
      </c>
      <c r="K92" s="223">
        <v>3.1</v>
      </c>
    </row>
    <row r="93" spans="1:11" ht="11.25" customHeight="1">
      <c r="A93" s="112">
        <v>8007</v>
      </c>
      <c r="B93" s="128" t="s">
        <v>407</v>
      </c>
      <c r="C93" s="135">
        <f>CHINO!F12</f>
        <v>120</v>
      </c>
      <c r="D93" s="146"/>
      <c r="E93" s="65"/>
      <c r="G93" s="112">
        <v>5012</v>
      </c>
      <c r="H93" s="112" t="s">
        <v>311</v>
      </c>
      <c r="I93" s="134">
        <f>'SONY-PANASONIC'!F12</f>
        <v>200</v>
      </c>
      <c r="J93" s="146">
        <v>200</v>
      </c>
      <c r="K93" s="141"/>
    </row>
    <row r="94" spans="1:11" ht="11.25" customHeight="1">
      <c r="A94" s="131">
        <v>8024</v>
      </c>
      <c r="B94" s="127" t="s">
        <v>408</v>
      </c>
      <c r="C94" s="135">
        <f>CHINO!F13</f>
        <v>150</v>
      </c>
      <c r="D94" s="146">
        <v>140</v>
      </c>
      <c r="E94" s="165">
        <v>1.7</v>
      </c>
      <c r="G94" s="110">
        <v>5015</v>
      </c>
      <c r="H94" s="110" t="s">
        <v>312</v>
      </c>
      <c r="I94" s="134">
        <f>'SONY-PANASONIC'!F13</f>
        <v>160</v>
      </c>
      <c r="J94" s="146">
        <v>140</v>
      </c>
      <c r="K94" s="223">
        <v>2.6</v>
      </c>
    </row>
    <row r="95" spans="1:11" ht="11.25" customHeight="1">
      <c r="A95" s="129">
        <v>8025</v>
      </c>
      <c r="B95" s="128" t="s">
        <v>409</v>
      </c>
      <c r="C95" s="135">
        <f>CHINO!F14</f>
        <v>200</v>
      </c>
      <c r="D95" s="146">
        <v>200</v>
      </c>
      <c r="E95" s="65"/>
      <c r="G95" s="112">
        <v>5018</v>
      </c>
      <c r="H95" s="112" t="s">
        <v>645</v>
      </c>
      <c r="I95" s="134">
        <f>'SONY-PANASONIC'!F14</f>
        <v>200</v>
      </c>
      <c r="J95" s="146">
        <v>200</v>
      </c>
      <c r="K95" s="141">
        <v>3.8</v>
      </c>
    </row>
    <row r="96" spans="1:11" ht="11.25" customHeight="1">
      <c r="A96" s="110">
        <v>8032</v>
      </c>
      <c r="B96" s="127" t="s">
        <v>410</v>
      </c>
      <c r="C96" s="135">
        <f>CHINO!F15</f>
        <v>180</v>
      </c>
      <c r="D96" s="146"/>
      <c r="E96" s="165"/>
      <c r="G96" s="110">
        <v>5021</v>
      </c>
      <c r="H96" s="110" t="s">
        <v>314</v>
      </c>
      <c r="I96" s="134">
        <f>'SONY-PANASONIC'!F15</f>
        <v>150</v>
      </c>
      <c r="J96" s="146"/>
      <c r="K96" s="223">
        <v>1.5</v>
      </c>
    </row>
    <row r="97" spans="1:11" ht="11.25" customHeight="1">
      <c r="A97" s="112">
        <v>8030</v>
      </c>
      <c r="B97" s="128" t="s">
        <v>411</v>
      </c>
      <c r="C97" s="135">
        <f>CHINO!F16</f>
        <v>150</v>
      </c>
      <c r="D97" s="146">
        <v>150</v>
      </c>
      <c r="E97" s="65"/>
      <c r="G97" s="112">
        <v>5022</v>
      </c>
      <c r="H97" s="112" t="s">
        <v>315</v>
      </c>
      <c r="I97" s="134">
        <f>'SONY-PANASONIC'!F16</f>
        <v>140</v>
      </c>
      <c r="J97" s="146">
        <v>120</v>
      </c>
      <c r="K97" s="141"/>
    </row>
    <row r="98" spans="1:11" ht="11.25" customHeight="1">
      <c r="A98" s="110">
        <v>8036</v>
      </c>
      <c r="B98" s="127" t="s">
        <v>412</v>
      </c>
      <c r="C98" s="135">
        <f>CHINO!F17</f>
        <v>150</v>
      </c>
      <c r="D98" s="146"/>
      <c r="E98" s="165"/>
      <c r="G98" s="110">
        <v>5024</v>
      </c>
      <c r="H98" s="110" t="s">
        <v>316</v>
      </c>
      <c r="I98" s="134">
        <f>'SONY-PANASONIC'!F17</f>
        <v>150</v>
      </c>
      <c r="J98" s="146">
        <v>140</v>
      </c>
      <c r="K98" s="223"/>
    </row>
    <row r="99" spans="1:11" ht="11.25" customHeight="1">
      <c r="A99" s="217">
        <v>8038</v>
      </c>
      <c r="B99" s="218" t="s">
        <v>888</v>
      </c>
      <c r="C99" s="219">
        <f>CHINO!F18</f>
        <v>200</v>
      </c>
      <c r="D99" s="146"/>
      <c r="E99" s="65">
        <v>5</v>
      </c>
      <c r="G99" s="112">
        <v>5025</v>
      </c>
      <c r="H99" s="112" t="s">
        <v>317</v>
      </c>
      <c r="I99" s="134">
        <f>'SONY-PANASONIC'!F18</f>
        <v>150</v>
      </c>
      <c r="J99" s="146">
        <v>140</v>
      </c>
      <c r="K99" s="141"/>
    </row>
    <row r="100" spans="1:11" ht="11.25" customHeight="1">
      <c r="A100" s="129">
        <v>8042</v>
      </c>
      <c r="B100" s="128" t="s">
        <v>618</v>
      </c>
      <c r="C100" s="135">
        <f>CHINO!F19</f>
        <v>180</v>
      </c>
      <c r="D100" s="146"/>
      <c r="E100" s="165"/>
      <c r="G100" s="110">
        <v>5026</v>
      </c>
      <c r="H100" s="110" t="s">
        <v>318</v>
      </c>
      <c r="I100" s="134">
        <f>'SONY-PANASONIC'!F19</f>
        <v>240</v>
      </c>
      <c r="J100" s="146">
        <v>220</v>
      </c>
      <c r="K100" s="223"/>
    </row>
    <row r="101" spans="1:11" ht="11.25" customHeight="1">
      <c r="A101" s="110">
        <v>8008</v>
      </c>
      <c r="B101" s="127" t="s">
        <v>414</v>
      </c>
      <c r="C101" s="135">
        <f>CHINO!F20</f>
        <v>180</v>
      </c>
      <c r="D101" s="146"/>
      <c r="E101" s="65"/>
      <c r="G101" s="112">
        <v>5027</v>
      </c>
      <c r="H101" s="112" t="s">
        <v>319</v>
      </c>
      <c r="I101" s="134">
        <f>'SONY-PANASONIC'!F20</f>
        <v>150</v>
      </c>
      <c r="J101" s="146">
        <v>140</v>
      </c>
      <c r="K101" s="141"/>
    </row>
    <row r="102" spans="1:11" ht="11.25" customHeight="1">
      <c r="A102" s="112">
        <v>8054</v>
      </c>
      <c r="B102" s="128" t="s">
        <v>415</v>
      </c>
      <c r="C102" s="135">
        <f>CHINO!F21</f>
        <v>180</v>
      </c>
      <c r="D102" s="146"/>
      <c r="E102" s="165"/>
      <c r="G102" s="110">
        <v>5029</v>
      </c>
      <c r="H102" s="110" t="s">
        <v>320</v>
      </c>
      <c r="I102" s="134">
        <f>'SONY-PANASONIC'!F21</f>
        <v>200</v>
      </c>
      <c r="J102" s="146"/>
      <c r="K102" s="223">
        <v>5.14</v>
      </c>
    </row>
    <row r="103" spans="1:11" ht="11.25" customHeight="1">
      <c r="A103" s="110">
        <v>8063</v>
      </c>
      <c r="B103" s="127" t="s">
        <v>416</v>
      </c>
      <c r="C103" s="135">
        <f>CHINO!F22</f>
        <v>220</v>
      </c>
      <c r="D103" s="146"/>
      <c r="E103" s="65"/>
      <c r="G103" s="112">
        <v>5028</v>
      </c>
      <c r="H103" s="112" t="s">
        <v>322</v>
      </c>
      <c r="I103" s="134">
        <f>'SONY-PANASONIC'!F22</f>
        <v>250</v>
      </c>
      <c r="J103" s="146"/>
      <c r="K103" s="141"/>
    </row>
    <row r="104" spans="1:11" ht="11.25" customHeight="1">
      <c r="A104" s="112">
        <v>8066</v>
      </c>
      <c r="B104" s="112" t="s">
        <v>417</v>
      </c>
      <c r="C104" s="135">
        <f>CHINO!F23</f>
        <v>250</v>
      </c>
      <c r="D104" s="146"/>
      <c r="E104" s="165"/>
      <c r="G104" s="110">
        <v>5030</v>
      </c>
      <c r="H104" s="110" t="s">
        <v>323</v>
      </c>
      <c r="I104" s="134">
        <f>'SONY-PANASONIC'!F23</f>
        <v>240</v>
      </c>
      <c r="J104" s="146"/>
      <c r="K104" s="223"/>
    </row>
    <row r="105" spans="1:11" ht="11.25" customHeight="1">
      <c r="A105" s="110">
        <v>8073</v>
      </c>
      <c r="B105" s="236" t="s">
        <v>937</v>
      </c>
      <c r="C105" s="135">
        <f>CHINO!F24</f>
        <v>220</v>
      </c>
      <c r="D105" s="146"/>
      <c r="E105" s="65">
        <v>3.43</v>
      </c>
      <c r="G105" s="112">
        <v>5031</v>
      </c>
      <c r="H105" s="112" t="s">
        <v>324</v>
      </c>
      <c r="I105" s="134">
        <f>'SONY-PANASONIC'!F24</f>
        <v>250</v>
      </c>
      <c r="J105" s="146"/>
      <c r="K105" s="141">
        <v>5.2</v>
      </c>
    </row>
    <row r="106" spans="1:11" ht="11.25" customHeight="1">
      <c r="A106" s="129">
        <v>8061</v>
      </c>
      <c r="B106" s="128" t="s">
        <v>419</v>
      </c>
      <c r="C106" s="135">
        <f>CHINO!F25</f>
        <v>250</v>
      </c>
      <c r="D106" s="146"/>
      <c r="E106" s="165"/>
      <c r="G106" s="201" t="s">
        <v>930</v>
      </c>
      <c r="H106" s="201" t="s">
        <v>931</v>
      </c>
      <c r="I106" s="134">
        <f>'SONY-PANASONIC'!F25</f>
        <v>320</v>
      </c>
      <c r="J106" s="146"/>
      <c r="K106" s="223">
        <v>7.4</v>
      </c>
    </row>
    <row r="107" spans="1:11" ht="11.25" customHeight="1">
      <c r="A107" s="110">
        <v>8072</v>
      </c>
      <c r="B107" s="127" t="s">
        <v>420</v>
      </c>
      <c r="C107" s="135">
        <f>CHINO!F26</f>
        <v>240</v>
      </c>
      <c r="D107" s="146"/>
      <c r="E107" s="65"/>
      <c r="G107" s="110">
        <v>5032</v>
      </c>
      <c r="H107" s="110" t="s">
        <v>325</v>
      </c>
      <c r="I107" s="134">
        <f>'SONY-PANASONIC'!F26</f>
        <v>200</v>
      </c>
      <c r="J107" s="146">
        <v>190</v>
      </c>
      <c r="K107" s="141"/>
    </row>
    <row r="108" spans="1:11" ht="11.25" customHeight="1">
      <c r="A108" s="112">
        <v>8075</v>
      </c>
      <c r="B108" s="128" t="s">
        <v>421</v>
      </c>
      <c r="C108" s="135">
        <f>CHINO!F27</f>
        <v>250</v>
      </c>
      <c r="D108" s="146"/>
      <c r="E108" s="165"/>
      <c r="G108" s="112">
        <v>5033</v>
      </c>
      <c r="H108" s="112" t="s">
        <v>326</v>
      </c>
      <c r="I108" s="134">
        <f>'SONY-PANASONIC'!F27</f>
        <v>200</v>
      </c>
      <c r="J108" s="146"/>
      <c r="K108" s="223"/>
    </row>
    <row r="109" spans="1:11" ht="11.25" customHeight="1">
      <c r="A109" s="110">
        <v>8094</v>
      </c>
      <c r="B109" s="127" t="s">
        <v>422</v>
      </c>
      <c r="C109" s="135">
        <f>CHINO!F28</f>
        <v>320</v>
      </c>
      <c r="D109" s="146"/>
      <c r="E109" s="65"/>
      <c r="G109" s="110">
        <v>5034</v>
      </c>
      <c r="H109" s="110" t="s">
        <v>327</v>
      </c>
      <c r="I109" s="134">
        <f>'SONY-PANASONIC'!F28</f>
        <v>240</v>
      </c>
      <c r="J109" s="146">
        <v>220</v>
      </c>
      <c r="K109" s="141"/>
    </row>
    <row r="110" spans="1:11" ht="11.25" customHeight="1">
      <c r="A110" s="112">
        <v>8081</v>
      </c>
      <c r="B110" s="237" t="s">
        <v>939</v>
      </c>
      <c r="C110" s="135">
        <f>CHINO!F29</f>
        <v>300</v>
      </c>
      <c r="D110" s="146"/>
      <c r="E110" s="165">
        <v>3.5</v>
      </c>
      <c r="G110" s="112">
        <v>5035</v>
      </c>
      <c r="H110" s="112" t="s">
        <v>328</v>
      </c>
      <c r="I110" s="134">
        <f>'SONY-PANASONIC'!F29</f>
        <v>350</v>
      </c>
      <c r="J110" s="146"/>
      <c r="K110" s="223"/>
    </row>
    <row r="111" spans="1:11" ht="11.25" customHeight="1">
      <c r="A111" s="112">
        <v>8082</v>
      </c>
      <c r="B111" s="128" t="s">
        <v>691</v>
      </c>
      <c r="C111" s="135">
        <v>320</v>
      </c>
      <c r="D111" s="146"/>
      <c r="E111" s="65">
        <v>3.2</v>
      </c>
      <c r="G111" s="110">
        <v>5036</v>
      </c>
      <c r="H111" s="110" t="s">
        <v>329</v>
      </c>
      <c r="I111" s="134">
        <f>'SONY-PANASONIC'!F30</f>
        <v>320</v>
      </c>
      <c r="J111" s="146">
        <v>320</v>
      </c>
      <c r="K111" s="141"/>
    </row>
    <row r="112" spans="1:11" ht="11.25" customHeight="1">
      <c r="A112" s="110">
        <v>8074</v>
      </c>
      <c r="B112" s="127" t="s">
        <v>424</v>
      </c>
      <c r="C112" s="135">
        <f>CHINO!F31</f>
        <v>280</v>
      </c>
      <c r="D112" s="146"/>
      <c r="E112" s="165"/>
      <c r="G112" s="112">
        <v>5038</v>
      </c>
      <c r="H112" s="112" t="s">
        <v>330</v>
      </c>
      <c r="I112" s="134">
        <f>'SONY-PANASONIC'!F31</f>
        <v>300</v>
      </c>
      <c r="J112" s="146"/>
      <c r="K112" s="223"/>
    </row>
    <row r="113" spans="1:11" ht="11.25" customHeight="1">
      <c r="A113" s="112">
        <v>8090</v>
      </c>
      <c r="B113" s="128" t="s">
        <v>784</v>
      </c>
      <c r="C113" s="135">
        <f>CHINO!F32</f>
        <v>300</v>
      </c>
      <c r="D113" s="146"/>
      <c r="E113" s="65"/>
      <c r="G113" s="110">
        <v>5039</v>
      </c>
      <c r="H113" s="110" t="s">
        <v>331</v>
      </c>
      <c r="I113" s="134">
        <f>'SONY-PANASONIC'!F32</f>
        <v>450</v>
      </c>
      <c r="J113" s="146"/>
      <c r="K113" s="141"/>
    </row>
    <row r="114" spans="1:11" ht="11.25" customHeight="1">
      <c r="A114" s="110">
        <v>8091</v>
      </c>
      <c r="B114" s="127" t="s">
        <v>426</v>
      </c>
      <c r="C114" s="135">
        <f>CHINO!F33</f>
        <v>300</v>
      </c>
      <c r="D114" s="146"/>
      <c r="E114" s="165"/>
      <c r="G114" s="112">
        <v>5040</v>
      </c>
      <c r="H114" s="112" t="s">
        <v>332</v>
      </c>
      <c r="I114" s="134">
        <f>'SONY-PANASONIC'!F33</f>
        <v>800</v>
      </c>
      <c r="J114" s="146"/>
      <c r="K114" s="223"/>
    </row>
    <row r="115" spans="1:11" ht="11.25" customHeight="1">
      <c r="A115" s="112">
        <v>8076</v>
      </c>
      <c r="B115" s="128" t="s">
        <v>428</v>
      </c>
      <c r="C115" s="135">
        <f>CHINO!F34</f>
        <v>300</v>
      </c>
      <c r="D115" s="146"/>
      <c r="E115" s="65">
        <v>6.3</v>
      </c>
      <c r="G115" s="110">
        <v>5045</v>
      </c>
      <c r="H115" s="110" t="s">
        <v>333</v>
      </c>
      <c r="I115" s="134">
        <f>'SONY-PANASONIC'!F34</f>
        <v>600</v>
      </c>
      <c r="J115" s="146"/>
      <c r="K115" s="239"/>
    </row>
    <row r="116" spans="1:11" ht="11.25" customHeight="1">
      <c r="A116" s="131">
        <v>8078</v>
      </c>
      <c r="B116" s="127" t="s">
        <v>430</v>
      </c>
      <c r="C116" s="135">
        <f>CHINO!F35</f>
        <v>300</v>
      </c>
      <c r="D116" s="146"/>
      <c r="E116" s="165"/>
    </row>
    <row r="117" spans="1:11" ht="11.25" customHeight="1">
      <c r="A117" s="112">
        <v>6027</v>
      </c>
      <c r="B117" s="181" t="s">
        <v>783</v>
      </c>
      <c r="C117" s="148">
        <v>280</v>
      </c>
      <c r="D117" s="149"/>
      <c r="E117" s="65"/>
      <c r="G117" s="254" t="s">
        <v>621</v>
      </c>
      <c r="H117" s="254"/>
      <c r="I117" s="254"/>
    </row>
    <row r="118" spans="1:11" ht="11.25" customHeight="1">
      <c r="A118" s="112">
        <v>8093</v>
      </c>
      <c r="B118" s="128" t="s">
        <v>431</v>
      </c>
      <c r="C118" s="135">
        <f>CHINO!F36</f>
        <v>300</v>
      </c>
      <c r="D118" s="146"/>
      <c r="E118" s="165">
        <v>6.5</v>
      </c>
      <c r="G118" s="104" t="s">
        <v>616</v>
      </c>
      <c r="H118" s="105" t="s">
        <v>2</v>
      </c>
      <c r="I118" s="147" t="s">
        <v>607</v>
      </c>
      <c r="J118" s="145" t="s">
        <v>478</v>
      </c>
    </row>
    <row r="119" spans="1:11" ht="11.25" customHeight="1">
      <c r="A119" s="110">
        <v>8103</v>
      </c>
      <c r="B119" s="127" t="s">
        <v>432</v>
      </c>
      <c r="C119" s="135">
        <f>CHINO!F38</f>
        <v>320</v>
      </c>
      <c r="D119" s="146"/>
      <c r="E119" s="65"/>
      <c r="G119" s="110">
        <v>3000</v>
      </c>
      <c r="H119" s="119" t="s">
        <v>265</v>
      </c>
      <c r="I119" s="134">
        <f>HAIER!F5</f>
        <v>90</v>
      </c>
      <c r="J119" s="144">
        <v>90</v>
      </c>
      <c r="K119" s="223">
        <v>2.5</v>
      </c>
    </row>
    <row r="120" spans="1:11" ht="11.25" customHeight="1">
      <c r="A120" s="112">
        <v>8064</v>
      </c>
      <c r="B120" s="128" t="s">
        <v>433</v>
      </c>
      <c r="C120" s="135">
        <f>CHINO!F39</f>
        <v>320</v>
      </c>
      <c r="D120" s="146"/>
      <c r="E120" s="165"/>
      <c r="G120" s="112">
        <v>3001</v>
      </c>
      <c r="H120" s="115" t="s">
        <v>266</v>
      </c>
      <c r="I120" s="134">
        <f>HAIER!F6</f>
        <v>100</v>
      </c>
      <c r="J120" s="144">
        <v>90</v>
      </c>
      <c r="K120" s="141"/>
    </row>
    <row r="121" spans="1:11" ht="11.25" customHeight="1">
      <c r="A121" s="110">
        <v>8120</v>
      </c>
      <c r="B121" s="110" t="s">
        <v>434</v>
      </c>
      <c r="C121" s="135">
        <f>CHINO!F40</f>
        <v>3.5</v>
      </c>
      <c r="D121" s="146"/>
      <c r="E121" s="65"/>
      <c r="G121" s="110">
        <v>3003</v>
      </c>
      <c r="H121" s="111" t="s">
        <v>267</v>
      </c>
      <c r="I121" s="134">
        <f>HAIER!F7</f>
        <v>160</v>
      </c>
      <c r="J121" s="144">
        <v>150</v>
      </c>
      <c r="K121" s="223">
        <v>3.9</v>
      </c>
    </row>
    <row r="122" spans="1:11" ht="11.25" customHeight="1">
      <c r="A122" s="129">
        <v>8123</v>
      </c>
      <c r="B122" s="112" t="s">
        <v>435</v>
      </c>
      <c r="C122" s="135">
        <f>CHINO!F41</f>
        <v>3.5</v>
      </c>
      <c r="D122" s="146">
        <v>4</v>
      </c>
      <c r="E122" s="165"/>
      <c r="G122" s="112">
        <v>3006</v>
      </c>
      <c r="H122" s="114" t="s">
        <v>268</v>
      </c>
      <c r="I122" s="134">
        <f>HAIER!F8</f>
        <v>180</v>
      </c>
      <c r="J122" s="144">
        <v>160</v>
      </c>
      <c r="K122" s="141">
        <v>4.9000000000000004</v>
      </c>
    </row>
    <row r="123" spans="1:11" ht="11.25" customHeight="1">
      <c r="A123" s="110">
        <v>8126</v>
      </c>
      <c r="B123" s="110" t="s">
        <v>436</v>
      </c>
      <c r="C123" s="135">
        <f>CHINO!F42</f>
        <v>3.5</v>
      </c>
      <c r="D123" s="146"/>
      <c r="E123" s="65"/>
      <c r="G123" s="110">
        <v>3009</v>
      </c>
      <c r="H123" s="111" t="s">
        <v>269</v>
      </c>
      <c r="I123" s="134">
        <f>HAIER!F9</f>
        <v>220</v>
      </c>
      <c r="J123" s="144"/>
      <c r="K123" s="223"/>
    </row>
    <row r="124" spans="1:11" ht="11.25" customHeight="1">
      <c r="A124" s="112">
        <v>8129</v>
      </c>
      <c r="B124" s="112" t="s">
        <v>437</v>
      </c>
      <c r="C124" s="135">
        <f>CHINO!F43</f>
        <v>3.5</v>
      </c>
      <c r="D124" s="146"/>
      <c r="E124" s="165"/>
      <c r="G124" s="112">
        <v>3012</v>
      </c>
      <c r="H124" s="114" t="s">
        <v>270</v>
      </c>
      <c r="I124" s="134">
        <f>HAIER!F10</f>
        <v>260</v>
      </c>
      <c r="J124" s="144">
        <v>270</v>
      </c>
      <c r="K124" s="141"/>
    </row>
    <row r="125" spans="1:11" ht="11.25" customHeight="1">
      <c r="A125" s="131">
        <v>8124</v>
      </c>
      <c r="B125" s="110" t="s">
        <v>438</v>
      </c>
      <c r="C125" s="135">
        <f>CHINO!F44</f>
        <v>3.5</v>
      </c>
      <c r="D125" s="146">
        <v>3</v>
      </c>
      <c r="E125" s="65"/>
      <c r="G125" s="110">
        <v>3015</v>
      </c>
      <c r="H125" s="111" t="s">
        <v>271</v>
      </c>
      <c r="I125" s="134">
        <f>HAIER!F11</f>
        <v>260</v>
      </c>
      <c r="J125" s="144"/>
      <c r="K125" s="223"/>
    </row>
    <row r="126" spans="1:11" ht="11.25" customHeight="1">
      <c r="A126" s="112">
        <v>8130</v>
      </c>
      <c r="B126" s="112" t="s">
        <v>439</v>
      </c>
      <c r="C126" s="135">
        <f>CHINO!F45</f>
        <v>3.5</v>
      </c>
      <c r="D126" s="146"/>
      <c r="E126" s="175"/>
      <c r="G126" s="112">
        <v>3018</v>
      </c>
      <c r="H126" s="114" t="s">
        <v>272</v>
      </c>
      <c r="I126" s="134">
        <f>HAIER!F12</f>
        <v>250</v>
      </c>
      <c r="J126" s="144"/>
      <c r="K126" s="141">
        <v>4.5</v>
      </c>
    </row>
    <row r="127" spans="1:11" ht="11.25" customHeight="1">
      <c r="E127" s="209"/>
      <c r="G127" s="110">
        <v>3021</v>
      </c>
      <c r="H127" s="111" t="s">
        <v>273</v>
      </c>
      <c r="I127" s="134">
        <f>HAIER!F13</f>
        <v>250</v>
      </c>
      <c r="J127" s="144">
        <v>250</v>
      </c>
      <c r="K127" s="223">
        <v>6.9</v>
      </c>
    </row>
    <row r="128" spans="1:11" ht="11.25" customHeight="1">
      <c r="A128" s="254" t="s">
        <v>359</v>
      </c>
      <c r="B128" s="254"/>
      <c r="C128" s="254"/>
      <c r="G128" s="112">
        <v>3024</v>
      </c>
      <c r="H128" s="114" t="s">
        <v>274</v>
      </c>
      <c r="I128" s="134">
        <f>HAIER!F14</f>
        <v>280</v>
      </c>
      <c r="J128" s="144">
        <v>270</v>
      </c>
      <c r="K128" s="141"/>
    </row>
    <row r="129" spans="1:11" ht="11.25" customHeight="1">
      <c r="A129" s="104" t="s">
        <v>616</v>
      </c>
      <c r="B129" s="105" t="s">
        <v>2</v>
      </c>
      <c r="C129" s="134" t="s">
        <v>607</v>
      </c>
      <c r="D129" s="145" t="s">
        <v>478</v>
      </c>
      <c r="E129" s="208"/>
      <c r="G129" s="110">
        <v>3027</v>
      </c>
      <c r="H129" s="111" t="s">
        <v>275</v>
      </c>
      <c r="I129" s="134">
        <f>HAIER!F15</f>
        <v>280</v>
      </c>
      <c r="J129" s="144"/>
      <c r="K129" s="223"/>
    </row>
    <row r="130" spans="1:11" ht="11.25" customHeight="1">
      <c r="A130" s="110">
        <v>6010</v>
      </c>
      <c r="B130" s="111" t="s">
        <v>360</v>
      </c>
      <c r="C130" s="135">
        <f>'HISENSE '!E5</f>
        <v>180</v>
      </c>
      <c r="D130" s="144"/>
      <c r="E130" s="165"/>
      <c r="G130" s="112">
        <v>3028</v>
      </c>
      <c r="H130" s="114" t="s">
        <v>276</v>
      </c>
      <c r="I130" s="134">
        <f>HAIER!F16</f>
        <v>350</v>
      </c>
      <c r="J130" s="144"/>
      <c r="K130" s="141"/>
    </row>
    <row r="131" spans="1:11" ht="11.25" customHeight="1">
      <c r="A131" s="110">
        <v>6110</v>
      </c>
      <c r="B131" s="153" t="s">
        <v>940</v>
      </c>
      <c r="C131" s="135">
        <f>'HISENSE '!E6</f>
        <v>60</v>
      </c>
      <c r="D131" s="144"/>
      <c r="E131" s="65">
        <v>1.1000000000000001</v>
      </c>
      <c r="G131" s="110">
        <v>3030</v>
      </c>
      <c r="H131" s="111" t="s">
        <v>277</v>
      </c>
      <c r="I131" s="134">
        <f>HAIER!F17</f>
        <v>320</v>
      </c>
      <c r="J131" s="144">
        <v>320</v>
      </c>
      <c r="K131" s="223"/>
    </row>
    <row r="132" spans="1:11" ht="11.25" customHeight="1">
      <c r="A132" s="112">
        <v>6018</v>
      </c>
      <c r="B132" s="114" t="s">
        <v>361</v>
      </c>
      <c r="C132" s="135">
        <f>'HISENSE '!E7</f>
        <v>280</v>
      </c>
      <c r="D132" s="144"/>
      <c r="E132" s="165">
        <v>5.6</v>
      </c>
      <c r="G132" s="112">
        <v>3033</v>
      </c>
      <c r="H132" s="114" t="s">
        <v>278</v>
      </c>
      <c r="I132" s="134">
        <f>HAIER!F18</f>
        <v>320</v>
      </c>
      <c r="J132" s="144">
        <v>320</v>
      </c>
      <c r="K132" s="141">
        <v>7.5</v>
      </c>
    </row>
    <row r="133" spans="1:11" ht="11.25" customHeight="1">
      <c r="A133" s="112">
        <v>6020</v>
      </c>
      <c r="B133" s="165" t="s">
        <v>744</v>
      </c>
      <c r="C133" s="135">
        <f>'HISENSE '!E8</f>
        <v>300</v>
      </c>
      <c r="D133" s="144"/>
      <c r="E133" s="65">
        <v>6.6</v>
      </c>
      <c r="G133" s="110">
        <v>3036</v>
      </c>
      <c r="H133" s="111" t="s">
        <v>279</v>
      </c>
      <c r="I133" s="134">
        <f>HAIER!F19</f>
        <v>350</v>
      </c>
      <c r="J133" s="144">
        <v>320</v>
      </c>
      <c r="K133" s="223"/>
    </row>
    <row r="134" spans="1:11" ht="11.25" customHeight="1">
      <c r="A134" s="112">
        <v>6033</v>
      </c>
      <c r="B134" s="114" t="s">
        <v>365</v>
      </c>
      <c r="C134" s="135">
        <f>'HISENSE '!E9</f>
        <v>350</v>
      </c>
      <c r="E134" s="165">
        <v>6.6</v>
      </c>
      <c r="G134" s="112">
        <v>3040</v>
      </c>
      <c r="H134" s="114" t="s">
        <v>280</v>
      </c>
      <c r="I134" s="134">
        <f>HAIER!F20</f>
        <v>450</v>
      </c>
      <c r="J134" s="144">
        <v>430</v>
      </c>
      <c r="K134" s="239"/>
    </row>
    <row r="135" spans="1:11" ht="11.25" customHeight="1">
      <c r="A135" s="110">
        <v>6034</v>
      </c>
      <c r="B135" s="111" t="s">
        <v>367</v>
      </c>
      <c r="C135" s="135">
        <f>'HISENSE '!E10</f>
        <v>380</v>
      </c>
      <c r="E135" s="240">
        <v>4.9000000000000004</v>
      </c>
      <c r="G135" s="255" t="s">
        <v>622</v>
      </c>
      <c r="H135" s="256"/>
      <c r="I135" s="257"/>
    </row>
    <row r="136" spans="1:11" ht="11.25" customHeight="1">
      <c r="D136" s="140"/>
      <c r="E136" s="140"/>
      <c r="G136" s="104" t="s">
        <v>616</v>
      </c>
      <c r="H136" s="105" t="s">
        <v>2</v>
      </c>
      <c r="I136" s="147" t="s">
        <v>607</v>
      </c>
      <c r="J136" s="145" t="s">
        <v>478</v>
      </c>
    </row>
    <row r="137" spans="1:11" ht="11.25" customHeight="1">
      <c r="A137" s="254" t="s">
        <v>369</v>
      </c>
      <c r="B137" s="254"/>
      <c r="C137" s="254"/>
      <c r="D137" s="140"/>
      <c r="E137" s="140"/>
      <c r="G137" s="110">
        <v>7000</v>
      </c>
      <c r="H137" s="111" t="s">
        <v>335</v>
      </c>
      <c r="I137" s="134">
        <f>'IRT-PHILIPS'!F5</f>
        <v>60</v>
      </c>
      <c r="J137" s="146">
        <v>70</v>
      </c>
      <c r="K137" s="223">
        <v>1.1000000000000001</v>
      </c>
    </row>
    <row r="138" spans="1:11" ht="11.25" customHeight="1">
      <c r="A138" s="104" t="s">
        <v>616</v>
      </c>
      <c r="B138" s="105" t="s">
        <v>2</v>
      </c>
      <c r="C138" s="134" t="s">
        <v>607</v>
      </c>
      <c r="D138" s="145" t="s">
        <v>478</v>
      </c>
      <c r="E138" s="208"/>
      <c r="G138" s="112">
        <v>7002</v>
      </c>
      <c r="H138" s="123" t="s">
        <v>336</v>
      </c>
      <c r="I138" s="134">
        <f>'IRT-PHILIPS'!F6</f>
        <v>70</v>
      </c>
      <c r="J138" s="146"/>
      <c r="K138" s="141">
        <v>1.1000000000000001</v>
      </c>
    </row>
    <row r="139" spans="1:11" ht="11.25" customHeight="1">
      <c r="A139" s="110">
        <v>6000</v>
      </c>
      <c r="B139" s="111" t="s">
        <v>370</v>
      </c>
      <c r="C139" s="135">
        <f>SKYWORTH!E5</f>
        <v>60</v>
      </c>
      <c r="D139" s="144">
        <v>60</v>
      </c>
      <c r="E139" s="165">
        <v>1.1000000000000001</v>
      </c>
      <c r="G139" s="110">
        <v>7003</v>
      </c>
      <c r="H139" s="111" t="s">
        <v>337</v>
      </c>
      <c r="I139" s="134">
        <f>'IRT-PHILIPS'!F7</f>
        <v>150</v>
      </c>
      <c r="J139" s="146">
        <v>140</v>
      </c>
      <c r="K139" s="223"/>
    </row>
    <row r="140" spans="1:11" ht="11.25" customHeight="1">
      <c r="A140" s="192" t="s">
        <v>856</v>
      </c>
      <c r="B140" s="192" t="s">
        <v>857</v>
      </c>
      <c r="C140" s="193">
        <f>SKYWORTH!E6</f>
        <v>60</v>
      </c>
      <c r="D140" s="200"/>
      <c r="E140" s="65">
        <v>1.3</v>
      </c>
      <c r="G140" s="112">
        <v>7004</v>
      </c>
      <c r="H140" s="123" t="s">
        <v>338</v>
      </c>
      <c r="I140" s="134">
        <f>'IRT-PHILIPS'!F8</f>
        <v>150</v>
      </c>
      <c r="J140" s="146">
        <v>140</v>
      </c>
      <c r="K140" s="141">
        <v>2.1</v>
      </c>
    </row>
    <row r="141" spans="1:11" ht="11.25" customHeight="1">
      <c r="A141" s="112">
        <v>6006</v>
      </c>
      <c r="B141" s="114" t="s">
        <v>371</v>
      </c>
      <c r="C141" s="135">
        <f>SKYWORTH!E7</f>
        <v>140</v>
      </c>
      <c r="D141" s="144">
        <v>130</v>
      </c>
      <c r="E141" s="165">
        <v>1.8</v>
      </c>
      <c r="G141" s="110">
        <v>7009</v>
      </c>
      <c r="H141" s="111" t="s">
        <v>339</v>
      </c>
      <c r="I141" s="134">
        <f>'IRT-PHILIPS'!F9</f>
        <v>240</v>
      </c>
      <c r="J141" s="146">
        <v>230</v>
      </c>
      <c r="K141" s="223"/>
    </row>
    <row r="142" spans="1:11" ht="11.25" customHeight="1">
      <c r="A142" s="110">
        <v>6007</v>
      </c>
      <c r="B142" s="111" t="s">
        <v>372</v>
      </c>
      <c r="C142" s="135">
        <f>SKYWORTH!E8</f>
        <v>180</v>
      </c>
      <c r="D142" s="144">
        <v>180</v>
      </c>
      <c r="E142" s="65"/>
      <c r="G142" s="112">
        <v>7012</v>
      </c>
      <c r="H142" s="114" t="s">
        <v>340</v>
      </c>
      <c r="I142" s="134">
        <f>'IRT-PHILIPS'!F10</f>
        <v>200</v>
      </c>
      <c r="J142" s="146">
        <v>200</v>
      </c>
      <c r="K142" s="141"/>
    </row>
    <row r="143" spans="1:11" ht="11.25" customHeight="1">
      <c r="A143" s="112">
        <v>6008</v>
      </c>
      <c r="B143" s="114" t="s">
        <v>373</v>
      </c>
      <c r="C143" s="135">
        <f>SKYWORTH!E9</f>
        <v>180</v>
      </c>
      <c r="D143" s="144">
        <v>170</v>
      </c>
      <c r="E143" s="165">
        <v>3.5</v>
      </c>
      <c r="G143" s="110">
        <v>7015</v>
      </c>
      <c r="H143" s="111" t="s">
        <v>341</v>
      </c>
      <c r="I143" s="134">
        <f>'IRT-PHILIPS'!F11</f>
        <v>200</v>
      </c>
      <c r="J143" s="146">
        <v>200</v>
      </c>
      <c r="K143" s="223"/>
    </row>
    <row r="144" spans="1:11" ht="11.25" customHeight="1">
      <c r="A144" s="110">
        <v>6022</v>
      </c>
      <c r="B144" s="111" t="s">
        <v>374</v>
      </c>
      <c r="C144" s="135">
        <f>SKYWORTH!E10</f>
        <v>350</v>
      </c>
      <c r="D144" s="144"/>
      <c r="E144" s="65">
        <v>7.2</v>
      </c>
      <c r="G144" s="112">
        <v>7018</v>
      </c>
      <c r="H144" s="123" t="s">
        <v>342</v>
      </c>
      <c r="I144" s="134">
        <f>'IRT-PHILIPS'!F12</f>
        <v>280</v>
      </c>
      <c r="J144" s="146"/>
      <c r="K144" s="141"/>
    </row>
    <row r="145" spans="1:11" ht="11.25" customHeight="1">
      <c r="A145" s="112">
        <v>6131</v>
      </c>
      <c r="B145" s="114" t="s">
        <v>785</v>
      </c>
      <c r="C145" s="135">
        <f>SKYWORTH!E11</f>
        <v>400</v>
      </c>
      <c r="D145" s="144"/>
      <c r="E145" s="165">
        <v>4.7</v>
      </c>
      <c r="G145" s="112">
        <v>7019</v>
      </c>
      <c r="H145" s="167" t="s">
        <v>780</v>
      </c>
      <c r="I145" s="134">
        <f>'IRT-PHILIPS'!F13</f>
        <v>420</v>
      </c>
      <c r="J145" s="146"/>
      <c r="K145" s="234">
        <v>10.8</v>
      </c>
    </row>
    <row r="146" spans="1:11" ht="11.25" customHeight="1">
      <c r="A146" s="192" t="s">
        <v>858</v>
      </c>
      <c r="B146" s="192" t="s">
        <v>859</v>
      </c>
      <c r="C146" s="193">
        <f>SKYWORTH!E12</f>
        <v>420</v>
      </c>
      <c r="D146" s="144"/>
      <c r="E146" s="65">
        <v>6.8</v>
      </c>
      <c r="G146" s="258" t="s">
        <v>623</v>
      </c>
      <c r="H146" s="258"/>
      <c r="I146" s="258"/>
    </row>
    <row r="147" spans="1:11" ht="11.25" customHeight="1">
      <c r="A147" s="110">
        <v>6132</v>
      </c>
      <c r="B147" s="111" t="s">
        <v>375</v>
      </c>
      <c r="C147" s="135">
        <f>SKYWORTH!E13</f>
        <v>420</v>
      </c>
      <c r="D147" s="144">
        <v>410</v>
      </c>
      <c r="E147" s="175"/>
      <c r="G147" s="104" t="s">
        <v>616</v>
      </c>
      <c r="H147" s="105" t="s">
        <v>2</v>
      </c>
      <c r="I147" s="147" t="s">
        <v>607</v>
      </c>
      <c r="J147" s="145" t="s">
        <v>478</v>
      </c>
    </row>
    <row r="148" spans="1:11" ht="11.25" customHeight="1">
      <c r="A148" s="255" t="s">
        <v>376</v>
      </c>
      <c r="B148" s="256"/>
      <c r="C148" s="257"/>
      <c r="G148" s="110">
        <v>6001</v>
      </c>
      <c r="H148" s="111" t="s">
        <v>392</v>
      </c>
      <c r="I148" s="134">
        <f>'MASTER G'!E4</f>
        <v>80</v>
      </c>
      <c r="J148" s="146"/>
      <c r="K148" s="165"/>
    </row>
    <row r="149" spans="1:11" ht="11.25" customHeight="1">
      <c r="A149" s="104" t="s">
        <v>616</v>
      </c>
      <c r="B149" s="105" t="s">
        <v>2</v>
      </c>
      <c r="C149" s="147" t="s">
        <v>607</v>
      </c>
      <c r="D149" s="145" t="s">
        <v>478</v>
      </c>
      <c r="E149" s="208"/>
      <c r="G149" s="112">
        <v>6012</v>
      </c>
      <c r="H149" s="114" t="s">
        <v>393</v>
      </c>
      <c r="I149" s="134">
        <f>'MASTER G'!E5</f>
        <v>220</v>
      </c>
      <c r="J149" s="146">
        <v>200</v>
      </c>
      <c r="K149" s="65">
        <v>3.5</v>
      </c>
    </row>
    <row r="150" spans="1:11" ht="11.25" customHeight="1">
      <c r="A150" s="110">
        <v>8015</v>
      </c>
      <c r="B150" s="124" t="s">
        <v>377</v>
      </c>
      <c r="C150" s="135">
        <f>PREMIER!F5</f>
        <v>60</v>
      </c>
      <c r="D150" s="146">
        <v>60</v>
      </c>
      <c r="E150" s="168">
        <v>1.1000000000000001</v>
      </c>
      <c r="G150" s="110">
        <v>6019</v>
      </c>
      <c r="H150" s="168" t="s">
        <v>943</v>
      </c>
      <c r="I150" s="134">
        <f>'MASTER G'!E6</f>
        <v>300</v>
      </c>
      <c r="J150" s="146"/>
      <c r="K150" s="165"/>
    </row>
    <row r="151" spans="1:11" ht="11.25" customHeight="1">
      <c r="A151" s="191">
        <v>8014</v>
      </c>
      <c r="B151" s="196" t="s">
        <v>843</v>
      </c>
      <c r="C151" s="193">
        <f>PREMIER!F6</f>
        <v>60</v>
      </c>
      <c r="D151" s="146"/>
      <c r="E151" s="153">
        <v>0.9</v>
      </c>
      <c r="G151" s="191" t="s">
        <v>839</v>
      </c>
      <c r="H151" s="194" t="s">
        <v>840</v>
      </c>
      <c r="I151" s="193">
        <f>'MASTER G'!E7</f>
        <v>320</v>
      </c>
      <c r="J151" s="195"/>
      <c r="K151" s="65">
        <v>3.8</v>
      </c>
    </row>
    <row r="152" spans="1:11" ht="11.25" customHeight="1">
      <c r="A152" s="112">
        <v>8033</v>
      </c>
      <c r="B152" s="123" t="s">
        <v>692</v>
      </c>
      <c r="C152" s="135">
        <f>PREMIER!F7</f>
        <v>150</v>
      </c>
      <c r="D152" s="146">
        <v>140</v>
      </c>
      <c r="E152" s="168">
        <v>2.1</v>
      </c>
      <c r="G152" s="112">
        <v>6028</v>
      </c>
      <c r="H152" s="114" t="s">
        <v>644</v>
      </c>
      <c r="I152" s="134">
        <f>'MASTER G'!E8</f>
        <v>320</v>
      </c>
      <c r="J152" s="146"/>
      <c r="K152" s="165"/>
    </row>
    <row r="153" spans="1:11" ht="11.25" customHeight="1">
      <c r="A153" s="110">
        <v>8039</v>
      </c>
      <c r="B153" s="124" t="s">
        <v>378</v>
      </c>
      <c r="C153" s="135">
        <f>PREMIER!F8</f>
        <v>150</v>
      </c>
      <c r="D153" s="146">
        <v>140</v>
      </c>
      <c r="E153" s="153"/>
      <c r="G153" s="110">
        <v>6029</v>
      </c>
      <c r="H153" s="124" t="s">
        <v>396</v>
      </c>
      <c r="I153" s="134">
        <f>'MASTER G'!E9</f>
        <v>300</v>
      </c>
      <c r="J153" s="146">
        <v>290</v>
      </c>
      <c r="K153" s="240"/>
    </row>
    <row r="154" spans="1:11" ht="11.25" customHeight="1">
      <c r="A154" s="112">
        <v>8031</v>
      </c>
      <c r="B154" s="123" t="s">
        <v>379</v>
      </c>
      <c r="C154" s="135">
        <f>PREMIER!F9</f>
        <v>150</v>
      </c>
      <c r="D154" s="146"/>
      <c r="E154" s="168"/>
      <c r="G154" s="249" t="s">
        <v>624</v>
      </c>
      <c r="H154" s="250"/>
      <c r="I154" s="251"/>
    </row>
    <row r="155" spans="1:11" ht="11.25" customHeight="1">
      <c r="A155" s="110">
        <v>8055</v>
      </c>
      <c r="B155" s="124" t="s">
        <v>690</v>
      </c>
      <c r="C155" s="135">
        <f>PREMIER!F10</f>
        <v>180</v>
      </c>
      <c r="D155" s="146">
        <v>170</v>
      </c>
      <c r="E155" s="153"/>
      <c r="G155" s="104" t="s">
        <v>616</v>
      </c>
      <c r="H155" s="105" t="s">
        <v>2</v>
      </c>
      <c r="I155" s="147" t="s">
        <v>607</v>
      </c>
      <c r="J155" s="145" t="s">
        <v>478</v>
      </c>
    </row>
    <row r="156" spans="1:11" ht="11.25" customHeight="1">
      <c r="A156" s="118">
        <v>8056</v>
      </c>
      <c r="B156" s="123" t="s">
        <v>620</v>
      </c>
      <c r="C156" s="135">
        <f>PREMIER!F11</f>
        <v>180</v>
      </c>
      <c r="D156" s="146">
        <v>170</v>
      </c>
      <c r="E156" s="168">
        <v>2.1</v>
      </c>
      <c r="G156" s="110">
        <v>8021</v>
      </c>
      <c r="H156" s="124" t="s">
        <v>441</v>
      </c>
      <c r="I156" s="150">
        <f>'AOC-JVC'!F5</f>
        <v>60</v>
      </c>
      <c r="J156" s="146">
        <v>60</v>
      </c>
      <c r="K156" s="165">
        <v>1.1000000000000001</v>
      </c>
    </row>
    <row r="157" spans="1:11" ht="11.25" customHeight="1">
      <c r="A157" s="110">
        <v>8057</v>
      </c>
      <c r="B157" s="124" t="s">
        <v>381</v>
      </c>
      <c r="C157" s="135">
        <f>PREMIER!F12</f>
        <v>200</v>
      </c>
      <c r="D157" s="146">
        <v>200</v>
      </c>
      <c r="E157" s="153"/>
      <c r="G157" s="112">
        <v>8060</v>
      </c>
      <c r="H157" s="123" t="s">
        <v>442</v>
      </c>
      <c r="I157" s="150">
        <f>'AOC-JVC'!F6</f>
        <v>200</v>
      </c>
      <c r="J157" s="146"/>
      <c r="K157" s="65"/>
    </row>
    <row r="158" spans="1:11" ht="11.25" customHeight="1">
      <c r="A158" s="118">
        <v>8067</v>
      </c>
      <c r="B158" s="136" t="s">
        <v>382</v>
      </c>
      <c r="C158" s="135">
        <f>PREMIER!F13</f>
        <v>220</v>
      </c>
      <c r="D158" s="146">
        <v>230</v>
      </c>
      <c r="E158" s="168">
        <v>3.2</v>
      </c>
      <c r="G158" s="110">
        <v>8070</v>
      </c>
      <c r="H158" s="124" t="s">
        <v>443</v>
      </c>
      <c r="I158" s="150">
        <f>'AOC-JVC'!F7</f>
        <v>250</v>
      </c>
      <c r="J158" s="146"/>
      <c r="K158" s="165">
        <v>7.5</v>
      </c>
    </row>
    <row r="159" spans="1:11" ht="11.25" customHeight="1">
      <c r="A159" s="137">
        <v>8068</v>
      </c>
      <c r="B159" s="138" t="s">
        <v>383</v>
      </c>
      <c r="C159" s="135">
        <f>PREMIER!F14</f>
        <v>220</v>
      </c>
      <c r="D159" s="146"/>
      <c r="E159" s="153"/>
      <c r="G159" s="112">
        <v>8099</v>
      </c>
      <c r="H159" s="123" t="s">
        <v>445</v>
      </c>
      <c r="I159" s="150">
        <f>'AOC-JVC'!F8</f>
        <v>350</v>
      </c>
      <c r="J159" s="146"/>
      <c r="K159" s="65"/>
    </row>
    <row r="160" spans="1:11" ht="24">
      <c r="A160" s="112">
        <v>8069</v>
      </c>
      <c r="B160" s="123" t="s">
        <v>384</v>
      </c>
      <c r="C160" s="135">
        <f>PREMIER!F15</f>
        <v>220</v>
      </c>
      <c r="D160" s="146">
        <v>230</v>
      </c>
      <c r="E160" s="168">
        <v>3.1</v>
      </c>
      <c r="G160" s="110">
        <v>8100</v>
      </c>
      <c r="H160" s="235" t="s">
        <v>946</v>
      </c>
      <c r="I160" s="150">
        <f>'AOC-JVC'!F9</f>
        <v>300</v>
      </c>
      <c r="J160" s="146"/>
      <c r="K160" s="165">
        <v>4</v>
      </c>
    </row>
    <row r="161" spans="1:11">
      <c r="A161" s="110">
        <v>8087</v>
      </c>
      <c r="B161" s="124" t="s">
        <v>385</v>
      </c>
      <c r="C161" s="135">
        <f>PREMIER!F16</f>
        <v>250</v>
      </c>
      <c r="D161" s="146">
        <v>230</v>
      </c>
      <c r="E161" s="153"/>
      <c r="G161" s="112">
        <v>8101</v>
      </c>
      <c r="H161" s="123" t="s">
        <v>447</v>
      </c>
      <c r="I161" s="150">
        <f>'AOC-JVC'!F10</f>
        <v>400</v>
      </c>
      <c r="J161" s="146"/>
      <c r="K161" s="65"/>
    </row>
    <row r="162" spans="1:11">
      <c r="A162" s="118">
        <v>8095</v>
      </c>
      <c r="B162" s="123" t="s">
        <v>386</v>
      </c>
      <c r="C162" s="135">
        <f>PREMIER!F17</f>
        <v>300</v>
      </c>
      <c r="D162" s="146">
        <v>240</v>
      </c>
      <c r="E162" s="168">
        <v>5.0999999999999996</v>
      </c>
      <c r="G162" s="110">
        <v>8104</v>
      </c>
      <c r="H162" s="124" t="s">
        <v>448</v>
      </c>
      <c r="I162" s="150">
        <f>'AOC-JVC'!F11</f>
        <v>400</v>
      </c>
      <c r="J162" s="146"/>
      <c r="K162" s="165"/>
    </row>
    <row r="163" spans="1:11" ht="24">
      <c r="A163" s="110">
        <v>8096</v>
      </c>
      <c r="B163" s="124" t="s">
        <v>387</v>
      </c>
      <c r="C163" s="135">
        <f>PREMIER!F18</f>
        <v>300</v>
      </c>
      <c r="D163" s="146">
        <v>240</v>
      </c>
      <c r="E163" s="153"/>
      <c r="G163" s="112">
        <v>9001</v>
      </c>
      <c r="H163" s="222" t="s">
        <v>947</v>
      </c>
      <c r="I163" s="150">
        <f>'AOC-JVC'!F12</f>
        <v>450</v>
      </c>
      <c r="J163" s="146"/>
      <c r="K163" s="65">
        <v>7.85</v>
      </c>
    </row>
    <row r="164" spans="1:11">
      <c r="A164" s="118">
        <v>8097</v>
      </c>
      <c r="B164" s="136" t="s">
        <v>388</v>
      </c>
      <c r="C164" s="135">
        <f>PREMIER!F19</f>
        <v>380</v>
      </c>
      <c r="D164" s="146">
        <v>380</v>
      </c>
      <c r="E164" s="168"/>
      <c r="G164" s="110">
        <v>9002</v>
      </c>
      <c r="H164" s="124" t="s">
        <v>450</v>
      </c>
      <c r="I164" s="150">
        <f>'AOC-JVC'!F13</f>
        <v>450</v>
      </c>
      <c r="J164" s="146"/>
      <c r="K164" s="175">
        <v>11.5</v>
      </c>
    </row>
    <row r="165" spans="1:11">
      <c r="A165" s="110">
        <v>8098</v>
      </c>
      <c r="B165" s="124" t="s">
        <v>389</v>
      </c>
      <c r="C165" s="135">
        <f>PREMIER!F20</f>
        <v>420</v>
      </c>
      <c r="D165" s="146"/>
      <c r="E165" s="241">
        <v>8.31</v>
      </c>
    </row>
  </sheetData>
  <mergeCells count="14">
    <mergeCell ref="G154:I154"/>
    <mergeCell ref="A1:I1"/>
    <mergeCell ref="A2:C2"/>
    <mergeCell ref="G2:I2"/>
    <mergeCell ref="G73:I73"/>
    <mergeCell ref="A72:C72"/>
    <mergeCell ref="A84:C84"/>
    <mergeCell ref="G117:I117"/>
    <mergeCell ref="A137:C137"/>
    <mergeCell ref="A128:C128"/>
    <mergeCell ref="A148:C148"/>
    <mergeCell ref="G84:I84"/>
    <mergeCell ref="G135:I135"/>
    <mergeCell ref="G146:I146"/>
  </mergeCells>
  <pageMargins left="0.23622047244094491" right="0.23622047244094491" top="0.19685039370078741" bottom="0" header="0.31496062992125984" footer="0.31496062992125984"/>
  <pageSetup paperSize="345" scale="95" orientation="portrait" horizontalDpi="120" verticalDpi="7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abSelected="1" topLeftCell="A136" zoomScale="160" zoomScaleNormal="160" zoomScalePageLayoutView="55" workbookViewId="0">
      <selection activeCell="F81" sqref="F81"/>
    </sheetView>
  </sheetViews>
  <sheetFormatPr baseColWidth="10" defaultRowHeight="15"/>
  <cols>
    <col min="1" max="1" width="4.7109375" customWidth="1"/>
    <col min="2" max="2" width="26.140625" customWidth="1"/>
    <col min="3" max="3" width="6.28515625" customWidth="1"/>
    <col min="4" max="4" width="8.7109375" style="153" customWidth="1"/>
    <col min="5" max="5" width="5.7109375" customWidth="1"/>
    <col min="6" max="6" width="35.5703125" customWidth="1"/>
    <col min="7" max="7" width="5" style="122" customWidth="1"/>
  </cols>
  <sheetData>
    <row r="1" spans="1:8" ht="26.25">
      <c r="A1" s="259" t="s">
        <v>640</v>
      </c>
      <c r="B1" s="259"/>
      <c r="C1" s="259"/>
      <c r="D1" s="259"/>
      <c r="E1" s="259"/>
      <c r="F1" s="259"/>
      <c r="G1" s="90"/>
      <c r="H1" s="90"/>
    </row>
    <row r="2" spans="1:8" ht="18.75">
      <c r="A2" s="260" t="s">
        <v>646</v>
      </c>
      <c r="B2" s="260"/>
      <c r="C2" s="260"/>
      <c r="D2" s="260"/>
      <c r="E2" s="260"/>
      <c r="F2" s="260"/>
      <c r="G2" s="90"/>
      <c r="H2" s="90"/>
    </row>
    <row r="3" spans="1:8" ht="18.75">
      <c r="A3" s="253" t="s">
        <v>0</v>
      </c>
      <c r="B3" s="253"/>
      <c r="C3" s="253"/>
      <c r="E3" s="253" t="s">
        <v>617</v>
      </c>
      <c r="F3" s="253"/>
      <c r="H3" s="90"/>
    </row>
    <row r="4" spans="1:8" ht="11.25" customHeight="1">
      <c r="A4" s="104" t="s">
        <v>616</v>
      </c>
      <c r="B4" s="105" t="s">
        <v>2</v>
      </c>
      <c r="C4" s="169" t="s">
        <v>648</v>
      </c>
      <c r="D4" s="158"/>
      <c r="E4" s="104" t="s">
        <v>616</v>
      </c>
      <c r="F4" s="105" t="s">
        <v>2</v>
      </c>
      <c r="G4" s="169" t="s">
        <v>648</v>
      </c>
      <c r="H4" s="90"/>
    </row>
    <row r="5" spans="1:8" ht="11.25" customHeight="1">
      <c r="A5" s="106">
        <v>1000</v>
      </c>
      <c r="B5" s="107" t="s">
        <v>23</v>
      </c>
      <c r="C5" s="135">
        <f>LG26V[[#This Row],[STOCK JUEGOS]]</f>
        <v>14</v>
      </c>
      <c r="D5" s="159" t="s">
        <v>24</v>
      </c>
      <c r="E5" s="110">
        <v>2000</v>
      </c>
      <c r="F5" s="111" t="s">
        <v>133</v>
      </c>
      <c r="G5" s="134">
        <f>samgung26[[#This Row],[STOCK JUEGOS]]</f>
        <v>6</v>
      </c>
      <c r="H5" s="159" t="s">
        <v>134</v>
      </c>
    </row>
    <row r="6" spans="1:8" ht="11.25" customHeight="1">
      <c r="A6" s="108">
        <v>1003</v>
      </c>
      <c r="B6" s="109" t="s">
        <v>25</v>
      </c>
      <c r="C6" s="135">
        <f>LG26V[[#This Row],[STOCK JUEGOS]]</f>
        <v>-5</v>
      </c>
      <c r="D6" s="158" t="s">
        <v>26</v>
      </c>
      <c r="E6" s="112">
        <v>2001</v>
      </c>
      <c r="F6" s="113" t="s">
        <v>136</v>
      </c>
      <c r="G6" s="134">
        <f>samgung26[[#This Row],[STOCK JUEGOS]]</f>
        <v>2</v>
      </c>
      <c r="H6" s="158"/>
    </row>
    <row r="7" spans="1:8" ht="11.25" customHeight="1">
      <c r="A7" s="106">
        <v>1006</v>
      </c>
      <c r="B7" s="107" t="s">
        <v>27</v>
      </c>
      <c r="C7" s="135">
        <f>LG26V[[#This Row],[STOCK JUEGOS]]</f>
        <v>30</v>
      </c>
      <c r="D7" s="159" t="s">
        <v>28</v>
      </c>
      <c r="E7" s="110">
        <v>2003</v>
      </c>
      <c r="F7" s="177" t="s">
        <v>137</v>
      </c>
      <c r="G7" s="134">
        <f>samgung26[[#This Row],[STOCK JUEGOS]]</f>
        <v>20</v>
      </c>
      <c r="H7" s="159" t="s">
        <v>139</v>
      </c>
    </row>
    <row r="8" spans="1:8" ht="11.25" customHeight="1">
      <c r="A8" s="106">
        <v>1011</v>
      </c>
      <c r="B8" s="107" t="s">
        <v>30</v>
      </c>
      <c r="C8" s="135">
        <f>LG26V[[#This Row],[STOCK JUEGOS]]</f>
        <v>0</v>
      </c>
      <c r="D8" s="158" t="s">
        <v>31</v>
      </c>
      <c r="E8" s="112">
        <v>2006</v>
      </c>
      <c r="F8" s="114" t="s">
        <v>140</v>
      </c>
      <c r="G8" s="134">
        <f>samgung26[[#This Row],[STOCK JUEGOS]]</f>
        <v>16</v>
      </c>
      <c r="H8" s="158" t="s">
        <v>141</v>
      </c>
    </row>
    <row r="9" spans="1:8" ht="11.25" customHeight="1">
      <c r="A9" s="108">
        <v>1012</v>
      </c>
      <c r="B9" s="109" t="s">
        <v>32</v>
      </c>
      <c r="C9" s="135">
        <f>LG26V[[#This Row],[STOCK JUEGOS]]</f>
        <v>20</v>
      </c>
      <c r="D9" s="159" t="s">
        <v>33</v>
      </c>
      <c r="E9" s="110">
        <v>2009</v>
      </c>
      <c r="F9" s="111" t="s">
        <v>142</v>
      </c>
      <c r="G9" s="134">
        <f>samgung26[[#This Row],[STOCK JUEGOS]]</f>
        <v>18</v>
      </c>
      <c r="H9" s="159" t="s">
        <v>143</v>
      </c>
    </row>
    <row r="10" spans="1:8" ht="11.25" customHeight="1">
      <c r="A10" s="106">
        <v>1015</v>
      </c>
      <c r="B10" s="107" t="s">
        <v>34</v>
      </c>
      <c r="C10" s="135">
        <f>LG26V[[#This Row],[STOCK JUEGOS]]</f>
        <v>23</v>
      </c>
      <c r="D10" s="158" t="s">
        <v>35</v>
      </c>
      <c r="E10" s="110">
        <v>2008</v>
      </c>
      <c r="F10" s="153" t="s">
        <v>778</v>
      </c>
      <c r="G10" s="134">
        <f>samgung26[[#This Row],[STOCK JUEGOS]]</f>
        <v>10</v>
      </c>
      <c r="H10" s="153" t="s">
        <v>779</v>
      </c>
    </row>
    <row r="11" spans="1:8" ht="11.25" customHeight="1">
      <c r="A11" s="108">
        <v>1018</v>
      </c>
      <c r="B11" s="109" t="s">
        <v>36</v>
      </c>
      <c r="C11" s="135">
        <f>LG26V[[#This Row],[STOCK JUEGOS]]</f>
        <v>15</v>
      </c>
      <c r="D11" s="159" t="s">
        <v>37</v>
      </c>
      <c r="E11" s="112">
        <v>2012</v>
      </c>
      <c r="F11" s="170" t="s">
        <v>144</v>
      </c>
      <c r="G11" s="134">
        <f>samgung26[[#This Row],[STOCK JUEGOS]]</f>
        <v>25</v>
      </c>
      <c r="H11" s="158" t="s">
        <v>145</v>
      </c>
    </row>
    <row r="12" spans="1:8" ht="11.25" customHeight="1">
      <c r="A12" s="106">
        <v>1021</v>
      </c>
      <c r="B12" s="107" t="s">
        <v>38</v>
      </c>
      <c r="C12" s="135">
        <f>LG26V[[#This Row],[STOCK JUEGOS]]</f>
        <v>1</v>
      </c>
      <c r="D12" s="158"/>
      <c r="E12" s="110">
        <v>2013</v>
      </c>
      <c r="F12" s="116" t="s">
        <v>146</v>
      </c>
      <c r="G12" s="134">
        <f>samgung26[[#This Row],[STOCK JUEGOS]]</f>
        <v>10</v>
      </c>
      <c r="H12" s="159" t="s">
        <v>147</v>
      </c>
    </row>
    <row r="13" spans="1:8" ht="11.25" customHeight="1">
      <c r="A13" s="108">
        <v>1024</v>
      </c>
      <c r="B13" s="109" t="s">
        <v>39</v>
      </c>
      <c r="C13" s="135">
        <f>LG26V[[#This Row],[STOCK JUEGOS]]</f>
        <v>14</v>
      </c>
      <c r="D13" s="159" t="s">
        <v>40</v>
      </c>
      <c r="E13" s="112">
        <v>2015</v>
      </c>
      <c r="F13" s="114" t="s">
        <v>148</v>
      </c>
      <c r="G13" s="134">
        <f>samgung26[[#This Row],[STOCK JUEGOS]]</f>
        <v>5</v>
      </c>
      <c r="H13" s="158" t="s">
        <v>149</v>
      </c>
    </row>
    <row r="14" spans="1:8" ht="11.25" customHeight="1">
      <c r="A14" s="106">
        <v>1027</v>
      </c>
      <c r="B14" s="176" t="s">
        <v>41</v>
      </c>
      <c r="C14" s="135">
        <f>LG26V[[#This Row],[STOCK JUEGOS]]</f>
        <v>26</v>
      </c>
      <c r="D14" s="158" t="s">
        <v>42</v>
      </c>
      <c r="E14" s="110">
        <v>2018</v>
      </c>
      <c r="F14" s="111" t="s">
        <v>151</v>
      </c>
      <c r="G14" s="134">
        <f>samgung26[[#This Row],[STOCK JUEGOS]]</f>
        <v>14</v>
      </c>
      <c r="H14" s="159" t="s">
        <v>152</v>
      </c>
    </row>
    <row r="15" spans="1:8" ht="11.25" customHeight="1">
      <c r="A15" s="108">
        <v>1028</v>
      </c>
      <c r="B15" s="109" t="s">
        <v>43</v>
      </c>
      <c r="C15" s="135">
        <f>LG26V[[#This Row],[STOCK JUEGOS]]</f>
        <v>3</v>
      </c>
      <c r="D15" s="159"/>
      <c r="E15" s="178">
        <v>2019</v>
      </c>
      <c r="F15" s="225" t="s">
        <v>853</v>
      </c>
      <c r="G15" s="135">
        <f>samgung26[[#This Row],[STOCK JUEGOS]]</f>
        <v>19</v>
      </c>
      <c r="H15" s="226" t="s">
        <v>854</v>
      </c>
    </row>
    <row r="16" spans="1:8" ht="11.25" customHeight="1">
      <c r="A16" s="106">
        <v>1030</v>
      </c>
      <c r="B16" s="107" t="s">
        <v>44</v>
      </c>
      <c r="C16" s="135">
        <f>LG26V[[#This Row],[STOCK JUEGOS]]</f>
        <v>9</v>
      </c>
      <c r="D16" s="158" t="s">
        <v>45</v>
      </c>
      <c r="E16" s="112">
        <v>2021</v>
      </c>
      <c r="F16" s="114" t="s">
        <v>154</v>
      </c>
      <c r="G16" s="134">
        <f>samgung26[[#This Row],[STOCK JUEGOS]]</f>
        <v>22</v>
      </c>
      <c r="H16" s="158" t="s">
        <v>155</v>
      </c>
    </row>
    <row r="17" spans="1:8" ht="11.25" customHeight="1">
      <c r="A17" s="108">
        <v>1033</v>
      </c>
      <c r="B17" s="109" t="s">
        <v>46</v>
      </c>
      <c r="C17" s="135">
        <f>LG26V[[#This Row],[STOCK JUEGOS]]</f>
        <v>27</v>
      </c>
      <c r="D17" s="159" t="s">
        <v>47</v>
      </c>
      <c r="E17" s="110">
        <v>2024</v>
      </c>
      <c r="F17" s="111" t="s">
        <v>157</v>
      </c>
      <c r="G17" s="134">
        <f>samgung26[[#This Row],[STOCK JUEGOS]]</f>
        <v>6</v>
      </c>
      <c r="H17" s="159" t="s">
        <v>158</v>
      </c>
    </row>
    <row r="18" spans="1:8" ht="11.25" customHeight="1">
      <c r="A18" s="198">
        <v>1034</v>
      </c>
      <c r="B18" s="224" t="s">
        <v>933</v>
      </c>
      <c r="C18" s="135">
        <f>LG26V[[#This Row],[STOCK JUEGOS]]</f>
        <v>19</v>
      </c>
      <c r="D18" s="159" t="s">
        <v>934</v>
      </c>
      <c r="E18" s="110">
        <v>2025</v>
      </c>
      <c r="F18" s="65" t="s">
        <v>756</v>
      </c>
      <c r="G18" s="134">
        <f>samgung26[[#This Row],[STOCK JUEGOS]]</f>
        <v>20</v>
      </c>
      <c r="H18" s="153" t="s">
        <v>757</v>
      </c>
    </row>
    <row r="19" spans="1:8" ht="11.25" customHeight="1">
      <c r="A19" s="106">
        <v>1036</v>
      </c>
      <c r="B19" s="176" t="s">
        <v>48</v>
      </c>
      <c r="C19" s="135">
        <f>LG26V[[#This Row],[STOCK JUEGOS]]</f>
        <v>10</v>
      </c>
      <c r="D19" s="158" t="s">
        <v>49</v>
      </c>
      <c r="E19" s="112">
        <v>2027</v>
      </c>
      <c r="F19" s="114" t="s">
        <v>160</v>
      </c>
      <c r="G19" s="134">
        <f>samgung26[[#This Row],[STOCK JUEGOS]]</f>
        <v>0</v>
      </c>
      <c r="H19" s="158" t="s">
        <v>161</v>
      </c>
    </row>
    <row r="20" spans="1:8" ht="11.25" customHeight="1">
      <c r="A20" s="108">
        <v>1039</v>
      </c>
      <c r="B20" s="109" t="s">
        <v>50</v>
      </c>
      <c r="C20" s="135">
        <f>LG26V[[#This Row],[STOCK JUEGOS]]</f>
        <v>15</v>
      </c>
      <c r="D20" s="159" t="s">
        <v>51</v>
      </c>
      <c r="E20" s="110">
        <v>2029</v>
      </c>
      <c r="F20" s="117" t="s">
        <v>163</v>
      </c>
      <c r="G20" s="134">
        <f>samgung26[[#This Row],[STOCK JUEGOS]]</f>
        <v>8</v>
      </c>
      <c r="H20" s="159" t="s">
        <v>164</v>
      </c>
    </row>
    <row r="21" spans="1:8" ht="11.25" customHeight="1">
      <c r="A21" s="106">
        <v>1042</v>
      </c>
      <c r="B21" s="107" t="s">
        <v>52</v>
      </c>
      <c r="C21" s="135">
        <f>LG26V[[#This Row],[STOCK JUEGOS]]</f>
        <v>6</v>
      </c>
      <c r="D21" s="158" t="s">
        <v>53</v>
      </c>
      <c r="E21" s="112">
        <v>2030</v>
      </c>
      <c r="F21" s="114" t="s">
        <v>165</v>
      </c>
      <c r="G21" s="134">
        <f>samgung26[[#This Row],[STOCK JUEGOS]]</f>
        <v>2</v>
      </c>
      <c r="H21" s="158"/>
    </row>
    <row r="22" spans="1:8" ht="11.25" customHeight="1">
      <c r="A22" s="108">
        <v>1045</v>
      </c>
      <c r="B22" s="109" t="s">
        <v>54</v>
      </c>
      <c r="C22" s="135">
        <f>LG26V[[#This Row],[STOCK JUEGOS]]</f>
        <v>12</v>
      </c>
      <c r="D22" s="159" t="s">
        <v>55</v>
      </c>
      <c r="E22" s="110">
        <v>2033</v>
      </c>
      <c r="F22" s="111" t="s">
        <v>166</v>
      </c>
      <c r="G22" s="134">
        <f>samgung26[[#This Row],[STOCK JUEGOS]]</f>
        <v>18</v>
      </c>
      <c r="H22" s="159"/>
    </row>
    <row r="23" spans="1:8" ht="11.25" customHeight="1">
      <c r="A23" s="106">
        <v>1048</v>
      </c>
      <c r="B23" s="107" t="s">
        <v>56</v>
      </c>
      <c r="C23" s="135">
        <f>LG26V[[#This Row],[STOCK JUEGOS]]</f>
        <v>19</v>
      </c>
      <c r="D23" s="158" t="s">
        <v>899</v>
      </c>
      <c r="E23" s="112">
        <v>2036</v>
      </c>
      <c r="F23" s="114" t="s">
        <v>168</v>
      </c>
      <c r="G23" s="134">
        <f>samgung26[[#This Row],[STOCK JUEGOS]]</f>
        <v>18</v>
      </c>
      <c r="H23" s="158" t="s">
        <v>169</v>
      </c>
    </row>
    <row r="24" spans="1:8" ht="11.25" customHeight="1">
      <c r="A24" s="108">
        <v>1049</v>
      </c>
      <c r="B24" s="176" t="s">
        <v>57</v>
      </c>
      <c r="C24" s="135">
        <f>LG26V[[#This Row],[STOCK JUEGOS]]</f>
        <v>21</v>
      </c>
      <c r="D24" s="159" t="s">
        <v>58</v>
      </c>
      <c r="E24" s="110">
        <v>2039</v>
      </c>
      <c r="F24" s="110" t="s">
        <v>786</v>
      </c>
      <c r="G24" s="134">
        <f>samgung26[[#This Row],[STOCK JUEGOS]]</f>
        <v>18</v>
      </c>
      <c r="H24" s="159" t="s">
        <v>172</v>
      </c>
    </row>
    <row r="25" spans="1:8" ht="11.25" customHeight="1">
      <c r="A25" s="106">
        <v>1057</v>
      </c>
      <c r="B25" s="107" t="s">
        <v>59</v>
      </c>
      <c r="C25" s="135">
        <f>LG26V[[#This Row],[STOCK JUEGOS]]</f>
        <v>0</v>
      </c>
      <c r="D25" s="158"/>
      <c r="E25" s="112">
        <v>2040</v>
      </c>
      <c r="F25" s="118" t="s">
        <v>173</v>
      </c>
      <c r="G25" s="134">
        <f>samgung26[[#This Row],[STOCK JUEGOS]]</f>
        <v>14</v>
      </c>
      <c r="H25" s="158"/>
    </row>
    <row r="26" spans="1:8" ht="11.25" customHeight="1">
      <c r="A26" s="108">
        <v>1060</v>
      </c>
      <c r="B26" s="109" t="s">
        <v>60</v>
      </c>
      <c r="C26" s="135">
        <f>LG26V[[#This Row],[STOCK JUEGOS]]</f>
        <v>10</v>
      </c>
      <c r="D26" s="159" t="s">
        <v>61</v>
      </c>
      <c r="E26" s="110">
        <v>2042</v>
      </c>
      <c r="F26" s="111" t="s">
        <v>175</v>
      </c>
      <c r="G26" s="134">
        <f>samgung26[[#This Row],[STOCK JUEGOS]]</f>
        <v>5</v>
      </c>
      <c r="H26" s="159" t="s">
        <v>176</v>
      </c>
    </row>
    <row r="27" spans="1:8" ht="11.25" customHeight="1">
      <c r="A27" s="106">
        <v>1063</v>
      </c>
      <c r="B27" s="107" t="s">
        <v>62</v>
      </c>
      <c r="C27" s="135">
        <f>LG26V[[#This Row],[STOCK JUEGOS]]</f>
        <v>16</v>
      </c>
      <c r="D27" s="158" t="s">
        <v>63</v>
      </c>
      <c r="E27" s="112">
        <v>2045</v>
      </c>
      <c r="F27" s="114" t="s">
        <v>177</v>
      </c>
      <c r="G27" s="134">
        <f>samgung26[[#This Row],[STOCK JUEGOS]]</f>
        <v>25</v>
      </c>
      <c r="H27" s="158" t="s">
        <v>178</v>
      </c>
    </row>
    <row r="28" spans="1:8" ht="11.25" customHeight="1">
      <c r="A28" s="108">
        <v>1064</v>
      </c>
      <c r="B28" s="109" t="s">
        <v>64</v>
      </c>
      <c r="C28" s="135">
        <f>LG26V[[#This Row],[STOCK JUEGOS]]</f>
        <v>17</v>
      </c>
      <c r="D28" s="159" t="s">
        <v>65</v>
      </c>
      <c r="E28" s="110">
        <v>2048</v>
      </c>
      <c r="F28" s="111" t="s">
        <v>179</v>
      </c>
      <c r="G28" s="134">
        <f>samgung26[[#This Row],[STOCK JUEGOS]]</f>
        <v>26</v>
      </c>
      <c r="H28" s="159" t="s">
        <v>180</v>
      </c>
    </row>
    <row r="29" spans="1:8" ht="11.25" customHeight="1">
      <c r="A29" s="108">
        <v>1065</v>
      </c>
      <c r="B29" s="184" t="s">
        <v>751</v>
      </c>
      <c r="C29" s="135">
        <f>LG26V[[#This Row],[STOCK JUEGOS]]</f>
        <v>19</v>
      </c>
      <c r="D29" s="153" t="s">
        <v>752</v>
      </c>
      <c r="E29" s="112">
        <v>2051</v>
      </c>
      <c r="F29" s="114" t="s">
        <v>181</v>
      </c>
      <c r="G29" s="134">
        <f>samgung26[[#This Row],[STOCK JUEGOS]]</f>
        <v>11</v>
      </c>
      <c r="H29" s="158" t="s">
        <v>182</v>
      </c>
    </row>
    <row r="30" spans="1:8" ht="11.25" customHeight="1">
      <c r="A30" s="106">
        <v>1066</v>
      </c>
      <c r="B30" s="107" t="s">
        <v>66</v>
      </c>
      <c r="C30" s="135">
        <f>LG26V[[#This Row],[STOCK JUEGOS]]</f>
        <v>25</v>
      </c>
      <c r="D30" s="158" t="s">
        <v>67</v>
      </c>
      <c r="E30" s="110">
        <v>2054</v>
      </c>
      <c r="F30" s="111" t="s">
        <v>183</v>
      </c>
      <c r="G30" s="134">
        <f>samgung26[[#This Row],[STOCK JUEGOS]]</f>
        <v>1</v>
      </c>
      <c r="H30" s="159" t="s">
        <v>184</v>
      </c>
    </row>
    <row r="31" spans="1:8" ht="11.25" customHeight="1">
      <c r="A31" s="108">
        <v>1067</v>
      </c>
      <c r="B31" s="176" t="s">
        <v>68</v>
      </c>
      <c r="C31" s="135">
        <f>LG26V[[#This Row],[STOCK JUEGOS]]</f>
        <v>18</v>
      </c>
      <c r="D31" s="159"/>
      <c r="E31" s="112">
        <v>2057</v>
      </c>
      <c r="F31" s="114" t="s">
        <v>185</v>
      </c>
      <c r="G31" s="134">
        <f>samgung26[[#This Row],[STOCK JUEGOS]]</f>
        <v>9</v>
      </c>
      <c r="H31" s="158" t="s">
        <v>186</v>
      </c>
    </row>
    <row r="32" spans="1:8" ht="11.25" customHeight="1">
      <c r="A32" s="106">
        <v>1069</v>
      </c>
      <c r="B32" s="107" t="s">
        <v>69</v>
      </c>
      <c r="C32" s="135">
        <f>LG26V[[#This Row],[STOCK JUEGOS]]</f>
        <v>22</v>
      </c>
      <c r="D32" s="158" t="s">
        <v>70</v>
      </c>
      <c r="E32" s="110">
        <v>2060</v>
      </c>
      <c r="F32" s="116" t="s">
        <v>187</v>
      </c>
      <c r="G32" s="134">
        <f>samgung26[[#This Row],[STOCK JUEGOS]]</f>
        <v>6</v>
      </c>
      <c r="H32" s="159" t="s">
        <v>188</v>
      </c>
    </row>
    <row r="33" spans="1:8" ht="11.25" customHeight="1">
      <c r="A33" s="108">
        <v>1072</v>
      </c>
      <c r="B33" s="109" t="s">
        <v>71</v>
      </c>
      <c r="C33" s="135">
        <f>LG26V[[#This Row],[STOCK JUEGOS]]</f>
        <v>15</v>
      </c>
      <c r="D33" s="159" t="s">
        <v>72</v>
      </c>
      <c r="E33" s="112">
        <v>2063</v>
      </c>
      <c r="F33" s="114" t="s">
        <v>189</v>
      </c>
      <c r="G33" s="134">
        <f>samgung26[[#This Row],[STOCK JUEGOS]]</f>
        <v>22</v>
      </c>
      <c r="H33" s="158" t="s">
        <v>190</v>
      </c>
    </row>
    <row r="34" spans="1:8" ht="11.25" customHeight="1">
      <c r="A34" s="106">
        <v>1073</v>
      </c>
      <c r="B34" s="107" t="s">
        <v>73</v>
      </c>
      <c r="C34" s="135">
        <f>LG26V[[#This Row],[STOCK JUEGOS]]</f>
        <v>2</v>
      </c>
      <c r="D34" s="158"/>
      <c r="E34" s="110">
        <v>2064</v>
      </c>
      <c r="F34" s="111" t="s">
        <v>192</v>
      </c>
      <c r="G34" s="134">
        <f>samgung26[[#This Row],[STOCK JUEGOS]]</f>
        <v>12</v>
      </c>
      <c r="H34" s="159" t="s">
        <v>193</v>
      </c>
    </row>
    <row r="35" spans="1:8" ht="11.25" customHeight="1">
      <c r="A35" s="106">
        <v>1074</v>
      </c>
      <c r="B35" s="227" t="s">
        <v>895</v>
      </c>
      <c r="C35" s="135">
        <f>LG26V[[#This Row],[STOCK JUEGOS]]</f>
        <v>20</v>
      </c>
      <c r="D35" s="158" t="s">
        <v>896</v>
      </c>
      <c r="E35" s="112">
        <v>2065</v>
      </c>
      <c r="F35" s="114" t="s">
        <v>195</v>
      </c>
      <c r="G35" s="134">
        <f>samgung26[[#This Row],[STOCK JUEGOS]]</f>
        <v>13</v>
      </c>
      <c r="H35" s="158" t="s">
        <v>196</v>
      </c>
    </row>
    <row r="36" spans="1:8" ht="11.25" customHeight="1">
      <c r="A36" s="108">
        <v>1075</v>
      </c>
      <c r="B36" s="109" t="s">
        <v>74</v>
      </c>
      <c r="C36" s="135">
        <f>LG26V[[#This Row],[STOCK JUEGOS]]</f>
        <v>17</v>
      </c>
      <c r="D36" s="159" t="s">
        <v>75</v>
      </c>
      <c r="E36" s="110">
        <v>2066</v>
      </c>
      <c r="F36" s="111" t="s">
        <v>197</v>
      </c>
      <c r="G36" s="134">
        <f>samgung26[[#This Row],[STOCK JUEGOS]]</f>
        <v>2</v>
      </c>
      <c r="H36" s="159" t="s">
        <v>198</v>
      </c>
    </row>
    <row r="37" spans="1:8" ht="11.25" customHeight="1">
      <c r="A37" s="106">
        <v>1076</v>
      </c>
      <c r="B37" s="107" t="s">
        <v>76</v>
      </c>
      <c r="C37" s="135">
        <f>LG26V[[#This Row],[STOCK JUEGOS]]</f>
        <v>1</v>
      </c>
      <c r="D37" s="158"/>
      <c r="E37" s="112">
        <v>2067</v>
      </c>
      <c r="F37" s="113" t="s">
        <v>199</v>
      </c>
      <c r="G37" s="134">
        <f>samgung26[[#This Row],[STOCK JUEGOS]]</f>
        <v>8</v>
      </c>
      <c r="H37" s="158" t="s">
        <v>200</v>
      </c>
    </row>
    <row r="38" spans="1:8" ht="11.25" customHeight="1">
      <c r="A38" s="108">
        <v>1078</v>
      </c>
      <c r="B38" s="109" t="s">
        <v>77</v>
      </c>
      <c r="C38" s="135">
        <f>LG26V[[#This Row],[STOCK JUEGOS]]</f>
        <v>22</v>
      </c>
      <c r="D38" s="159" t="s">
        <v>78</v>
      </c>
      <c r="E38" s="225" t="s">
        <v>850</v>
      </c>
      <c r="F38" s="225" t="s">
        <v>851</v>
      </c>
      <c r="G38" s="134">
        <f>samgung26[[#This Row],[STOCK JUEGOS]]</f>
        <v>18</v>
      </c>
      <c r="H38" s="158" t="s">
        <v>852</v>
      </c>
    </row>
    <row r="39" spans="1:8" ht="11.25" customHeight="1">
      <c r="A39" s="106">
        <v>1081</v>
      </c>
      <c r="B39" s="107" t="s">
        <v>79</v>
      </c>
      <c r="C39" s="135">
        <f>LG26V[[#This Row],[STOCK JUEGOS]]</f>
        <v>2</v>
      </c>
      <c r="D39" s="158"/>
      <c r="E39" s="110">
        <v>2069</v>
      </c>
      <c r="F39" s="111" t="s">
        <v>201</v>
      </c>
      <c r="G39" s="134">
        <f>samgung26[[#This Row],[STOCK JUEGOS]]</f>
        <v>8</v>
      </c>
      <c r="H39" s="159" t="s">
        <v>203</v>
      </c>
    </row>
    <row r="40" spans="1:8" ht="11.25" customHeight="1">
      <c r="A40" s="108">
        <v>1084</v>
      </c>
      <c r="B40" s="109" t="s">
        <v>80</v>
      </c>
      <c r="C40" s="135">
        <f>LG26V[[#This Row],[STOCK JUEGOS]]</f>
        <v>0</v>
      </c>
      <c r="D40" s="159"/>
      <c r="E40" s="112">
        <v>2070</v>
      </c>
      <c r="F40" s="113" t="s">
        <v>204</v>
      </c>
      <c r="G40" s="134">
        <f>samgung26[[#This Row],[STOCK JUEGOS]]</f>
        <v>6</v>
      </c>
      <c r="H40" s="158" t="s">
        <v>205</v>
      </c>
    </row>
    <row r="41" spans="1:8" ht="11.25" customHeight="1">
      <c r="A41" s="106">
        <v>1087</v>
      </c>
      <c r="B41" s="107" t="s">
        <v>81</v>
      </c>
      <c r="C41" s="135">
        <f>LG26V[[#This Row],[STOCK JUEGOS]]</f>
        <v>13</v>
      </c>
      <c r="D41" s="158" t="s">
        <v>82</v>
      </c>
      <c r="E41" s="110">
        <v>2072</v>
      </c>
      <c r="F41" s="177" t="s">
        <v>642</v>
      </c>
      <c r="G41" s="134">
        <f>samgung26[[#This Row],[STOCK JUEGOS]]</f>
        <v>9</v>
      </c>
      <c r="H41" s="159" t="s">
        <v>207</v>
      </c>
    </row>
    <row r="42" spans="1:8" ht="11.25" customHeight="1">
      <c r="A42" s="108">
        <v>1090</v>
      </c>
      <c r="B42" s="109" t="s">
        <v>83</v>
      </c>
      <c r="C42" s="135">
        <f>LG26V[[#This Row],[STOCK JUEGOS]]</f>
        <v>15</v>
      </c>
      <c r="D42" s="159" t="s">
        <v>84</v>
      </c>
      <c r="E42" s="112">
        <v>2075</v>
      </c>
      <c r="F42" s="114" t="s">
        <v>208</v>
      </c>
      <c r="G42" s="134">
        <f>samgung26[[#This Row],[STOCK JUEGOS]]</f>
        <v>35</v>
      </c>
      <c r="H42" s="158" t="s">
        <v>209</v>
      </c>
    </row>
    <row r="43" spans="1:8" ht="11.25" customHeight="1">
      <c r="A43" s="106">
        <v>1094</v>
      </c>
      <c r="B43" s="107" t="s">
        <v>85</v>
      </c>
      <c r="C43" s="135">
        <f>LG26V[[#This Row],[STOCK JUEGOS]]</f>
        <v>13</v>
      </c>
      <c r="D43" s="158" t="s">
        <v>86</v>
      </c>
      <c r="E43" s="110">
        <v>2078</v>
      </c>
      <c r="F43" s="111" t="s">
        <v>211</v>
      </c>
      <c r="G43" s="134">
        <f>samgung26[[#This Row],[STOCK JUEGOS]]</f>
        <v>22</v>
      </c>
      <c r="H43" s="159" t="s">
        <v>212</v>
      </c>
    </row>
    <row r="44" spans="1:8" ht="11.25" customHeight="1">
      <c r="A44" s="108">
        <v>1096</v>
      </c>
      <c r="B44" s="109" t="s">
        <v>87</v>
      </c>
      <c r="C44" s="135">
        <f>LG26V[[#This Row],[STOCK JUEGOS]]</f>
        <v>11</v>
      </c>
      <c r="D44" s="159"/>
      <c r="E44" s="112">
        <v>2079</v>
      </c>
      <c r="F44" s="113" t="s">
        <v>214</v>
      </c>
      <c r="G44" s="134">
        <f>samgung26[[#This Row],[STOCK JUEGOS]]</f>
        <v>7</v>
      </c>
      <c r="H44" s="158" t="s">
        <v>216</v>
      </c>
    </row>
    <row r="45" spans="1:8" ht="11.25" customHeight="1">
      <c r="A45" s="106">
        <v>1099</v>
      </c>
      <c r="B45" s="107" t="s">
        <v>88</v>
      </c>
      <c r="C45" s="135">
        <f>LG26V[[#This Row],[STOCK JUEGOS]]</f>
        <v>6</v>
      </c>
      <c r="D45" s="158" t="s">
        <v>89</v>
      </c>
      <c r="E45" s="110">
        <v>2081</v>
      </c>
      <c r="F45" s="111" t="s">
        <v>217</v>
      </c>
      <c r="G45" s="134">
        <f>samgung26[[#This Row],[STOCK JUEGOS]]</f>
        <v>20</v>
      </c>
      <c r="H45" s="159" t="s">
        <v>218</v>
      </c>
    </row>
    <row r="46" spans="1:8" ht="11.25" customHeight="1">
      <c r="A46" s="108">
        <v>1102</v>
      </c>
      <c r="B46" s="176" t="s">
        <v>90</v>
      </c>
      <c r="C46" s="135">
        <f>LG26V[[#This Row],[STOCK JUEGOS]]</f>
        <v>16</v>
      </c>
      <c r="D46" s="159" t="s">
        <v>91</v>
      </c>
      <c r="E46" s="112">
        <v>2082</v>
      </c>
      <c r="F46" s="113" t="s">
        <v>219</v>
      </c>
      <c r="G46" s="134">
        <f>samgung26[[#This Row],[STOCK JUEGOS]]</f>
        <v>9</v>
      </c>
      <c r="H46" s="158" t="s">
        <v>42</v>
      </c>
    </row>
    <row r="47" spans="1:8" ht="11.25" customHeight="1">
      <c r="A47" s="106">
        <v>1105</v>
      </c>
      <c r="B47" s="107" t="s">
        <v>92</v>
      </c>
      <c r="C47" s="135">
        <f>LG26V[[#This Row],[STOCK JUEGOS]]</f>
        <v>22</v>
      </c>
      <c r="D47" s="158" t="s">
        <v>93</v>
      </c>
      <c r="E47" s="178">
        <v>2083</v>
      </c>
      <c r="F47" s="228" t="s">
        <v>890</v>
      </c>
      <c r="G47" s="134">
        <f>samgung26[[#This Row],[STOCK JUEGOS]]</f>
        <v>5</v>
      </c>
      <c r="H47" s="158" t="s">
        <v>892</v>
      </c>
    </row>
    <row r="48" spans="1:8" ht="11.25" customHeight="1">
      <c r="A48" s="108">
        <v>1108</v>
      </c>
      <c r="B48" s="109" t="s">
        <v>94</v>
      </c>
      <c r="C48" s="135">
        <f>LG26V[[#This Row],[STOCK JUEGOS]]</f>
        <v>24</v>
      </c>
      <c r="D48" s="159" t="s">
        <v>95</v>
      </c>
      <c r="E48" s="110">
        <v>2084</v>
      </c>
      <c r="F48" s="111" t="s">
        <v>220</v>
      </c>
      <c r="G48" s="134">
        <f>samgung26[[#This Row],[STOCK JUEGOS]]</f>
        <v>1</v>
      </c>
      <c r="H48" s="159"/>
    </row>
    <row r="49" spans="1:8" ht="11.25" customHeight="1">
      <c r="A49" s="106">
        <v>1111</v>
      </c>
      <c r="B49" s="107" t="s">
        <v>96</v>
      </c>
      <c r="C49" s="135">
        <f>LG26V[[#This Row],[STOCK JUEGOS]]</f>
        <v>9</v>
      </c>
      <c r="D49" s="158" t="s">
        <v>97</v>
      </c>
      <c r="E49" s="112">
        <v>2085</v>
      </c>
      <c r="F49" s="114" t="s">
        <v>727</v>
      </c>
      <c r="G49" s="134">
        <f>samgung26[[#This Row],[STOCK JUEGOS]]</f>
        <v>5</v>
      </c>
      <c r="H49" s="158" t="s">
        <v>221</v>
      </c>
    </row>
    <row r="50" spans="1:8" ht="11.25" customHeight="1">
      <c r="A50" s="108">
        <v>1112</v>
      </c>
      <c r="B50" s="109" t="s">
        <v>98</v>
      </c>
      <c r="C50" s="135">
        <f>LG26V[[#This Row],[STOCK JUEGOS]]</f>
        <v>6</v>
      </c>
      <c r="D50" s="159" t="s">
        <v>99</v>
      </c>
      <c r="E50" s="110">
        <v>2087</v>
      </c>
      <c r="F50" s="111" t="s">
        <v>222</v>
      </c>
      <c r="G50" s="134">
        <f>samgung26[[#This Row],[STOCK JUEGOS]]</f>
        <v>10</v>
      </c>
      <c r="H50" s="159" t="s">
        <v>223</v>
      </c>
    </row>
    <row r="51" spans="1:8" ht="11.25" customHeight="1">
      <c r="A51" s="106">
        <v>1114</v>
      </c>
      <c r="B51" s="107" t="s">
        <v>100</v>
      </c>
      <c r="C51" s="135">
        <f>LG26V[[#This Row],[STOCK JUEGOS]]</f>
        <v>16</v>
      </c>
      <c r="D51" s="158" t="s">
        <v>101</v>
      </c>
      <c r="E51" s="112">
        <v>2088</v>
      </c>
      <c r="F51" s="113" t="s">
        <v>225</v>
      </c>
      <c r="G51" s="134">
        <f>samgung26[[#This Row],[STOCK JUEGOS]]</f>
        <v>2</v>
      </c>
      <c r="H51" s="158"/>
    </row>
    <row r="52" spans="1:8" ht="11.25" customHeight="1">
      <c r="A52" s="108">
        <v>1117</v>
      </c>
      <c r="B52" s="109" t="s">
        <v>102</v>
      </c>
      <c r="C52" s="135">
        <f>LG26V[[#This Row],[STOCK JUEGOS]]</f>
        <v>16</v>
      </c>
      <c r="D52" s="159" t="s">
        <v>103</v>
      </c>
      <c r="E52" s="110">
        <v>2089</v>
      </c>
      <c r="F52" s="117" t="s">
        <v>226</v>
      </c>
      <c r="G52" s="134">
        <f>samgung26[[#This Row],[STOCK JUEGOS]]</f>
        <v>19</v>
      </c>
      <c r="H52" s="159"/>
    </row>
    <row r="53" spans="1:8" ht="11.25" customHeight="1">
      <c r="A53" s="106">
        <v>1120</v>
      </c>
      <c r="B53" s="107" t="s">
        <v>104</v>
      </c>
      <c r="C53" s="135">
        <f>LG26V[[#This Row],[STOCK JUEGOS]]</f>
        <v>14</v>
      </c>
      <c r="D53" s="158" t="s">
        <v>105</v>
      </c>
      <c r="E53" s="112">
        <v>2090</v>
      </c>
      <c r="F53" s="114" t="s">
        <v>227</v>
      </c>
      <c r="G53" s="134">
        <f>samgung26[[#This Row],[STOCK JUEGOS]]</f>
        <v>14</v>
      </c>
      <c r="H53" s="158" t="s">
        <v>228</v>
      </c>
    </row>
    <row r="54" spans="1:8" ht="11.25" customHeight="1">
      <c r="A54" s="108">
        <v>1121</v>
      </c>
      <c r="B54" s="109" t="s">
        <v>106</v>
      </c>
      <c r="C54" s="135">
        <f>LG26V[[#This Row],[STOCK JUEGOS]]</f>
        <v>16</v>
      </c>
      <c r="D54" s="159"/>
      <c r="E54" s="110">
        <v>2092</v>
      </c>
      <c r="F54" s="117" t="s">
        <v>229</v>
      </c>
      <c r="G54" s="134">
        <f>samgung26[[#This Row],[STOCK JUEGOS]]</f>
        <v>19</v>
      </c>
      <c r="H54" s="159"/>
    </row>
    <row r="55" spans="1:8" ht="11.25" customHeight="1">
      <c r="A55" s="106">
        <v>1123</v>
      </c>
      <c r="B55" s="107" t="s">
        <v>107</v>
      </c>
      <c r="C55" s="135">
        <f>LG26V[[#This Row],[STOCK JUEGOS]]</f>
        <v>17</v>
      </c>
      <c r="D55" s="158"/>
      <c r="E55" s="112">
        <v>2093</v>
      </c>
      <c r="F55" s="114" t="s">
        <v>231</v>
      </c>
      <c r="G55" s="134">
        <f>samgung26[[#This Row],[STOCK JUEGOS]]</f>
        <v>14</v>
      </c>
      <c r="H55" s="153" t="s">
        <v>232</v>
      </c>
    </row>
    <row r="56" spans="1:8" ht="11.25" customHeight="1">
      <c r="A56" s="108">
        <v>1126</v>
      </c>
      <c r="B56" s="109" t="s">
        <v>108</v>
      </c>
      <c r="C56" s="135">
        <f>LG26V[[#This Row],[STOCK JUEGOS]]</f>
        <v>21</v>
      </c>
      <c r="D56" s="159"/>
      <c r="E56" s="110">
        <v>2094</v>
      </c>
      <c r="F56" s="111" t="s">
        <v>233</v>
      </c>
      <c r="G56" s="134">
        <f>samgung26[[#This Row],[STOCK JUEGOS]]</f>
        <v>9</v>
      </c>
      <c r="H56" s="168" t="s">
        <v>234</v>
      </c>
    </row>
    <row r="57" spans="1:8" ht="11.25" customHeight="1">
      <c r="A57" s="106">
        <v>1129</v>
      </c>
      <c r="B57" s="107" t="s">
        <v>109</v>
      </c>
      <c r="C57" s="135">
        <f>LG26V[[#This Row],[STOCK JUEGOS]]</f>
        <v>16</v>
      </c>
      <c r="D57" s="158" t="s">
        <v>110</v>
      </c>
      <c r="E57" s="112">
        <v>2095</v>
      </c>
      <c r="F57" s="113" t="s">
        <v>235</v>
      </c>
      <c r="G57" s="134">
        <f>samgung26[[#This Row],[STOCK JUEGOS]]</f>
        <v>38</v>
      </c>
      <c r="H57" s="153" t="s">
        <v>236</v>
      </c>
    </row>
    <row r="58" spans="1:8" ht="11.25" customHeight="1">
      <c r="A58" s="108">
        <v>1132</v>
      </c>
      <c r="B58" s="109" t="s">
        <v>111</v>
      </c>
      <c r="C58" s="135">
        <f>LG26V[[#This Row],[STOCK JUEGOS]]</f>
        <v>18</v>
      </c>
      <c r="D58" s="159" t="s">
        <v>112</v>
      </c>
      <c r="E58" s="110">
        <v>2096</v>
      </c>
      <c r="F58" s="111" t="s">
        <v>237</v>
      </c>
      <c r="G58" s="134">
        <f>samgung26[[#This Row],[STOCK JUEGOS]]</f>
        <v>10</v>
      </c>
      <c r="H58" s="168" t="s">
        <v>238</v>
      </c>
    </row>
    <row r="59" spans="1:8" ht="11.25" customHeight="1">
      <c r="A59" s="106">
        <v>1135</v>
      </c>
      <c r="B59" s="107" t="s">
        <v>113</v>
      </c>
      <c r="C59" s="135">
        <f>LG26V[[#This Row],[STOCK JUEGOS]]</f>
        <v>23</v>
      </c>
      <c r="D59" s="158" t="s">
        <v>114</v>
      </c>
      <c r="E59" s="112">
        <v>2097</v>
      </c>
      <c r="F59" s="113" t="s">
        <v>239</v>
      </c>
      <c r="G59" s="134">
        <f>samgung26[[#This Row],[STOCK JUEGOS]]</f>
        <v>3</v>
      </c>
      <c r="H59" s="153" t="s">
        <v>236</v>
      </c>
    </row>
    <row r="60" spans="1:8" ht="11.25" customHeight="1">
      <c r="A60" s="108">
        <v>1138</v>
      </c>
      <c r="B60" s="109" t="s">
        <v>115</v>
      </c>
      <c r="C60" s="135">
        <f>LG26V[[#This Row],[STOCK JUEGOS]]</f>
        <v>6</v>
      </c>
      <c r="D60" s="159" t="s">
        <v>116</v>
      </c>
      <c r="E60" s="110">
        <v>2106</v>
      </c>
      <c r="F60" s="117" t="s">
        <v>241</v>
      </c>
      <c r="G60" s="134">
        <f>samgung26[[#This Row],[STOCK JUEGOS]]</f>
        <v>3</v>
      </c>
      <c r="H60" s="168" t="s">
        <v>242</v>
      </c>
    </row>
    <row r="61" spans="1:8" ht="11.25" customHeight="1">
      <c r="A61" s="106">
        <v>1139</v>
      </c>
      <c r="B61" s="107" t="s">
        <v>117</v>
      </c>
      <c r="C61" s="135">
        <f>LG26V[[#This Row],[STOCK JUEGOS]]</f>
        <v>10</v>
      </c>
      <c r="D61" s="158" t="s">
        <v>118</v>
      </c>
      <c r="E61" s="112">
        <v>2091</v>
      </c>
      <c r="F61" s="114" t="s">
        <v>243</v>
      </c>
      <c r="G61" s="134">
        <f>samgung26[[#This Row],[STOCK JUEGOS]]</f>
        <v>7</v>
      </c>
      <c r="H61" s="153" t="s">
        <v>244</v>
      </c>
    </row>
    <row r="62" spans="1:8" ht="11.25" customHeight="1">
      <c r="A62" s="108">
        <v>1141</v>
      </c>
      <c r="B62" s="109" t="s">
        <v>119</v>
      </c>
      <c r="C62" s="135">
        <f>LG26V[[#This Row],[STOCK JUEGOS]]</f>
        <v>12</v>
      </c>
      <c r="D62" s="159" t="s">
        <v>120</v>
      </c>
      <c r="E62" s="110">
        <v>2086</v>
      </c>
      <c r="F62" s="111" t="s">
        <v>245</v>
      </c>
      <c r="G62" s="134">
        <f>samgung26[[#This Row],[STOCK JUEGOS]]</f>
        <v>10</v>
      </c>
      <c r="H62" s="168" t="s">
        <v>246</v>
      </c>
    </row>
    <row r="63" spans="1:8" ht="11.25" customHeight="1">
      <c r="A63" s="106">
        <v>1144</v>
      </c>
      <c r="B63" s="107" t="s">
        <v>121</v>
      </c>
      <c r="C63" s="135">
        <f>LG26V[[#This Row],[STOCK JUEGOS]]</f>
        <v>16</v>
      </c>
      <c r="D63" s="158" t="s">
        <v>122</v>
      </c>
      <c r="E63" s="112">
        <v>2098</v>
      </c>
      <c r="F63" s="113" t="s">
        <v>247</v>
      </c>
      <c r="G63" s="134">
        <f>samgung26[[#This Row],[STOCK JUEGOS]]</f>
        <v>10</v>
      </c>
      <c r="H63" s="153" t="s">
        <v>248</v>
      </c>
    </row>
    <row r="64" spans="1:8" ht="11.25" customHeight="1">
      <c r="A64" s="108">
        <v>1147</v>
      </c>
      <c r="B64" s="109" t="s">
        <v>123</v>
      </c>
      <c r="C64" s="135">
        <f>LG26V[[#This Row],[STOCK JUEGOS]]</f>
        <v>10</v>
      </c>
      <c r="D64" s="159" t="s">
        <v>124</v>
      </c>
      <c r="E64" s="110">
        <v>2099</v>
      </c>
      <c r="F64" s="111" t="s">
        <v>249</v>
      </c>
      <c r="G64" s="134">
        <f>samgung26[[#This Row],[STOCK JUEGOS]]</f>
        <v>18</v>
      </c>
      <c r="H64" s="168" t="s">
        <v>250</v>
      </c>
    </row>
    <row r="65" spans="1:9" ht="11.25" customHeight="1">
      <c r="A65" s="106">
        <v>1148</v>
      </c>
      <c r="B65" s="107" t="s">
        <v>125</v>
      </c>
      <c r="C65" s="135">
        <f>LG26V[[#This Row],[STOCK JUEGOS]]</f>
        <v>9</v>
      </c>
      <c r="D65" s="158" t="s">
        <v>126</v>
      </c>
      <c r="E65" s="112">
        <v>2100</v>
      </c>
      <c r="F65" s="113" t="s">
        <v>251</v>
      </c>
      <c r="G65" s="134">
        <f>samgung26[[#This Row],[STOCK JUEGOS]]</f>
        <v>10</v>
      </c>
      <c r="H65" s="153" t="s">
        <v>252</v>
      </c>
    </row>
    <row r="66" spans="1:9" ht="11.25" customHeight="1">
      <c r="A66" s="108">
        <v>1149</v>
      </c>
      <c r="B66" s="109" t="s">
        <v>127</v>
      </c>
      <c r="C66" s="135">
        <f>LG26V[[#This Row],[STOCK JUEGOS]]</f>
        <v>2</v>
      </c>
      <c r="D66" s="159"/>
      <c r="E66" s="110">
        <v>2101</v>
      </c>
      <c r="F66" s="117" t="s">
        <v>253</v>
      </c>
      <c r="G66" s="134">
        <f>samgung26[[#This Row],[STOCK JUEGOS]]</f>
        <v>1</v>
      </c>
      <c r="H66" s="159"/>
    </row>
    <row r="67" spans="1:9">
      <c r="A67" s="106">
        <v>1150</v>
      </c>
      <c r="B67" s="107" t="s">
        <v>128</v>
      </c>
      <c r="C67" s="135">
        <f>LG26V[[#This Row],[STOCK JUEGOS]]</f>
        <v>9</v>
      </c>
      <c r="D67" s="158" t="s">
        <v>129</v>
      </c>
      <c r="E67" s="112">
        <v>2102</v>
      </c>
      <c r="F67" s="114" t="s">
        <v>787</v>
      </c>
      <c r="G67" s="134">
        <f>samgung26[[#This Row],[STOCK JUEGOS]]</f>
        <v>3</v>
      </c>
      <c r="H67" s="158"/>
    </row>
    <row r="68" spans="1:9">
      <c r="A68" s="108">
        <v>1153</v>
      </c>
      <c r="B68" s="182" t="s">
        <v>130</v>
      </c>
      <c r="C68" s="135">
        <f>LG26V[[#This Row],[STOCK JUEGOS]]</f>
        <v>4</v>
      </c>
      <c r="D68" s="159"/>
      <c r="E68" s="110">
        <v>2103</v>
      </c>
      <c r="F68" s="117" t="s">
        <v>255</v>
      </c>
      <c r="G68" s="134">
        <f>samgung26[[#This Row],[STOCK JUEGOS]]</f>
        <v>10</v>
      </c>
      <c r="H68" s="168" t="s">
        <v>256</v>
      </c>
    </row>
    <row r="69" spans="1:9" ht="11.25" customHeight="1">
      <c r="A69" s="230" t="s">
        <v>846</v>
      </c>
      <c r="B69" s="229" t="s">
        <v>847</v>
      </c>
      <c r="C69" s="135">
        <f>LG26V[[#This Row],[STOCK JUEGOS]]</f>
        <v>9</v>
      </c>
      <c r="D69" s="231" t="s">
        <v>849</v>
      </c>
      <c r="E69" s="112">
        <v>2107</v>
      </c>
      <c r="F69" s="113" t="s">
        <v>257</v>
      </c>
      <c r="G69" s="134">
        <f>samgung26[[#This Row],[STOCK JUEGOS]]</f>
        <v>8</v>
      </c>
      <c r="H69" s="153" t="s">
        <v>258</v>
      </c>
    </row>
    <row r="70" spans="1:9" ht="11.25" customHeight="1">
      <c r="A70" s="166">
        <v>1154</v>
      </c>
      <c r="B70" s="175" t="s">
        <v>745</v>
      </c>
      <c r="C70" s="135">
        <f>LG26V[[#This Row],[STOCK JUEGOS]]</f>
        <v>5</v>
      </c>
      <c r="D70" s="167" t="s">
        <v>746</v>
      </c>
      <c r="E70" s="110">
        <v>2104</v>
      </c>
      <c r="F70" s="117" t="s">
        <v>259</v>
      </c>
      <c r="G70" s="134">
        <f>samgung26[[#This Row],[STOCK JUEGOS]]</f>
        <v>7</v>
      </c>
      <c r="H70" s="168" t="s">
        <v>260</v>
      </c>
    </row>
    <row r="71" spans="1:9" ht="11.25" customHeight="1">
      <c r="A71" s="171"/>
      <c r="B71" s="59"/>
      <c r="C71" s="120"/>
      <c r="D71" s="154"/>
      <c r="E71" s="112">
        <v>2108</v>
      </c>
      <c r="F71" s="183" t="s">
        <v>754</v>
      </c>
      <c r="G71" s="134">
        <f>samgung26[[#This Row],[STOCK JUEGOS]]</f>
        <v>9</v>
      </c>
      <c r="H71" s="153" t="s">
        <v>755</v>
      </c>
    </row>
    <row r="72" spans="1:9" ht="11.25" customHeight="1">
      <c r="A72" s="254" t="s">
        <v>281</v>
      </c>
      <c r="B72" s="254"/>
      <c r="C72" s="254"/>
      <c r="D72" s="154"/>
      <c r="E72" s="112">
        <v>2105</v>
      </c>
      <c r="F72" s="185" t="s">
        <v>261</v>
      </c>
      <c r="G72" s="134">
        <f>samgung26[[#This Row],[STOCK JUEGOS]]</f>
        <v>24</v>
      </c>
      <c r="H72" s="168" t="s">
        <v>262</v>
      </c>
    </row>
    <row r="73" spans="1:9" ht="11.25" customHeight="1">
      <c r="A73" s="104" t="s">
        <v>616</v>
      </c>
      <c r="B73" s="105" t="s">
        <v>2</v>
      </c>
      <c r="C73" s="169" t="s">
        <v>648</v>
      </c>
      <c r="D73" s="154"/>
      <c r="E73" s="254" t="s">
        <v>343</v>
      </c>
      <c r="F73" s="254"/>
      <c r="G73" s="134"/>
      <c r="H73" s="90"/>
    </row>
    <row r="74" spans="1:9" ht="11.25" customHeight="1">
      <c r="A74" s="110">
        <v>4000</v>
      </c>
      <c r="B74" s="124" t="s">
        <v>282</v>
      </c>
      <c r="C74" s="134">
        <f>DAEWOO!D5</f>
        <v>36</v>
      </c>
      <c r="D74" s="159" t="s">
        <v>283</v>
      </c>
      <c r="E74" s="104" t="s">
        <v>616</v>
      </c>
      <c r="F74" s="105" t="s">
        <v>2</v>
      </c>
      <c r="G74" s="189" t="s">
        <v>648</v>
      </c>
      <c r="H74" s="90"/>
    </row>
    <row r="75" spans="1:9" ht="11.25" customHeight="1">
      <c r="A75" s="112">
        <v>4002</v>
      </c>
      <c r="B75" s="114" t="s">
        <v>284</v>
      </c>
      <c r="C75" s="134">
        <f>DAEWOO!D6</f>
        <v>26</v>
      </c>
      <c r="D75" s="158" t="s">
        <v>285</v>
      </c>
      <c r="E75" s="110">
        <v>6009</v>
      </c>
      <c r="F75" s="168" t="s">
        <v>935</v>
      </c>
      <c r="G75" s="135">
        <f>'TOSHIBA '!C5</f>
        <v>0</v>
      </c>
      <c r="H75" s="159" t="s">
        <v>344</v>
      </c>
      <c r="I75" t="s">
        <v>905</v>
      </c>
    </row>
    <row r="76" spans="1:9" ht="11.25" customHeight="1">
      <c r="A76" s="110">
        <v>4003</v>
      </c>
      <c r="B76" s="111" t="s">
        <v>286</v>
      </c>
      <c r="C76" s="134">
        <f>DAEWOO!D7</f>
        <v>8</v>
      </c>
      <c r="D76" s="159" t="s">
        <v>287</v>
      </c>
      <c r="E76" s="112">
        <v>6011</v>
      </c>
      <c r="F76" s="114" t="s">
        <v>345</v>
      </c>
      <c r="G76" s="135">
        <f>'TOSHIBA '!C6</f>
        <v>18</v>
      </c>
      <c r="H76" s="158" t="s">
        <v>346</v>
      </c>
    </row>
    <row r="77" spans="1:9" ht="11.25" customHeight="1">
      <c r="A77" s="112">
        <v>4009</v>
      </c>
      <c r="B77" s="177" t="s">
        <v>288</v>
      </c>
      <c r="C77" s="134">
        <f>DAEWOO!D8</f>
        <v>21</v>
      </c>
      <c r="D77" s="158" t="s">
        <v>289</v>
      </c>
      <c r="E77" s="110">
        <v>6015</v>
      </c>
      <c r="F77" s="111" t="s">
        <v>347</v>
      </c>
      <c r="G77" s="135">
        <f>'TOSHIBA '!C7</f>
        <v>12</v>
      </c>
      <c r="H77" s="159" t="s">
        <v>348</v>
      </c>
    </row>
    <row r="78" spans="1:9" ht="11.25" customHeight="1">
      <c r="A78" s="110">
        <v>4010</v>
      </c>
      <c r="B78" s="111" t="s">
        <v>290</v>
      </c>
      <c r="C78" s="134">
        <f>DAEWOO!D9</f>
        <v>21</v>
      </c>
      <c r="D78" s="159" t="s">
        <v>291</v>
      </c>
      <c r="E78" s="112">
        <v>6016</v>
      </c>
      <c r="F78" s="114" t="s">
        <v>349</v>
      </c>
      <c r="G78" s="135">
        <f>'TOSHIBA '!C8</f>
        <v>14</v>
      </c>
      <c r="H78" s="158" t="s">
        <v>350</v>
      </c>
    </row>
    <row r="79" spans="1:9" ht="11.25" customHeight="1">
      <c r="A79" s="112">
        <v>4011</v>
      </c>
      <c r="B79" s="114" t="s">
        <v>293</v>
      </c>
      <c r="C79" s="134">
        <f>DAEWOO!D10</f>
        <v>18</v>
      </c>
      <c r="D79" s="158" t="s">
        <v>294</v>
      </c>
      <c r="E79" s="110">
        <v>6021</v>
      </c>
      <c r="F79" s="111" t="s">
        <v>351</v>
      </c>
      <c r="G79" s="135">
        <f>'TOSHIBA '!C9</f>
        <v>21</v>
      </c>
      <c r="H79" s="159"/>
    </row>
    <row r="80" spans="1:9">
      <c r="A80" s="110">
        <v>4015</v>
      </c>
      <c r="B80" s="111" t="s">
        <v>296</v>
      </c>
      <c r="C80" s="134">
        <f>DAEWOO!D11</f>
        <v>25</v>
      </c>
      <c r="D80" s="156" t="s">
        <v>297</v>
      </c>
      <c r="E80" s="112">
        <v>6023</v>
      </c>
      <c r="F80" s="114" t="s">
        <v>352</v>
      </c>
      <c r="G80" s="135">
        <f>'TOSHIBA '!C10</f>
        <v>12</v>
      </c>
      <c r="H80" s="158" t="s">
        <v>353</v>
      </c>
    </row>
    <row r="81" spans="1:8">
      <c r="A81" s="112">
        <v>4018</v>
      </c>
      <c r="B81" s="114" t="s">
        <v>298</v>
      </c>
      <c r="C81" s="134">
        <f>DAEWOO!D12</f>
        <v>4</v>
      </c>
      <c r="D81" s="155" t="s">
        <v>299</v>
      </c>
      <c r="E81" s="110">
        <v>6024</v>
      </c>
      <c r="F81" s="111" t="s">
        <v>354</v>
      </c>
      <c r="G81" s="135">
        <f>'TOSHIBA '!C11</f>
        <v>0</v>
      </c>
      <c r="H81" s="156" t="s">
        <v>355</v>
      </c>
    </row>
    <row r="82" spans="1:8" ht="13.5" customHeight="1">
      <c r="A82" s="110">
        <v>4020</v>
      </c>
      <c r="B82" s="111" t="s">
        <v>300</v>
      </c>
      <c r="C82" s="134">
        <f>DAEWOO!D13</f>
        <v>16</v>
      </c>
      <c r="D82" s="156"/>
      <c r="E82" s="112">
        <v>6025</v>
      </c>
      <c r="F82" s="114" t="s">
        <v>356</v>
      </c>
      <c r="G82" s="135">
        <f>'TOSHIBA '!C12</f>
        <v>18</v>
      </c>
      <c r="H82" s="155" t="s">
        <v>357</v>
      </c>
    </row>
    <row r="83" spans="1:8" ht="11.25" customHeight="1">
      <c r="A83" s="112">
        <v>4021</v>
      </c>
      <c r="B83" s="123" t="s">
        <v>301</v>
      </c>
      <c r="C83" s="134">
        <f>DAEWOO!D14</f>
        <v>11</v>
      </c>
      <c r="D83" s="160" t="s">
        <v>302</v>
      </c>
      <c r="E83" s="110">
        <v>6030</v>
      </c>
      <c r="F83" s="111" t="s">
        <v>358</v>
      </c>
      <c r="G83" s="135">
        <f>'TOSHIBA '!C13</f>
        <v>21</v>
      </c>
      <c r="H83" s="157"/>
    </row>
    <row r="84" spans="1:8" ht="11.25" customHeight="1">
      <c r="A84" s="203"/>
      <c r="B84" s="204"/>
      <c r="C84" s="205"/>
      <c r="D84" s="206"/>
      <c r="E84" s="211"/>
      <c r="F84" s="211"/>
      <c r="G84" s="90"/>
      <c r="H84" s="90"/>
    </row>
    <row r="85" spans="1:8" ht="11.25" customHeight="1">
      <c r="A85" s="211" t="s">
        <v>640</v>
      </c>
      <c r="B85" s="211"/>
      <c r="C85" s="211"/>
      <c r="D85" s="211"/>
      <c r="E85" s="212"/>
      <c r="F85" s="212"/>
      <c r="G85" s="90"/>
      <c r="H85" s="90"/>
    </row>
    <row r="86" spans="1:8" ht="11.25" customHeight="1">
      <c r="A86" s="212" t="s">
        <v>641</v>
      </c>
      <c r="B86" s="212"/>
      <c r="C86" s="212"/>
      <c r="D86" s="212"/>
      <c r="E86" s="163"/>
      <c r="F86" s="163"/>
      <c r="G86" s="90"/>
      <c r="H86" s="90"/>
    </row>
    <row r="87" spans="1:8" ht="11.25" customHeight="1">
      <c r="A87" s="254" t="s">
        <v>397</v>
      </c>
      <c r="B87" s="254"/>
      <c r="C87" s="254"/>
      <c r="E87" s="254" t="s">
        <v>619</v>
      </c>
      <c r="F87" s="254"/>
      <c r="H87" s="90"/>
    </row>
    <row r="88" spans="1:8" ht="11.25" customHeight="1">
      <c r="A88" s="104" t="s">
        <v>616</v>
      </c>
      <c r="B88" s="105" t="s">
        <v>2</v>
      </c>
      <c r="C88" s="169" t="s">
        <v>648</v>
      </c>
      <c r="E88" s="125" t="s">
        <v>616</v>
      </c>
      <c r="F88" s="126" t="s">
        <v>2</v>
      </c>
      <c r="G88" s="169" t="s">
        <v>648</v>
      </c>
      <c r="H88" s="90"/>
    </row>
    <row r="89" spans="1:8" ht="11.25" customHeight="1">
      <c r="A89" s="110">
        <v>8000</v>
      </c>
      <c r="B89" s="127" t="s">
        <v>398</v>
      </c>
      <c r="C89" s="135">
        <f>CHINO!D5</f>
        <v>46</v>
      </c>
      <c r="D89" s="156"/>
      <c r="E89" s="110">
        <v>5000</v>
      </c>
      <c r="F89" s="110" t="s">
        <v>304</v>
      </c>
      <c r="G89" s="134">
        <f>'SONY-PANASONIC'!D5</f>
        <v>26</v>
      </c>
      <c r="H89" s="90"/>
    </row>
    <row r="90" spans="1:8" ht="11.25" customHeight="1">
      <c r="A90" s="112">
        <v>8003</v>
      </c>
      <c r="B90" s="128" t="s">
        <v>399</v>
      </c>
      <c r="C90" s="135">
        <f>CHINO!D6</f>
        <v>0</v>
      </c>
      <c r="D90" s="155"/>
      <c r="E90" s="112">
        <v>5001</v>
      </c>
      <c r="F90" s="112" t="s">
        <v>305</v>
      </c>
      <c r="G90" s="134">
        <f>'SONY-PANASONIC'!D6</f>
        <v>9</v>
      </c>
      <c r="H90" s="90"/>
    </row>
    <row r="91" spans="1:8" ht="11.25" customHeight="1">
      <c r="A91" s="110">
        <v>8006</v>
      </c>
      <c r="B91" s="127" t="s">
        <v>400</v>
      </c>
      <c r="C91" s="135">
        <f>CHINO!D7</f>
        <v>62</v>
      </c>
      <c r="D91" s="156"/>
      <c r="E91" s="110">
        <v>5002</v>
      </c>
      <c r="F91" s="110" t="s">
        <v>306</v>
      </c>
      <c r="G91" s="134">
        <f>'SONY-PANASONIC'!D7</f>
        <v>20</v>
      </c>
      <c r="H91" s="90" t="s">
        <v>897</v>
      </c>
    </row>
    <row r="92" spans="1:8" ht="11.25" customHeight="1">
      <c r="A92" s="129">
        <v>8012</v>
      </c>
      <c r="B92" s="130" t="s">
        <v>401</v>
      </c>
      <c r="C92" s="135">
        <f>CHINO!D8</f>
        <v>22</v>
      </c>
      <c r="D92" s="155"/>
      <c r="E92" s="112">
        <v>5003</v>
      </c>
      <c r="F92" s="112" t="s">
        <v>307</v>
      </c>
      <c r="G92" s="134">
        <f>'SONY-PANASONIC'!D8</f>
        <v>2</v>
      </c>
      <c r="H92" s="90"/>
    </row>
    <row r="93" spans="1:8" ht="11.25" customHeight="1">
      <c r="A93" s="131">
        <v>8013</v>
      </c>
      <c r="B93" s="132" t="s">
        <v>402</v>
      </c>
      <c r="C93" s="135">
        <f>CHINO!D9</f>
        <v>10</v>
      </c>
      <c r="D93" s="156"/>
      <c r="E93" s="110">
        <v>5006</v>
      </c>
      <c r="F93" s="110" t="s">
        <v>308</v>
      </c>
      <c r="G93" s="134">
        <f>'SONY-PANASONIC'!D9</f>
        <v>25</v>
      </c>
      <c r="H93" s="90"/>
    </row>
    <row r="94" spans="1:8" ht="11.25" customHeight="1">
      <c r="A94" s="129">
        <v>8009</v>
      </c>
      <c r="B94" s="128" t="s">
        <v>403</v>
      </c>
      <c r="C94" s="135">
        <f>CHINO!D10</f>
        <v>19</v>
      </c>
      <c r="D94" s="155"/>
      <c r="E94" s="112">
        <v>5009</v>
      </c>
      <c r="F94" s="112" t="s">
        <v>309</v>
      </c>
      <c r="G94" s="134">
        <f>'SONY-PANASONIC'!D10</f>
        <v>17</v>
      </c>
      <c r="H94" s="90"/>
    </row>
    <row r="95" spans="1:8" ht="11.25" customHeight="1">
      <c r="A95" s="131">
        <v>4001</v>
      </c>
      <c r="B95" s="172" t="s">
        <v>405</v>
      </c>
      <c r="C95" s="135">
        <f>CHINO!D11</f>
        <v>2</v>
      </c>
      <c r="D95" s="156" t="s">
        <v>406</v>
      </c>
      <c r="E95" s="110">
        <v>5010</v>
      </c>
      <c r="F95" s="178" t="s">
        <v>310</v>
      </c>
      <c r="G95" s="134">
        <f>'SONY-PANASONIC'!D11</f>
        <v>20</v>
      </c>
      <c r="H95" s="90"/>
    </row>
    <row r="96" spans="1:8" ht="11.25" customHeight="1">
      <c r="A96" s="112">
        <v>8007</v>
      </c>
      <c r="B96" s="128" t="s">
        <v>407</v>
      </c>
      <c r="C96" s="135">
        <f>CHINO!D12</f>
        <v>16</v>
      </c>
      <c r="D96" s="155"/>
      <c r="E96" s="112">
        <v>5012</v>
      </c>
      <c r="F96" s="112" t="s">
        <v>311</v>
      </c>
      <c r="G96" s="134">
        <f>'SONY-PANASONIC'!D12</f>
        <v>10</v>
      </c>
      <c r="H96" s="90"/>
    </row>
    <row r="97" spans="1:8" ht="11.25" customHeight="1">
      <c r="A97" s="131">
        <v>8024</v>
      </c>
      <c r="B97" s="127" t="s">
        <v>408</v>
      </c>
      <c r="C97" s="135">
        <f>CHINO!D13</f>
        <v>21</v>
      </c>
      <c r="D97" s="156" t="s">
        <v>900</v>
      </c>
      <c r="E97" s="110">
        <v>5015</v>
      </c>
      <c r="F97" s="110" t="s">
        <v>312</v>
      </c>
      <c r="G97" s="134">
        <f>'SONY-PANASONIC'!D13</f>
        <v>18</v>
      </c>
      <c r="H97" s="90"/>
    </row>
    <row r="98" spans="1:8" ht="11.25" customHeight="1">
      <c r="A98" s="129">
        <v>8025</v>
      </c>
      <c r="B98" s="128" t="s">
        <v>409</v>
      </c>
      <c r="C98" s="135">
        <f>CHINO!D14</f>
        <v>8</v>
      </c>
      <c r="D98" s="155"/>
      <c r="E98" s="112">
        <v>5018</v>
      </c>
      <c r="F98" s="112" t="s">
        <v>645</v>
      </c>
      <c r="G98" s="134">
        <f>'SONY-PANASONIC'!D14</f>
        <v>19</v>
      </c>
      <c r="H98" s="90"/>
    </row>
    <row r="99" spans="1:8" ht="11.25" customHeight="1">
      <c r="A99" s="110">
        <v>8032</v>
      </c>
      <c r="B99" s="127" t="s">
        <v>410</v>
      </c>
      <c r="C99" s="135">
        <f>CHINO!D15</f>
        <v>2</v>
      </c>
      <c r="D99" s="156"/>
      <c r="E99" s="110">
        <v>5021</v>
      </c>
      <c r="F99" s="110" t="s">
        <v>314</v>
      </c>
      <c r="G99" s="134">
        <f>'SONY-PANASONIC'!D15</f>
        <v>19</v>
      </c>
      <c r="H99" s="164" t="s">
        <v>753</v>
      </c>
    </row>
    <row r="100" spans="1:8" ht="11.25" customHeight="1">
      <c r="A100" s="112">
        <v>8030</v>
      </c>
      <c r="B100" s="128" t="s">
        <v>411</v>
      </c>
      <c r="C100" s="135">
        <f>CHINO!D16</f>
        <v>7</v>
      </c>
      <c r="D100" s="155"/>
      <c r="E100" s="112">
        <v>5022</v>
      </c>
      <c r="F100" s="112" t="s">
        <v>315</v>
      </c>
      <c r="G100" s="134">
        <f>'SONY-PANASONIC'!D16</f>
        <v>1</v>
      </c>
      <c r="H100" s="90"/>
    </row>
    <row r="101" spans="1:8" ht="11.25" customHeight="1">
      <c r="A101" s="110">
        <v>8036</v>
      </c>
      <c r="B101" s="127" t="s">
        <v>412</v>
      </c>
      <c r="C101" s="135">
        <f>CHINO!D17</f>
        <v>1</v>
      </c>
      <c r="D101" s="156"/>
      <c r="E101" s="110">
        <v>5024</v>
      </c>
      <c r="F101" s="110" t="s">
        <v>316</v>
      </c>
      <c r="G101" s="134">
        <f>'SONY-PANASONIC'!D17</f>
        <v>22</v>
      </c>
      <c r="H101" s="90"/>
    </row>
    <row r="102" spans="1:8" ht="11.25" customHeight="1">
      <c r="A102" s="178">
        <v>8038</v>
      </c>
      <c r="B102" s="232" t="s">
        <v>888</v>
      </c>
      <c r="C102" s="135">
        <f>CHINO!D18</f>
        <v>20</v>
      </c>
      <c r="D102" s="156" t="s">
        <v>889</v>
      </c>
      <c r="E102" s="112">
        <v>5025</v>
      </c>
      <c r="F102" s="112" t="s">
        <v>317</v>
      </c>
      <c r="G102" s="134">
        <f>'SONY-PANASONIC'!D18</f>
        <v>15</v>
      </c>
      <c r="H102" s="90"/>
    </row>
    <row r="103" spans="1:8" ht="11.25" customHeight="1">
      <c r="A103" s="129">
        <v>8042</v>
      </c>
      <c r="B103" s="128" t="s">
        <v>760</v>
      </c>
      <c r="C103" s="135">
        <f>CHINO!D19</f>
        <v>2</v>
      </c>
      <c r="D103" s="155"/>
      <c r="E103" s="110">
        <v>5026</v>
      </c>
      <c r="F103" s="110" t="s">
        <v>318</v>
      </c>
      <c r="G103" s="134">
        <f>'SONY-PANASONIC'!D19</f>
        <v>2</v>
      </c>
      <c r="H103" s="90"/>
    </row>
    <row r="104" spans="1:8" ht="11.25" customHeight="1">
      <c r="A104" s="110">
        <v>8008</v>
      </c>
      <c r="B104" s="127" t="s">
        <v>414</v>
      </c>
      <c r="C104" s="135">
        <f>CHINO!D20</f>
        <v>8</v>
      </c>
      <c r="D104" s="156"/>
      <c r="E104" s="112">
        <v>5027</v>
      </c>
      <c r="F104" s="112" t="s">
        <v>319</v>
      </c>
      <c r="G104" s="134">
        <f>'SONY-PANASONIC'!D20</f>
        <v>18</v>
      </c>
      <c r="H104" s="90"/>
    </row>
    <row r="105" spans="1:8" ht="11.25" customHeight="1">
      <c r="A105" s="112">
        <v>8054</v>
      </c>
      <c r="B105" s="128" t="s">
        <v>415</v>
      </c>
      <c r="C105" s="135">
        <f>CHINO!D21</f>
        <v>0</v>
      </c>
      <c r="D105" s="155"/>
      <c r="E105" s="110">
        <v>5029</v>
      </c>
      <c r="F105" s="110" t="s">
        <v>320</v>
      </c>
      <c r="G105" s="134">
        <f>'SONY-PANASONIC'!D21</f>
        <v>19</v>
      </c>
      <c r="H105" s="90"/>
    </row>
    <row r="106" spans="1:8" ht="11.25" customHeight="1">
      <c r="A106" s="110">
        <v>8063</v>
      </c>
      <c r="B106" s="127" t="s">
        <v>416</v>
      </c>
      <c r="C106" s="135">
        <f>CHINO!D22</f>
        <v>0</v>
      </c>
      <c r="D106" s="156"/>
      <c r="E106" s="112">
        <v>5028</v>
      </c>
      <c r="F106" s="112" t="s">
        <v>322</v>
      </c>
      <c r="G106" s="134">
        <f>'SONY-PANASONIC'!D22</f>
        <v>17</v>
      </c>
      <c r="H106" s="90"/>
    </row>
    <row r="107" spans="1:8" ht="11.25" customHeight="1">
      <c r="A107" s="112">
        <v>8066</v>
      </c>
      <c r="B107" s="112" t="s">
        <v>417</v>
      </c>
      <c r="C107" s="135">
        <f>CHINO!D23</f>
        <v>7</v>
      </c>
      <c r="D107" s="155"/>
      <c r="E107" s="110">
        <v>5030</v>
      </c>
      <c r="F107" s="110" t="s">
        <v>323</v>
      </c>
      <c r="G107" s="134">
        <f>'SONY-PANASONIC'!D23</f>
        <v>15</v>
      </c>
      <c r="H107" s="90"/>
    </row>
    <row r="108" spans="1:8" ht="11.25" customHeight="1">
      <c r="A108" s="110">
        <v>8073</v>
      </c>
      <c r="B108" s="162" t="s">
        <v>687</v>
      </c>
      <c r="C108" s="135">
        <f>CHINO!D24</f>
        <v>22</v>
      </c>
      <c r="D108" s="156" t="s">
        <v>418</v>
      </c>
      <c r="E108" s="112">
        <v>5031</v>
      </c>
      <c r="F108" s="112" t="s">
        <v>324</v>
      </c>
      <c r="G108" s="134">
        <f>'SONY-PANASONIC'!D24</f>
        <v>32</v>
      </c>
      <c r="H108" s="90"/>
    </row>
    <row r="109" spans="1:8" ht="11.25" customHeight="1">
      <c r="A109" s="129">
        <v>8061</v>
      </c>
      <c r="B109" s="128" t="s">
        <v>419</v>
      </c>
      <c r="C109" s="135">
        <f>CHINO!D25</f>
        <v>13</v>
      </c>
      <c r="D109" s="155"/>
      <c r="E109" s="201" t="s">
        <v>930</v>
      </c>
      <c r="F109" s="201" t="s">
        <v>931</v>
      </c>
      <c r="G109" s="134">
        <f>'SONY-PANASONIC'!D25</f>
        <v>10</v>
      </c>
      <c r="H109" s="153" t="s">
        <v>932</v>
      </c>
    </row>
    <row r="110" spans="1:8" ht="11.25" customHeight="1">
      <c r="A110" s="110">
        <v>8072</v>
      </c>
      <c r="B110" s="127" t="s">
        <v>420</v>
      </c>
      <c r="C110" s="135">
        <f>CHINO!D26</f>
        <v>0</v>
      </c>
      <c r="D110" s="156"/>
      <c r="E110" s="110">
        <v>5032</v>
      </c>
      <c r="F110" s="110" t="s">
        <v>325</v>
      </c>
      <c r="G110" s="134">
        <f>'SONY-PANASONIC'!D26</f>
        <v>4</v>
      </c>
      <c r="H110" s="90"/>
    </row>
    <row r="111" spans="1:8" ht="11.25" customHeight="1">
      <c r="A111" s="112">
        <v>8075</v>
      </c>
      <c r="B111" s="128" t="s">
        <v>421</v>
      </c>
      <c r="C111" s="135">
        <f>CHINO!D27</f>
        <v>2</v>
      </c>
      <c r="D111" s="155"/>
      <c r="E111" s="112">
        <v>5033</v>
      </c>
      <c r="F111" s="112" t="s">
        <v>326</v>
      </c>
      <c r="G111" s="134">
        <f>'SONY-PANASONIC'!D27</f>
        <v>5</v>
      </c>
      <c r="H111" s="90"/>
    </row>
    <row r="112" spans="1:8" ht="11.25" customHeight="1">
      <c r="A112" s="110">
        <v>8094</v>
      </c>
      <c r="B112" s="127" t="s">
        <v>422</v>
      </c>
      <c r="C112" s="135">
        <f>CHINO!D28</f>
        <v>6</v>
      </c>
      <c r="D112" s="156"/>
      <c r="E112" s="110">
        <v>5034</v>
      </c>
      <c r="F112" s="110" t="s">
        <v>327</v>
      </c>
      <c r="G112" s="134">
        <f>'SONY-PANASONIC'!D28</f>
        <v>20</v>
      </c>
      <c r="H112" s="90"/>
    </row>
    <row r="113" spans="1:8" ht="11.25" customHeight="1">
      <c r="A113" s="112">
        <v>8081</v>
      </c>
      <c r="B113" s="186" t="s">
        <v>788</v>
      </c>
      <c r="C113" s="135">
        <f>CHINO!D29</f>
        <v>16</v>
      </c>
      <c r="D113" s="155" t="s">
        <v>423</v>
      </c>
      <c r="E113" s="112">
        <v>5035</v>
      </c>
      <c r="F113" s="112" t="s">
        <v>328</v>
      </c>
      <c r="G113" s="134">
        <f>'SONY-PANASONIC'!D29</f>
        <v>20</v>
      </c>
      <c r="H113" s="90"/>
    </row>
    <row r="114" spans="1:8" ht="11.25" customHeight="1">
      <c r="A114" s="112">
        <v>8082</v>
      </c>
      <c r="B114" s="128" t="s">
        <v>686</v>
      </c>
      <c r="C114" s="135">
        <f>CHINO!D30</f>
        <v>18</v>
      </c>
      <c r="D114" s="155"/>
      <c r="E114" s="110">
        <v>5036</v>
      </c>
      <c r="F114" s="110" t="s">
        <v>329</v>
      </c>
      <c r="G114" s="134">
        <f>'SONY-PANASONIC'!D30</f>
        <v>6</v>
      </c>
      <c r="H114" s="90"/>
    </row>
    <row r="115" spans="1:8" ht="11.25" customHeight="1">
      <c r="A115" s="110">
        <v>8074</v>
      </c>
      <c r="B115" s="127" t="s">
        <v>424</v>
      </c>
      <c r="C115" s="135">
        <f>CHINO!D31</f>
        <v>12</v>
      </c>
      <c r="D115" s="156"/>
      <c r="E115" s="112">
        <v>5038</v>
      </c>
      <c r="F115" s="112" t="s">
        <v>330</v>
      </c>
      <c r="G115" s="134">
        <f>'SONY-PANASONIC'!D31</f>
        <v>15</v>
      </c>
      <c r="H115" s="90"/>
    </row>
    <row r="116" spans="1:8" ht="11.25" customHeight="1">
      <c r="A116" s="112">
        <v>8090</v>
      </c>
      <c r="B116" s="187" t="s">
        <v>789</v>
      </c>
      <c r="C116" s="135">
        <f>CHINO!D32</f>
        <v>11</v>
      </c>
      <c r="D116" s="155"/>
      <c r="E116" s="110">
        <v>5039</v>
      </c>
      <c r="F116" s="110" t="s">
        <v>331</v>
      </c>
      <c r="G116" s="134">
        <f>'SONY-PANASONIC'!D32</f>
        <v>7</v>
      </c>
      <c r="H116" s="90"/>
    </row>
    <row r="117" spans="1:8" ht="11.25" customHeight="1">
      <c r="A117" s="110">
        <v>8091</v>
      </c>
      <c r="B117" s="127" t="s">
        <v>426</v>
      </c>
      <c r="C117" s="135">
        <f>CHINO!D33</f>
        <v>20</v>
      </c>
      <c r="D117" s="156" t="s">
        <v>427</v>
      </c>
      <c r="E117" s="112">
        <v>5040</v>
      </c>
      <c r="F117" s="112" t="s">
        <v>332</v>
      </c>
      <c r="G117" s="134">
        <f>'SONY-PANASONIC'!D33</f>
        <v>10</v>
      </c>
      <c r="H117" s="90"/>
    </row>
    <row r="118" spans="1:8" ht="11.25" customHeight="1">
      <c r="A118" s="112">
        <v>8076</v>
      </c>
      <c r="B118" s="128" t="s">
        <v>428</v>
      </c>
      <c r="C118" s="135">
        <f>CHINO!D34</f>
        <v>16</v>
      </c>
      <c r="D118" s="155" t="s">
        <v>429</v>
      </c>
      <c r="E118" s="110">
        <v>5045</v>
      </c>
      <c r="F118" s="110" t="s">
        <v>333</v>
      </c>
      <c r="G118" s="134">
        <f>'SONY-PANASONIC'!D34</f>
        <v>19</v>
      </c>
      <c r="H118" s="90"/>
    </row>
    <row r="119" spans="1:8" ht="11.25" customHeight="1">
      <c r="A119" s="131">
        <v>8078</v>
      </c>
      <c r="B119" s="127" t="s">
        <v>430</v>
      </c>
      <c r="C119" s="135">
        <f>CHINO!D35</f>
        <v>4</v>
      </c>
      <c r="D119" s="156"/>
      <c r="E119" s="254" t="s">
        <v>621</v>
      </c>
      <c r="F119" s="254"/>
      <c r="H119" s="90"/>
    </row>
    <row r="120" spans="1:8" ht="11.25" customHeight="1">
      <c r="A120" s="112">
        <v>8093</v>
      </c>
      <c r="B120" s="128" t="s">
        <v>431</v>
      </c>
      <c r="C120" s="135">
        <f>CHINO!D36</f>
        <v>10</v>
      </c>
      <c r="D120" s="155"/>
      <c r="E120" s="104" t="s">
        <v>616</v>
      </c>
      <c r="F120" s="105" t="s">
        <v>2</v>
      </c>
      <c r="G120" s="169" t="s">
        <v>648</v>
      </c>
      <c r="H120" s="90"/>
    </row>
    <row r="121" spans="1:8" ht="11.25" customHeight="1">
      <c r="A121" s="110">
        <v>6027</v>
      </c>
      <c r="B121" s="111" t="s">
        <v>647</v>
      </c>
      <c r="C121" s="135">
        <f>CHINO!D37</f>
        <v>14</v>
      </c>
      <c r="D121" s="156" t="s">
        <v>363</v>
      </c>
      <c r="E121" s="110">
        <v>3000</v>
      </c>
      <c r="F121" s="116" t="s">
        <v>265</v>
      </c>
      <c r="G121" s="134">
        <f>HAIER!D5</f>
        <v>22</v>
      </c>
      <c r="H121" s="90" t="s">
        <v>902</v>
      </c>
    </row>
    <row r="122" spans="1:8" ht="11.25" customHeight="1">
      <c r="A122" s="110">
        <v>8103</v>
      </c>
      <c r="B122" s="127" t="s">
        <v>432</v>
      </c>
      <c r="C122" s="135">
        <f>CHINO!D38</f>
        <v>13</v>
      </c>
      <c r="D122" s="155"/>
      <c r="E122" s="112">
        <v>3001</v>
      </c>
      <c r="F122" s="170" t="s">
        <v>266</v>
      </c>
      <c r="G122" s="134">
        <f>HAIER!D6</f>
        <v>7</v>
      </c>
      <c r="H122" s="90"/>
    </row>
    <row r="123" spans="1:8" ht="11.25" customHeight="1">
      <c r="A123" s="112">
        <v>8064</v>
      </c>
      <c r="B123" s="128" t="s">
        <v>433</v>
      </c>
      <c r="C123" s="135">
        <f>CHINO!D39</f>
        <v>20</v>
      </c>
      <c r="D123" s="156" t="s">
        <v>427</v>
      </c>
      <c r="E123" s="110">
        <v>3003</v>
      </c>
      <c r="F123" s="111" t="s">
        <v>267</v>
      </c>
      <c r="G123" s="134">
        <f>HAIER!D7</f>
        <v>20</v>
      </c>
      <c r="H123" s="90"/>
    </row>
    <row r="124" spans="1:8" ht="11.25" customHeight="1">
      <c r="A124" s="110">
        <v>8120</v>
      </c>
      <c r="B124" s="110" t="s">
        <v>434</v>
      </c>
      <c r="C124" s="135">
        <f>CHINO!E40</f>
        <v>0</v>
      </c>
      <c r="D124" s="155"/>
      <c r="E124" s="112">
        <v>3006</v>
      </c>
      <c r="F124" s="114" t="s">
        <v>268</v>
      </c>
      <c r="G124" s="134">
        <f>HAIER!D8</f>
        <v>24</v>
      </c>
      <c r="H124" s="90"/>
    </row>
    <row r="125" spans="1:8" ht="11.25" customHeight="1">
      <c r="A125" s="129">
        <v>8123</v>
      </c>
      <c r="B125" s="112" t="s">
        <v>435</v>
      </c>
      <c r="C125" s="135">
        <f>CHINO!E41</f>
        <v>1105</v>
      </c>
      <c r="D125" s="156"/>
      <c r="E125" s="110">
        <v>3009</v>
      </c>
      <c r="F125" s="111" t="s">
        <v>269</v>
      </c>
      <c r="G125" s="134">
        <f>HAIER!D9</f>
        <v>18</v>
      </c>
      <c r="H125" s="90"/>
    </row>
    <row r="126" spans="1:8" ht="11.25" customHeight="1">
      <c r="A126" s="110">
        <v>8126</v>
      </c>
      <c r="B126" s="110" t="s">
        <v>436</v>
      </c>
      <c r="C126" s="135">
        <f>CHINO!E42</f>
        <v>21</v>
      </c>
      <c r="D126" s="155"/>
      <c r="E126" s="112">
        <v>3012</v>
      </c>
      <c r="F126" s="114" t="s">
        <v>270</v>
      </c>
      <c r="G126" s="134">
        <f>HAIER!D10</f>
        <v>14</v>
      </c>
      <c r="H126" s="90"/>
    </row>
    <row r="127" spans="1:8" ht="11.25" customHeight="1">
      <c r="A127" s="112">
        <v>8129</v>
      </c>
      <c r="B127" s="112" t="s">
        <v>437</v>
      </c>
      <c r="C127" s="135">
        <f>CHINO!E43</f>
        <v>4</v>
      </c>
      <c r="D127" s="156"/>
      <c r="E127" s="110">
        <v>3015</v>
      </c>
      <c r="F127" s="111" t="s">
        <v>271</v>
      </c>
      <c r="G127" s="134">
        <f>HAIER!D11</f>
        <v>15</v>
      </c>
      <c r="H127" s="90"/>
    </row>
    <row r="128" spans="1:8" ht="11.25" customHeight="1">
      <c r="A128" s="131">
        <v>8124</v>
      </c>
      <c r="B128" s="110" t="s">
        <v>438</v>
      </c>
      <c r="C128" s="135">
        <f>CHINO!E44</f>
        <v>544</v>
      </c>
      <c r="D128" s="155"/>
      <c r="E128" s="112">
        <v>3018</v>
      </c>
      <c r="F128" s="114" t="s">
        <v>272</v>
      </c>
      <c r="G128" s="134">
        <f>HAIER!D12</f>
        <v>24</v>
      </c>
      <c r="H128" s="90"/>
    </row>
    <row r="129" spans="1:8" ht="11.25" customHeight="1">
      <c r="A129" s="112">
        <v>8130</v>
      </c>
      <c r="B129" s="112" t="s">
        <v>439</v>
      </c>
      <c r="C129" s="135">
        <f>CHINO!E45</f>
        <v>1435</v>
      </c>
      <c r="D129" s="157"/>
      <c r="E129" s="110">
        <v>3021</v>
      </c>
      <c r="F129" s="177" t="s">
        <v>273</v>
      </c>
      <c r="G129" s="134">
        <f>HAIER!D13</f>
        <v>9</v>
      </c>
      <c r="H129" s="90" t="s">
        <v>898</v>
      </c>
    </row>
    <row r="130" spans="1:8" ht="11.25" customHeight="1">
      <c r="A130" s="173"/>
      <c r="B130" s="90"/>
      <c r="C130" s="63"/>
      <c r="E130" s="112">
        <v>3024</v>
      </c>
      <c r="F130" s="114" t="s">
        <v>274</v>
      </c>
      <c r="G130" s="134">
        <f>HAIER!D14</f>
        <v>0</v>
      </c>
      <c r="H130" s="90"/>
    </row>
    <row r="131" spans="1:8" ht="11.25" customHeight="1">
      <c r="A131" s="254" t="s">
        <v>359</v>
      </c>
      <c r="B131" s="254"/>
      <c r="C131" s="254"/>
      <c r="E131" s="110">
        <v>3027</v>
      </c>
      <c r="F131" s="111" t="s">
        <v>275</v>
      </c>
      <c r="G131" s="134">
        <f>HAIER!D15</f>
        <v>5</v>
      </c>
      <c r="H131" s="90"/>
    </row>
    <row r="132" spans="1:8" ht="11.25" customHeight="1">
      <c r="A132" s="104" t="s">
        <v>616</v>
      </c>
      <c r="B132" s="105" t="s">
        <v>2</v>
      </c>
      <c r="C132" s="169" t="s">
        <v>648</v>
      </c>
      <c r="E132" s="112">
        <v>3028</v>
      </c>
      <c r="F132" s="114" t="s">
        <v>276</v>
      </c>
      <c r="G132" s="134">
        <f>HAIER!D16</f>
        <v>7</v>
      </c>
      <c r="H132" s="90"/>
    </row>
    <row r="133" spans="1:8" ht="11.25" customHeight="1">
      <c r="A133" s="110">
        <v>6010</v>
      </c>
      <c r="B133" s="111" t="s">
        <v>360</v>
      </c>
      <c r="C133" s="135">
        <f>'HISENSE '!C5</f>
        <v>0</v>
      </c>
      <c r="D133" s="158"/>
      <c r="E133" s="110">
        <v>3030</v>
      </c>
      <c r="F133" s="111" t="s">
        <v>277</v>
      </c>
      <c r="G133" s="134">
        <f>HAIER!D17</f>
        <v>17</v>
      </c>
      <c r="H133" s="90"/>
    </row>
    <row r="134" spans="1:8" ht="11.25" customHeight="1">
      <c r="A134" s="110">
        <v>6110</v>
      </c>
      <c r="B134" s="238" t="s">
        <v>941</v>
      </c>
      <c r="C134" s="135">
        <f>'HISENSE '!C6</f>
        <v>19</v>
      </c>
      <c r="D134" s="153" t="s">
        <v>776</v>
      </c>
      <c r="E134" s="112">
        <v>3033</v>
      </c>
      <c r="F134" s="114" t="s">
        <v>278</v>
      </c>
      <c r="G134" s="134">
        <f>HAIER!D18</f>
        <v>22</v>
      </c>
      <c r="H134" s="90"/>
    </row>
    <row r="135" spans="1:8" ht="11.25" customHeight="1">
      <c r="A135" s="112">
        <v>6018</v>
      </c>
      <c r="B135" s="114" t="s">
        <v>361</v>
      </c>
      <c r="C135" s="135">
        <f>'HISENSE '!C7</f>
        <v>12</v>
      </c>
      <c r="D135" s="158" t="s">
        <v>362</v>
      </c>
      <c r="E135" s="110">
        <v>3036</v>
      </c>
      <c r="F135" s="111" t="s">
        <v>279</v>
      </c>
      <c r="G135" s="134">
        <f>HAIER!D19</f>
        <v>13</v>
      </c>
      <c r="H135" s="90"/>
    </row>
    <row r="136" spans="1:8" ht="11.25" customHeight="1">
      <c r="A136" s="112">
        <v>6020</v>
      </c>
      <c r="B136" s="165" t="s">
        <v>744</v>
      </c>
      <c r="C136" s="135">
        <f>'HISENSE '!C8</f>
        <v>20</v>
      </c>
      <c r="D136" s="158" t="s">
        <v>366</v>
      </c>
      <c r="E136" s="112">
        <v>3040</v>
      </c>
      <c r="F136" s="114" t="s">
        <v>280</v>
      </c>
      <c r="G136" s="134">
        <f>HAIER!D20</f>
        <v>18</v>
      </c>
      <c r="H136" s="90"/>
    </row>
    <row r="137" spans="1:8" ht="11.25" customHeight="1">
      <c r="A137" s="112">
        <v>6033</v>
      </c>
      <c r="B137" s="114" t="s">
        <v>365</v>
      </c>
      <c r="C137" s="135">
        <f>'HISENSE '!C9</f>
        <v>18</v>
      </c>
      <c r="E137" s="255" t="s">
        <v>622</v>
      </c>
      <c r="F137" s="256"/>
      <c r="H137" s="90"/>
    </row>
    <row r="138" spans="1:8" ht="11.25" customHeight="1">
      <c r="A138" s="110">
        <v>6034</v>
      </c>
      <c r="B138" s="177" t="s">
        <v>367</v>
      </c>
      <c r="C138" s="135">
        <f>'HISENSE '!C10</f>
        <v>23</v>
      </c>
      <c r="D138" s="158" t="s">
        <v>368</v>
      </c>
      <c r="E138" s="104" t="s">
        <v>616</v>
      </c>
      <c r="F138" s="105" t="s">
        <v>2</v>
      </c>
      <c r="G138" s="169" t="s">
        <v>648</v>
      </c>
      <c r="H138" s="90"/>
    </row>
    <row r="139" spans="1:8" ht="11.25" customHeight="1">
      <c r="A139" s="173"/>
      <c r="B139" s="90"/>
      <c r="C139" s="63"/>
      <c r="E139" s="110">
        <v>7000</v>
      </c>
      <c r="F139" s="177" t="s">
        <v>335</v>
      </c>
      <c r="G139" s="134">
        <f>'IRT-PHILIPS'!D5</f>
        <v>38</v>
      </c>
      <c r="H139" s="168" t="s">
        <v>771</v>
      </c>
    </row>
    <row r="140" spans="1:8" ht="11.25" customHeight="1">
      <c r="A140" s="254" t="s">
        <v>369</v>
      </c>
      <c r="B140" s="254"/>
      <c r="C140" s="254"/>
      <c r="E140" s="112">
        <v>7002</v>
      </c>
      <c r="F140" s="123" t="s">
        <v>336</v>
      </c>
      <c r="G140" s="134">
        <f>'IRT-PHILIPS'!D6</f>
        <v>16</v>
      </c>
      <c r="H140" s="153"/>
    </row>
    <row r="141" spans="1:8" ht="11.25" customHeight="1">
      <c r="A141" s="104" t="s">
        <v>616</v>
      </c>
      <c r="B141" s="105" t="s">
        <v>2</v>
      </c>
      <c r="C141" s="169" t="s">
        <v>648</v>
      </c>
      <c r="E141" s="110">
        <v>7003</v>
      </c>
      <c r="F141" s="177" t="s">
        <v>337</v>
      </c>
      <c r="G141" s="134">
        <f>'IRT-PHILIPS'!D7</f>
        <v>2</v>
      </c>
      <c r="H141" s="168"/>
    </row>
    <row r="142" spans="1:8" ht="11.25" customHeight="1">
      <c r="A142" s="110">
        <v>6000</v>
      </c>
      <c r="B142" s="111" t="s">
        <v>370</v>
      </c>
      <c r="C142" s="135">
        <f>SKYWORTH!C5</f>
        <v>6</v>
      </c>
      <c r="E142" s="112">
        <v>7004</v>
      </c>
      <c r="F142" s="123" t="s">
        <v>338</v>
      </c>
      <c r="G142" s="134">
        <f>'IRT-PHILIPS'!D8</f>
        <v>8</v>
      </c>
      <c r="H142" s="153" t="s">
        <v>772</v>
      </c>
    </row>
    <row r="143" spans="1:8" ht="11.25" customHeight="1">
      <c r="A143" s="225" t="s">
        <v>856</v>
      </c>
      <c r="B143" s="225" t="s">
        <v>857</v>
      </c>
      <c r="C143" s="135">
        <f>SKYWORTH!C6</f>
        <v>17</v>
      </c>
      <c r="E143" s="110">
        <v>7009</v>
      </c>
      <c r="F143" s="111" t="s">
        <v>339</v>
      </c>
      <c r="G143" s="134">
        <f>'IRT-PHILIPS'!D9</f>
        <v>17</v>
      </c>
      <c r="H143" s="168"/>
    </row>
    <row r="144" spans="1:8" ht="11.25" customHeight="1">
      <c r="A144" s="112">
        <v>6006</v>
      </c>
      <c r="B144" s="114" t="s">
        <v>371</v>
      </c>
      <c r="C144" s="135">
        <f>SKYWORTH!C7</f>
        <v>15</v>
      </c>
      <c r="E144" s="112">
        <v>7012</v>
      </c>
      <c r="F144" s="114" t="s">
        <v>340</v>
      </c>
      <c r="G144" s="134">
        <f>'IRT-PHILIPS'!D10</f>
        <v>17</v>
      </c>
      <c r="H144" s="153"/>
    </row>
    <row r="145" spans="1:8" ht="11.25" customHeight="1">
      <c r="A145" s="110">
        <v>6007</v>
      </c>
      <c r="B145" s="111" t="s">
        <v>372</v>
      </c>
      <c r="C145" s="135">
        <f>SKYWORTH!C8</f>
        <v>12</v>
      </c>
      <c r="E145" s="110">
        <v>7015</v>
      </c>
      <c r="F145" s="111" t="s">
        <v>341</v>
      </c>
      <c r="G145" s="134">
        <f>'IRT-PHILIPS'!D11</f>
        <v>15</v>
      </c>
      <c r="H145" s="168"/>
    </row>
    <row r="146" spans="1:8" ht="11.25" customHeight="1">
      <c r="A146" s="112">
        <v>6008</v>
      </c>
      <c r="B146" s="114" t="s">
        <v>373</v>
      </c>
      <c r="C146" s="135">
        <f>SKYWORTH!C9</f>
        <v>26</v>
      </c>
      <c r="D146" s="153" t="s">
        <v>901</v>
      </c>
      <c r="E146" s="112">
        <v>7018</v>
      </c>
      <c r="F146" s="123" t="s">
        <v>342</v>
      </c>
      <c r="G146" s="134">
        <f>'IRT-PHILIPS'!D12</f>
        <v>21</v>
      </c>
      <c r="H146" s="153"/>
    </row>
    <row r="147" spans="1:8" ht="11.25" customHeight="1">
      <c r="A147" s="110">
        <v>6022</v>
      </c>
      <c r="B147" s="111" t="s">
        <v>374</v>
      </c>
      <c r="C147" s="135">
        <f>SKYWORTH!C10</f>
        <v>6</v>
      </c>
      <c r="E147" s="112">
        <v>7019</v>
      </c>
      <c r="F147" s="167" t="s">
        <v>780</v>
      </c>
      <c r="G147" s="134">
        <f>'IRT-PHILIPS'!D13</f>
        <v>19</v>
      </c>
      <c r="H147" s="167" t="s">
        <v>781</v>
      </c>
    </row>
    <row r="148" spans="1:8" ht="11.25" customHeight="1">
      <c r="A148" s="112">
        <v>6131</v>
      </c>
      <c r="B148" s="114" t="s">
        <v>790</v>
      </c>
      <c r="C148" s="135">
        <f>SKYWORTH!C11</f>
        <v>0</v>
      </c>
      <c r="D148" s="153" t="s">
        <v>904</v>
      </c>
      <c r="E148" s="258" t="s">
        <v>623</v>
      </c>
      <c r="F148" s="258"/>
      <c r="H148" s="90"/>
    </row>
    <row r="149" spans="1:8" ht="11.25" customHeight="1">
      <c r="A149" s="225" t="s">
        <v>858</v>
      </c>
      <c r="B149" s="225" t="s">
        <v>859</v>
      </c>
      <c r="C149" s="135">
        <f>SKYWORTH!C12</f>
        <v>16</v>
      </c>
      <c r="D149" s="153" t="s">
        <v>861</v>
      </c>
      <c r="E149" s="104" t="s">
        <v>616</v>
      </c>
      <c r="F149" s="105" t="s">
        <v>2</v>
      </c>
      <c r="G149" s="169" t="s">
        <v>648</v>
      </c>
      <c r="H149" s="90"/>
    </row>
    <row r="150" spans="1:8" ht="11.25" customHeight="1">
      <c r="A150" s="110">
        <v>6132</v>
      </c>
      <c r="B150" s="111" t="s">
        <v>375</v>
      </c>
      <c r="C150" s="135">
        <f>SKYWORTH!C13</f>
        <v>15</v>
      </c>
      <c r="E150" s="110">
        <v>6001</v>
      </c>
      <c r="F150" s="111" t="s">
        <v>392</v>
      </c>
      <c r="G150" s="134">
        <f>'MASTER G'!C4</f>
        <v>9</v>
      </c>
      <c r="H150" s="90"/>
    </row>
    <row r="151" spans="1:8" ht="11.25" customHeight="1">
      <c r="A151" s="173"/>
      <c r="B151" s="90"/>
      <c r="C151" s="63"/>
      <c r="E151" s="112">
        <v>6012</v>
      </c>
      <c r="F151" s="114" t="s">
        <v>393</v>
      </c>
      <c r="G151" s="134">
        <f>'MASTER G'!C5</f>
        <v>24</v>
      </c>
      <c r="H151" s="153" t="s">
        <v>929</v>
      </c>
    </row>
    <row r="152" spans="1:8" ht="11.25" customHeight="1">
      <c r="A152" s="254" t="s">
        <v>376</v>
      </c>
      <c r="B152" s="254"/>
      <c r="C152" s="254"/>
      <c r="E152" s="110">
        <v>6019</v>
      </c>
      <c r="F152" s="111" t="s">
        <v>394</v>
      </c>
      <c r="G152" s="134">
        <f>'MASTER G'!C6</f>
        <v>9</v>
      </c>
      <c r="H152" s="90"/>
    </row>
    <row r="153" spans="1:8" ht="11.25" customHeight="1">
      <c r="A153" s="104" t="s">
        <v>616</v>
      </c>
      <c r="B153" s="105" t="s">
        <v>2</v>
      </c>
      <c r="C153" s="169" t="s">
        <v>648</v>
      </c>
      <c r="E153" s="178" t="s">
        <v>839</v>
      </c>
      <c r="F153" s="225" t="s">
        <v>840</v>
      </c>
      <c r="G153" s="135">
        <f>'MASTER G'!C7</f>
        <v>17</v>
      </c>
      <c r="H153" s="225" t="s">
        <v>842</v>
      </c>
    </row>
    <row r="154" spans="1:8" ht="11.25" customHeight="1">
      <c r="A154" s="110">
        <v>8015</v>
      </c>
      <c r="B154" s="124" t="s">
        <v>377</v>
      </c>
      <c r="C154" s="135">
        <f>PREMIER!D5</f>
        <v>6</v>
      </c>
      <c r="E154" s="112">
        <v>6028</v>
      </c>
      <c r="F154" s="114" t="s">
        <v>644</v>
      </c>
      <c r="G154" s="134">
        <f>'MASTER G'!C8</f>
        <v>8</v>
      </c>
      <c r="H154" s="90"/>
    </row>
    <row r="155" spans="1:8" ht="11.25" customHeight="1">
      <c r="A155" s="178">
        <v>8014</v>
      </c>
      <c r="B155" s="233" t="s">
        <v>843</v>
      </c>
      <c r="C155" s="135">
        <f>PREMIER!D6</f>
        <v>18</v>
      </c>
      <c r="D155" s="153" t="s">
        <v>845</v>
      </c>
      <c r="E155" s="110">
        <v>6029</v>
      </c>
      <c r="F155" s="124" t="s">
        <v>396</v>
      </c>
      <c r="G155" s="134">
        <f>'MASTER G'!C9</f>
        <v>18</v>
      </c>
      <c r="H155" s="90"/>
    </row>
    <row r="156" spans="1:8" ht="11.25" customHeight="1">
      <c r="A156" s="112">
        <v>8033</v>
      </c>
      <c r="B156" s="123" t="s">
        <v>761</v>
      </c>
      <c r="C156" s="135">
        <f>PREMIER!D7</f>
        <v>16</v>
      </c>
      <c r="E156" s="249" t="s">
        <v>624</v>
      </c>
      <c r="F156" s="250"/>
      <c r="H156" s="90"/>
    </row>
    <row r="157" spans="1:8" ht="24">
      <c r="A157" s="110">
        <v>8039</v>
      </c>
      <c r="B157" s="124" t="s">
        <v>378</v>
      </c>
      <c r="C157" s="135">
        <f>PREMIER!D8</f>
        <v>6</v>
      </c>
      <c r="E157" s="104" t="s">
        <v>616</v>
      </c>
      <c r="F157" s="105" t="s">
        <v>2</v>
      </c>
      <c r="G157" s="169" t="s">
        <v>648</v>
      </c>
      <c r="H157" s="156"/>
    </row>
    <row r="158" spans="1:8" ht="24">
      <c r="A158" s="112">
        <v>8031</v>
      </c>
      <c r="B158" s="123" t="s">
        <v>379</v>
      </c>
      <c r="C158" s="135">
        <f>PREMIER!D9</f>
        <v>6</v>
      </c>
      <c r="E158" s="110">
        <v>8021</v>
      </c>
      <c r="F158" s="124" t="s">
        <v>441</v>
      </c>
      <c r="G158" s="150">
        <f>'AOC-JVC'!D5</f>
        <v>17</v>
      </c>
      <c r="H158" s="155"/>
    </row>
    <row r="159" spans="1:8">
      <c r="A159" s="110">
        <v>8055</v>
      </c>
      <c r="B159" s="124" t="s">
        <v>762</v>
      </c>
      <c r="C159" s="135">
        <f>PREMIER!D10</f>
        <v>7</v>
      </c>
      <c r="E159" s="112">
        <v>8060</v>
      </c>
      <c r="F159" s="123" t="s">
        <v>442</v>
      </c>
      <c r="G159" s="150">
        <f>'AOC-JVC'!D6</f>
        <v>2</v>
      </c>
      <c r="H159" s="156" t="s">
        <v>444</v>
      </c>
    </row>
    <row r="160" spans="1:8">
      <c r="A160" s="118">
        <v>8056</v>
      </c>
      <c r="B160" s="179" t="s">
        <v>620</v>
      </c>
      <c r="C160" s="135">
        <f>PREMIER!D11</f>
        <v>15</v>
      </c>
      <c r="E160" s="110">
        <v>8070</v>
      </c>
      <c r="F160" s="124" t="s">
        <v>443</v>
      </c>
      <c r="G160" s="150">
        <f>'AOC-JVC'!D7</f>
        <v>15</v>
      </c>
      <c r="H160" s="155"/>
    </row>
    <row r="161" spans="1:8">
      <c r="A161" s="110">
        <v>8057</v>
      </c>
      <c r="B161" s="124" t="s">
        <v>381</v>
      </c>
      <c r="C161" s="135">
        <f>PREMIER!D12</f>
        <v>9</v>
      </c>
      <c r="E161" s="112">
        <v>8099</v>
      </c>
      <c r="F161" s="123" t="s">
        <v>445</v>
      </c>
      <c r="G161" s="150">
        <f>'AOC-JVC'!D8</f>
        <v>4</v>
      </c>
      <c r="H161" s="156" t="s">
        <v>446</v>
      </c>
    </row>
    <row r="162" spans="1:8" ht="24">
      <c r="A162" s="118">
        <v>8067</v>
      </c>
      <c r="B162" s="180" t="s">
        <v>382</v>
      </c>
      <c r="C162" s="135">
        <f>PREMIER!D13</f>
        <v>35</v>
      </c>
      <c r="E162" s="110">
        <v>8100</v>
      </c>
      <c r="F162" s="235" t="s">
        <v>946</v>
      </c>
      <c r="G162" s="150">
        <f>'AOC-JVC'!D9</f>
        <v>3</v>
      </c>
      <c r="H162" s="155"/>
    </row>
    <row r="163" spans="1:8">
      <c r="A163" s="137">
        <v>8068</v>
      </c>
      <c r="B163" s="138" t="s">
        <v>383</v>
      </c>
      <c r="C163" s="135">
        <f>PREMIER!D14</f>
        <v>6</v>
      </c>
      <c r="E163" s="112">
        <v>8101</v>
      </c>
      <c r="F163" s="123" t="s">
        <v>447</v>
      </c>
      <c r="G163" s="150">
        <f>'AOC-JVC'!D10</f>
        <v>17</v>
      </c>
      <c r="H163" s="156"/>
    </row>
    <row r="164" spans="1:8" ht="24">
      <c r="A164" s="112">
        <v>8069</v>
      </c>
      <c r="B164" s="123" t="s">
        <v>384</v>
      </c>
      <c r="C164" s="135">
        <f>PREMIER!D15</f>
        <v>13</v>
      </c>
      <c r="E164" s="110">
        <v>8104</v>
      </c>
      <c r="F164" s="124" t="s">
        <v>448</v>
      </c>
      <c r="G164" s="150">
        <f>'AOC-JVC'!D11</f>
        <v>9</v>
      </c>
      <c r="H164" s="155" t="s">
        <v>449</v>
      </c>
    </row>
    <row r="165" spans="1:8">
      <c r="A165" s="110">
        <v>8087</v>
      </c>
      <c r="B165" s="124" t="s">
        <v>385</v>
      </c>
      <c r="C165" s="135">
        <f>PREMIER!D16</f>
        <v>11</v>
      </c>
      <c r="E165" s="112">
        <v>9001</v>
      </c>
      <c r="F165" s="222" t="s">
        <v>947</v>
      </c>
      <c r="G165" s="150">
        <f>'AOC-JVC'!D12</f>
        <v>8</v>
      </c>
      <c r="H165" s="157" t="s">
        <v>451</v>
      </c>
    </row>
    <row r="166" spans="1:8">
      <c r="A166" s="118">
        <v>8095</v>
      </c>
      <c r="B166" s="179" t="s">
        <v>386</v>
      </c>
      <c r="C166" s="135">
        <f>PREMIER!D17</f>
        <v>23</v>
      </c>
      <c r="E166" s="110">
        <v>9002</v>
      </c>
      <c r="F166" s="124" t="s">
        <v>450</v>
      </c>
      <c r="G166" s="150">
        <f>'AOC-JVC'!D13</f>
        <v>6</v>
      </c>
      <c r="H166" s="90"/>
    </row>
    <row r="167" spans="1:8" ht="24">
      <c r="A167" s="110">
        <v>8096</v>
      </c>
      <c r="B167" s="179" t="s">
        <v>387</v>
      </c>
      <c r="C167" s="135">
        <f>PREMIER!D18</f>
        <v>0</v>
      </c>
      <c r="E167" s="90"/>
      <c r="F167" s="90"/>
    </row>
    <row r="168" spans="1:8">
      <c r="A168" s="118">
        <v>8097</v>
      </c>
      <c r="B168" s="136" t="s">
        <v>388</v>
      </c>
      <c r="C168" s="135">
        <f>PREMIER!D19</f>
        <v>13</v>
      </c>
    </row>
    <row r="169" spans="1:8">
      <c r="A169" s="110">
        <v>8098</v>
      </c>
      <c r="B169" s="124" t="s">
        <v>389</v>
      </c>
      <c r="C169" s="135">
        <f>PREMIER!D20</f>
        <v>10</v>
      </c>
    </row>
    <row r="170" spans="1:8">
      <c r="A170" s="100"/>
      <c r="C170" s="63"/>
    </row>
  </sheetData>
  <mergeCells count="15">
    <mergeCell ref="A140:C140"/>
    <mergeCell ref="E137:F137"/>
    <mergeCell ref="A152:C152"/>
    <mergeCell ref="E148:F148"/>
    <mergeCell ref="E156:F156"/>
    <mergeCell ref="A131:C131"/>
    <mergeCell ref="A1:F1"/>
    <mergeCell ref="A2:F2"/>
    <mergeCell ref="A3:C3"/>
    <mergeCell ref="E3:F3"/>
    <mergeCell ref="A72:C72"/>
    <mergeCell ref="E73:F73"/>
    <mergeCell ref="A87:C87"/>
    <mergeCell ref="E87:F87"/>
    <mergeCell ref="E119:F119"/>
  </mergeCells>
  <printOptions verticalCentered="1"/>
  <pageMargins left="0.23622047244094491" right="0.23622047244094491" top="0.74803149606299213" bottom="0.74803149606299213" header="0.31496062992125984" footer="0.31496062992125984"/>
  <pageSetup paperSize="345" scale="75" fitToWidth="0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LG</vt:lpstr>
      <vt:lpstr>SAMSUNG</vt:lpstr>
      <vt:lpstr>HAIER</vt:lpstr>
      <vt:lpstr>DAEWOO</vt:lpstr>
      <vt:lpstr>SONY-PANASONIC</vt:lpstr>
      <vt:lpstr>IRT-PHILIPS</vt:lpstr>
      <vt:lpstr>TOSHIBA </vt:lpstr>
      <vt:lpstr>HISENSE </vt:lpstr>
      <vt:lpstr>SKYWORTH</vt:lpstr>
      <vt:lpstr>PREMIER</vt:lpstr>
      <vt:lpstr>MASTER G</vt:lpstr>
      <vt:lpstr>CHINO</vt:lpstr>
      <vt:lpstr>AOC-JVC</vt:lpstr>
      <vt:lpstr>SALIDAS</vt:lpstr>
      <vt:lpstr>ENTRADAS</vt:lpstr>
      <vt:lpstr>PRECIOS</vt:lpstr>
      <vt:lpstr>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Choque</dc:creator>
  <cp:keywords/>
  <dc:description/>
  <cp:lastModifiedBy>Nicole Choque</cp:lastModifiedBy>
  <cp:revision/>
  <cp:lastPrinted>2026-07-02T16:04:26Z</cp:lastPrinted>
  <dcterms:created xsi:type="dcterms:W3CDTF">2026-01-02T16:07:13Z</dcterms:created>
  <dcterms:modified xsi:type="dcterms:W3CDTF">2026-07-07T16:23:45Z</dcterms:modified>
  <cp:category/>
  <cp:contentStatus/>
</cp:coreProperties>
</file>